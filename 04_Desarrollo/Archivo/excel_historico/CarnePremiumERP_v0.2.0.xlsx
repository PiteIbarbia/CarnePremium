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20001_{A0CE3D18-0F18-4B4A-96F6-741526FB2BB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rtes de Carne" sheetId="1" r:id="rId1"/>
    <sheet name="cta cte clientes" sheetId="2" r:id="rId2"/>
    <sheet name="cta cte Lucas" sheetId="3" r:id="rId3"/>
    <sheet name="Clientes" sheetId="4" r:id="rId4"/>
    <sheet name="Abril-26" sheetId="5" r:id="rId5"/>
    <sheet name="Mayo-26" sheetId="6" r:id="rId6"/>
    <sheet name="Copia de Mayo-26" sheetId="7" state="hidden" r:id="rId7"/>
    <sheet name="Junio-26" sheetId="8" r:id="rId8"/>
    <sheet name="Ejemplo Lucas a mejorar" sheetId="9" r:id="rId9"/>
    <sheet name="Julio-26" sheetId="10" r:id="rId10"/>
    <sheet name="CONFIG" sheetId="11" r:id="rId11"/>
    <sheet name="VERSION" sheetId="12" r:id="rId12"/>
    <sheet name="LOG" sheetId="13" r:id="rId13"/>
    <sheet name="VALIDACIONES" sheetId="14" r:id="rId14"/>
    <sheet name="DIAGNÓSTICO" sheetId="15" r:id="rId15"/>
    <sheet name="ESTADO" sheetId="16" r:id="rId16"/>
    <sheet name="20_MOTOR" sheetId="17" r:id="rId17"/>
  </sheets>
  <definedNames>
    <definedName name="_xlnm._FilterDatabase" localSheetId="4" hidden="1">'Abril-26'!$A$1:$L$6</definedName>
    <definedName name="_xlnm._FilterDatabase" localSheetId="3" hidden="1">Clientes!$A$1:$D$45</definedName>
    <definedName name="_xlnm._FilterDatabase" localSheetId="6" hidden="1">'Copia de Mayo-26'!$A$1:$L$46</definedName>
    <definedName name="_xlnm._FilterDatabase" localSheetId="0" hidden="1">'Cortes de Carne'!$A$1:$D$11</definedName>
    <definedName name="_xlnm._FilterDatabase" localSheetId="1" hidden="1">'cta cte clientes'!$A$1:$F$108</definedName>
    <definedName name="_xlnm._FilterDatabase" localSheetId="2" hidden="1">'cta cte Lucas'!$A$1:$F$83</definedName>
    <definedName name="_xlnm._FilterDatabase" localSheetId="8" hidden="1">'Ejemplo Lucas a mejorar'!$A$1:$L$48</definedName>
    <definedName name="_xlnm._FilterDatabase" localSheetId="9" hidden="1">'Julio-26'!$A$1:$L$32</definedName>
    <definedName name="_xlnm._FilterDatabase" localSheetId="7" hidden="1">'Junio-26'!$A$1:$L$78</definedName>
    <definedName name="_xlnm._FilterDatabase" localSheetId="5" hidden="1">'Mayo-26'!$A$1:$L$62</definedName>
  </definedNames>
  <calcPr calcId="191029"/>
  <fileRecoveryPr repairLoad="1"/>
</workbook>
</file>

<file path=xl/calcChain.xml><?xml version="1.0" encoding="utf-8"?>
<calcChain xmlns="http://schemas.openxmlformats.org/spreadsheetml/2006/main">
  <c r="D32" i="10" l="1"/>
  <c r="I31" i="10"/>
  <c r="J31" i="10" s="1"/>
  <c r="G31" i="10"/>
  <c r="I30" i="10"/>
  <c r="J30" i="10" s="1"/>
  <c r="G30" i="10"/>
  <c r="J29" i="10"/>
  <c r="I29" i="10"/>
  <c r="G29" i="10"/>
  <c r="J28" i="10"/>
  <c r="I28" i="10"/>
  <c r="G28" i="10"/>
  <c r="I27" i="10"/>
  <c r="J27" i="10" s="1"/>
  <c r="G27" i="10"/>
  <c r="I26" i="10"/>
  <c r="J26" i="10" s="1"/>
  <c r="G26" i="10"/>
  <c r="I25" i="10"/>
  <c r="J25" i="10" s="1"/>
  <c r="G25" i="10"/>
  <c r="J24" i="10"/>
  <c r="I24" i="10"/>
  <c r="G24" i="10"/>
  <c r="G32" i="10" s="1"/>
  <c r="J22" i="10"/>
  <c r="I22" i="10"/>
  <c r="G22" i="10"/>
  <c r="I21" i="10"/>
  <c r="J21" i="10" s="1"/>
  <c r="G21" i="10"/>
  <c r="I20" i="10"/>
  <c r="J20" i="10" s="1"/>
  <c r="G20" i="10"/>
  <c r="I19" i="10"/>
  <c r="J19" i="10" s="1"/>
  <c r="G19" i="10"/>
  <c r="J18" i="10"/>
  <c r="I18" i="10"/>
  <c r="G18" i="10"/>
  <c r="I17" i="10"/>
  <c r="J17" i="10" s="1"/>
  <c r="G17" i="10"/>
  <c r="J16" i="10"/>
  <c r="I16" i="10"/>
  <c r="G16" i="10"/>
  <c r="I15" i="10"/>
  <c r="J15" i="10" s="1"/>
  <c r="G15" i="10"/>
  <c r="J14" i="10"/>
  <c r="I14" i="10"/>
  <c r="G14" i="10"/>
  <c r="I13" i="10"/>
  <c r="J13" i="10" s="1"/>
  <c r="G13" i="10"/>
  <c r="J12" i="10"/>
  <c r="I12" i="10"/>
  <c r="G12" i="10"/>
  <c r="D12" i="10"/>
  <c r="G11" i="10"/>
  <c r="D11" i="10"/>
  <c r="I11" i="10" s="1"/>
  <c r="J11" i="10" s="1"/>
  <c r="J10" i="10"/>
  <c r="I10" i="10"/>
  <c r="G10" i="10"/>
  <c r="D10" i="10"/>
  <c r="J9" i="10"/>
  <c r="I9" i="10"/>
  <c r="G9" i="10"/>
  <c r="I8" i="10"/>
  <c r="J8" i="10" s="1"/>
  <c r="G8" i="10"/>
  <c r="J7" i="10"/>
  <c r="I7" i="10"/>
  <c r="G7" i="10"/>
  <c r="I6" i="10"/>
  <c r="J6" i="10" s="1"/>
  <c r="D6" i="10"/>
  <c r="G6" i="10" s="1"/>
  <c r="G23" i="10" s="1"/>
  <c r="G4" i="10"/>
  <c r="D4" i="10"/>
  <c r="I4" i="10" s="1"/>
  <c r="J4" i="10" s="1"/>
  <c r="J3" i="10"/>
  <c r="I3" i="10"/>
  <c r="G3" i="10"/>
  <c r="I2" i="10"/>
  <c r="J2" i="10" s="1"/>
  <c r="D2" i="10"/>
  <c r="G2" i="10" s="1"/>
  <c r="G5" i="10" s="1"/>
  <c r="D49" i="9"/>
  <c r="J48" i="9"/>
  <c r="I48" i="9"/>
  <c r="G48" i="9"/>
  <c r="D47" i="9"/>
  <c r="I47" i="9" s="1"/>
  <c r="J47" i="9" s="1"/>
  <c r="J46" i="9"/>
  <c r="I46" i="9"/>
  <c r="G46" i="9"/>
  <c r="J45" i="9"/>
  <c r="I45" i="9"/>
  <c r="G45" i="9"/>
  <c r="I44" i="9"/>
  <c r="J44" i="9" s="1"/>
  <c r="G44" i="9"/>
  <c r="J43" i="9"/>
  <c r="I43" i="9"/>
  <c r="G43" i="9"/>
  <c r="D43" i="9"/>
  <c r="D41" i="9"/>
  <c r="I41" i="9" s="1"/>
  <c r="J41" i="9" s="1"/>
  <c r="I40" i="9"/>
  <c r="J40" i="9" s="1"/>
  <c r="G40" i="9"/>
  <c r="I39" i="9"/>
  <c r="J39" i="9" s="1"/>
  <c r="G39" i="9"/>
  <c r="I38" i="9"/>
  <c r="J38" i="9" s="1"/>
  <c r="G38" i="9"/>
  <c r="J37" i="9"/>
  <c r="I37" i="9"/>
  <c r="G37" i="9"/>
  <c r="J36" i="9"/>
  <c r="I36" i="9"/>
  <c r="G36" i="9"/>
  <c r="G35" i="9"/>
  <c r="D35" i="9"/>
  <c r="I35" i="9" s="1"/>
  <c r="J35" i="9" s="1"/>
  <c r="I34" i="9"/>
  <c r="J34" i="9" s="1"/>
  <c r="G34" i="9"/>
  <c r="D34" i="9"/>
  <c r="J33" i="9"/>
  <c r="I33" i="9"/>
  <c r="G33" i="9"/>
  <c r="G32" i="9"/>
  <c r="D32" i="9"/>
  <c r="I32" i="9" s="1"/>
  <c r="J32" i="9" s="1"/>
  <c r="I31" i="9"/>
  <c r="J31" i="9" s="1"/>
  <c r="G31" i="9"/>
  <c r="J30" i="9"/>
  <c r="I30" i="9"/>
  <c r="G30" i="9"/>
  <c r="J29" i="9"/>
  <c r="I29" i="9"/>
  <c r="G29" i="9"/>
  <c r="J28" i="9"/>
  <c r="I28" i="9"/>
  <c r="G28" i="9"/>
  <c r="G27" i="9"/>
  <c r="D27" i="9"/>
  <c r="I27" i="9" s="1"/>
  <c r="J27" i="9" s="1"/>
  <c r="I26" i="9"/>
  <c r="J26" i="9" s="1"/>
  <c r="D26" i="9"/>
  <c r="G26" i="9" s="1"/>
  <c r="D25" i="9"/>
  <c r="I24" i="9"/>
  <c r="J24" i="9" s="1"/>
  <c r="J23" i="9"/>
  <c r="I23" i="9"/>
  <c r="J22" i="9"/>
  <c r="I22" i="9"/>
  <c r="J21" i="9"/>
  <c r="I21" i="9"/>
  <c r="I20" i="9"/>
  <c r="J20" i="9" s="1"/>
  <c r="J19" i="9"/>
  <c r="I19" i="9"/>
  <c r="J18" i="9"/>
  <c r="I18" i="9"/>
  <c r="D17" i="9"/>
  <c r="I16" i="9"/>
  <c r="J16" i="9" s="1"/>
  <c r="J15" i="9"/>
  <c r="I15" i="9"/>
  <c r="I14" i="9"/>
  <c r="J14" i="9" s="1"/>
  <c r="I13" i="9"/>
  <c r="J13" i="9" s="1"/>
  <c r="I12" i="9"/>
  <c r="J12" i="9" s="1"/>
  <c r="J11" i="9"/>
  <c r="I11" i="9"/>
  <c r="I10" i="9"/>
  <c r="J10" i="9" s="1"/>
  <c r="D9" i="9"/>
  <c r="J8" i="9"/>
  <c r="I8" i="9"/>
  <c r="I7" i="9"/>
  <c r="J7" i="9" s="1"/>
  <c r="J6" i="9"/>
  <c r="I6" i="9"/>
  <c r="J5" i="9"/>
  <c r="I5" i="9"/>
  <c r="J4" i="9"/>
  <c r="I4" i="9"/>
  <c r="I3" i="9"/>
  <c r="J3" i="9" s="1"/>
  <c r="J2" i="9"/>
  <c r="I2" i="9"/>
  <c r="G76" i="8"/>
  <c r="J75" i="8"/>
  <c r="I75" i="8"/>
  <c r="H75" i="8"/>
  <c r="H74" i="8"/>
  <c r="I74" i="8" s="1"/>
  <c r="J74" i="8" s="1"/>
  <c r="H73" i="8"/>
  <c r="I73" i="8" s="1"/>
  <c r="J73" i="8" s="1"/>
  <c r="H72" i="8"/>
  <c r="I72" i="8" s="1"/>
  <c r="J72" i="8" s="1"/>
  <c r="I70" i="8"/>
  <c r="J70" i="8" s="1"/>
  <c r="H70" i="8"/>
  <c r="I69" i="8"/>
  <c r="J69" i="8" s="1"/>
  <c r="H69" i="8"/>
  <c r="H68" i="8"/>
  <c r="I68" i="8" s="1"/>
  <c r="J68" i="8" s="1"/>
  <c r="J67" i="8"/>
  <c r="I67" i="8"/>
  <c r="H67" i="8"/>
  <c r="H66" i="8"/>
  <c r="I66" i="8" s="1"/>
  <c r="J66" i="8" s="1"/>
  <c r="H65" i="8"/>
  <c r="I65" i="8" s="1"/>
  <c r="J65" i="8" s="1"/>
  <c r="G65" i="8"/>
  <c r="I64" i="8"/>
  <c r="J64" i="8" s="1"/>
  <c r="H64" i="8"/>
  <c r="H63" i="8"/>
  <c r="I63" i="8" s="1"/>
  <c r="J63" i="8" s="1"/>
  <c r="J62" i="8"/>
  <c r="I62" i="8"/>
  <c r="H62" i="8"/>
  <c r="H61" i="8"/>
  <c r="I61" i="8" s="1"/>
  <c r="J61" i="8" s="1"/>
  <c r="H60" i="8"/>
  <c r="I60" i="8" s="1"/>
  <c r="J60" i="8" s="1"/>
  <c r="H59" i="8"/>
  <c r="I59" i="8" s="1"/>
  <c r="J59" i="8" s="1"/>
  <c r="G59" i="8"/>
  <c r="H58" i="8"/>
  <c r="I58" i="8" s="1"/>
  <c r="J58" i="8" s="1"/>
  <c r="G57" i="8"/>
  <c r="H57" i="8" s="1"/>
  <c r="I57" i="8" s="1"/>
  <c r="J57" i="8" s="1"/>
  <c r="G56" i="8"/>
  <c r="G71" i="8" s="1"/>
  <c r="J55" i="8"/>
  <c r="I55" i="8"/>
  <c r="H55" i="8"/>
  <c r="H54" i="8"/>
  <c r="I54" i="8" s="1"/>
  <c r="J54" i="8" s="1"/>
  <c r="H53" i="8"/>
  <c r="I53" i="8" s="1"/>
  <c r="J53" i="8" s="1"/>
  <c r="H51" i="8"/>
  <c r="I51" i="8" s="1"/>
  <c r="J51" i="8" s="1"/>
  <c r="H50" i="8"/>
  <c r="I50" i="8" s="1"/>
  <c r="J50" i="8" s="1"/>
  <c r="H49" i="8"/>
  <c r="I49" i="8" s="1"/>
  <c r="J49" i="8" s="1"/>
  <c r="I48" i="8"/>
  <c r="J48" i="8" s="1"/>
  <c r="H48" i="8"/>
  <c r="I47" i="8"/>
  <c r="J47" i="8" s="1"/>
  <c r="H47" i="8"/>
  <c r="G47" i="8"/>
  <c r="H46" i="8"/>
  <c r="I46" i="8" s="1"/>
  <c r="J46" i="8" s="1"/>
  <c r="G46" i="8"/>
  <c r="I45" i="8"/>
  <c r="J45" i="8" s="1"/>
  <c r="H45" i="8"/>
  <c r="G45" i="8"/>
  <c r="H44" i="8"/>
  <c r="I44" i="8" s="1"/>
  <c r="J44" i="8" s="1"/>
  <c r="H43" i="8"/>
  <c r="I43" i="8" s="1"/>
  <c r="J43" i="8" s="1"/>
  <c r="H42" i="8"/>
  <c r="I42" i="8" s="1"/>
  <c r="J42" i="8" s="1"/>
  <c r="G41" i="8"/>
  <c r="H41" i="8" s="1"/>
  <c r="I41" i="8" s="1"/>
  <c r="J41" i="8" s="1"/>
  <c r="J40" i="8"/>
  <c r="I40" i="8"/>
  <c r="H40" i="8"/>
  <c r="H39" i="8"/>
  <c r="I39" i="8" s="1"/>
  <c r="J39" i="8" s="1"/>
  <c r="H38" i="8"/>
  <c r="I38" i="8" s="1"/>
  <c r="J38" i="8" s="1"/>
  <c r="H37" i="8"/>
  <c r="I37" i="8" s="1"/>
  <c r="J37" i="8" s="1"/>
  <c r="I36" i="8"/>
  <c r="J36" i="8" s="1"/>
  <c r="H36" i="8"/>
  <c r="I35" i="8"/>
  <c r="J35" i="8" s="1"/>
  <c r="H35" i="8"/>
  <c r="G35" i="8"/>
  <c r="H34" i="8"/>
  <c r="I34" i="8" s="1"/>
  <c r="J34" i="8" s="1"/>
  <c r="G34" i="8"/>
  <c r="I33" i="8"/>
  <c r="J33" i="8" s="1"/>
  <c r="H33" i="8"/>
  <c r="G33" i="8"/>
  <c r="H32" i="8"/>
  <c r="I32" i="8" s="1"/>
  <c r="J32" i="8" s="1"/>
  <c r="G32" i="8"/>
  <c r="I31" i="8"/>
  <c r="J31" i="8" s="1"/>
  <c r="H31" i="8"/>
  <c r="G31" i="8"/>
  <c r="H30" i="8"/>
  <c r="I30" i="8" s="1"/>
  <c r="J30" i="8" s="1"/>
  <c r="G30" i="8"/>
  <c r="G52" i="8" s="1"/>
  <c r="H28" i="8"/>
  <c r="I28" i="8" s="1"/>
  <c r="J28" i="8" s="1"/>
  <c r="I27" i="8"/>
  <c r="J27" i="8" s="1"/>
  <c r="H27" i="8"/>
  <c r="I26" i="8"/>
  <c r="J26" i="8" s="1"/>
  <c r="H26" i="8"/>
  <c r="I25" i="8"/>
  <c r="J25" i="8" s="1"/>
  <c r="H25" i="8"/>
  <c r="H24" i="8"/>
  <c r="I24" i="8" s="1"/>
  <c r="J24" i="8" s="1"/>
  <c r="G23" i="8"/>
  <c r="H23" i="8" s="1"/>
  <c r="I23" i="8" s="1"/>
  <c r="J23" i="8" s="1"/>
  <c r="I22" i="8"/>
  <c r="J22" i="8" s="1"/>
  <c r="H22" i="8"/>
  <c r="I21" i="8"/>
  <c r="J21" i="8" s="1"/>
  <c r="H21" i="8"/>
  <c r="G20" i="8"/>
  <c r="H20" i="8" s="1"/>
  <c r="I20" i="8" s="1"/>
  <c r="J20" i="8" s="1"/>
  <c r="H19" i="8"/>
  <c r="I19" i="8" s="1"/>
  <c r="J19" i="8" s="1"/>
  <c r="G19" i="8"/>
  <c r="G18" i="8"/>
  <c r="H18" i="8" s="1"/>
  <c r="I18" i="8" s="1"/>
  <c r="J18" i="8" s="1"/>
  <c r="H17" i="8"/>
  <c r="I17" i="8" s="1"/>
  <c r="J17" i="8" s="1"/>
  <c r="G17" i="8"/>
  <c r="I16" i="8"/>
  <c r="J16" i="8" s="1"/>
  <c r="H16" i="8"/>
  <c r="G15" i="8"/>
  <c r="H15" i="8" s="1"/>
  <c r="I15" i="8" s="1"/>
  <c r="J15" i="8" s="1"/>
  <c r="H14" i="8"/>
  <c r="I14" i="8" s="1"/>
  <c r="J14" i="8" s="1"/>
  <c r="I13" i="8"/>
  <c r="J13" i="8" s="1"/>
  <c r="H13" i="8"/>
  <c r="I12" i="8"/>
  <c r="J12" i="8" s="1"/>
  <c r="H12" i="8"/>
  <c r="I11" i="8"/>
  <c r="J11" i="8" s="1"/>
  <c r="H11" i="8"/>
  <c r="H10" i="8"/>
  <c r="I10" i="8" s="1"/>
  <c r="J10" i="8" s="1"/>
  <c r="J9" i="8"/>
  <c r="I9" i="8"/>
  <c r="H9" i="8"/>
  <c r="H8" i="8"/>
  <c r="I8" i="8" s="1"/>
  <c r="J8" i="8" s="1"/>
  <c r="H7" i="8"/>
  <c r="I7" i="8" s="1"/>
  <c r="J7" i="8" s="1"/>
  <c r="H6" i="8"/>
  <c r="I6" i="8" s="1"/>
  <c r="J6" i="8" s="1"/>
  <c r="G6" i="8"/>
  <c r="H5" i="8"/>
  <c r="I5" i="8" s="1"/>
  <c r="J5" i="8" s="1"/>
  <c r="J4" i="8"/>
  <c r="I4" i="8"/>
  <c r="H4" i="8"/>
  <c r="H3" i="8"/>
  <c r="I3" i="8" s="1"/>
  <c r="J3" i="8" s="1"/>
  <c r="H2" i="8"/>
  <c r="I2" i="8" s="1"/>
  <c r="J2" i="8" s="1"/>
  <c r="G44" i="7"/>
  <c r="H44" i="7" s="1"/>
  <c r="I44" i="7" s="1"/>
  <c r="H43" i="7"/>
  <c r="I43" i="7" s="1"/>
  <c r="G43" i="7"/>
  <c r="G41" i="7"/>
  <c r="H41" i="7" s="1"/>
  <c r="I41" i="7" s="1"/>
  <c r="H40" i="7"/>
  <c r="I40" i="7" s="1"/>
  <c r="G40" i="7"/>
  <c r="H39" i="7"/>
  <c r="I39" i="7" s="1"/>
  <c r="G39" i="7"/>
  <c r="H38" i="7"/>
  <c r="I38" i="7" s="1"/>
  <c r="G38" i="7"/>
  <c r="F37" i="7"/>
  <c r="G37" i="7" s="1"/>
  <c r="H37" i="7" s="1"/>
  <c r="I37" i="7" s="1"/>
  <c r="G36" i="7"/>
  <c r="H36" i="7" s="1"/>
  <c r="I36" i="7" s="1"/>
  <c r="H35" i="7"/>
  <c r="I35" i="7" s="1"/>
  <c r="G35" i="7"/>
  <c r="H34" i="7"/>
  <c r="I34" i="7" s="1"/>
  <c r="G34" i="7"/>
  <c r="H33" i="7"/>
  <c r="I33" i="7" s="1"/>
  <c r="G33" i="7"/>
  <c r="G32" i="7"/>
  <c r="H32" i="7" s="1"/>
  <c r="I32" i="7" s="1"/>
  <c r="I31" i="7"/>
  <c r="H31" i="7"/>
  <c r="G31" i="7"/>
  <c r="G30" i="7"/>
  <c r="H30" i="7" s="1"/>
  <c r="I30" i="7" s="1"/>
  <c r="G29" i="7"/>
  <c r="H29" i="7" s="1"/>
  <c r="I29" i="7" s="1"/>
  <c r="G28" i="7"/>
  <c r="H28" i="7" s="1"/>
  <c r="I28" i="7" s="1"/>
  <c r="F27" i="7"/>
  <c r="G27" i="7" s="1"/>
  <c r="H27" i="7" s="1"/>
  <c r="I27" i="7" s="1"/>
  <c r="I26" i="7"/>
  <c r="H26" i="7"/>
  <c r="G26" i="7"/>
  <c r="G25" i="7"/>
  <c r="H25" i="7" s="1"/>
  <c r="I25" i="7" s="1"/>
  <c r="G24" i="7"/>
  <c r="H24" i="7" s="1"/>
  <c r="I24" i="7" s="1"/>
  <c r="G23" i="7"/>
  <c r="H23" i="7" s="1"/>
  <c r="I23" i="7" s="1"/>
  <c r="G21" i="7"/>
  <c r="H21" i="7" s="1"/>
  <c r="I21" i="7" s="1"/>
  <c r="F21" i="7"/>
  <c r="F20" i="7"/>
  <c r="G20" i="7" s="1"/>
  <c r="H20" i="7" s="1"/>
  <c r="I20" i="7" s="1"/>
  <c r="G19" i="7"/>
  <c r="H19" i="7" s="1"/>
  <c r="I19" i="7" s="1"/>
  <c r="G18" i="7"/>
  <c r="H18" i="7" s="1"/>
  <c r="I18" i="7" s="1"/>
  <c r="H17" i="7"/>
  <c r="I17" i="7" s="1"/>
  <c r="G17" i="7"/>
  <c r="H16" i="7"/>
  <c r="I16" i="7" s="1"/>
  <c r="G16" i="7"/>
  <c r="F16" i="7"/>
  <c r="G15" i="7"/>
  <c r="H15" i="7" s="1"/>
  <c r="I15" i="7" s="1"/>
  <c r="F15" i="7"/>
  <c r="H14" i="7"/>
  <c r="I14" i="7" s="1"/>
  <c r="G14" i="7"/>
  <c r="H13" i="7"/>
  <c r="I13" i="7" s="1"/>
  <c r="G13" i="7"/>
  <c r="G12" i="7"/>
  <c r="H12" i="7" s="1"/>
  <c r="I12" i="7" s="1"/>
  <c r="F11" i="7"/>
  <c r="F22" i="7" s="1"/>
  <c r="H10" i="7"/>
  <c r="I10" i="7" s="1"/>
  <c r="G10" i="7"/>
  <c r="H9" i="7"/>
  <c r="I9" i="7" s="1"/>
  <c r="G9" i="7"/>
  <c r="H8" i="7"/>
  <c r="I8" i="7" s="1"/>
  <c r="G8" i="7"/>
  <c r="G7" i="7"/>
  <c r="H7" i="7" s="1"/>
  <c r="I7" i="7" s="1"/>
  <c r="I6" i="7"/>
  <c r="H6" i="7"/>
  <c r="G6" i="7"/>
  <c r="G4" i="7"/>
  <c r="H4" i="7" s="1"/>
  <c r="I4" i="7" s="1"/>
  <c r="I3" i="7"/>
  <c r="H3" i="7"/>
  <c r="G3" i="7"/>
  <c r="G2" i="7"/>
  <c r="H2" i="7" s="1"/>
  <c r="I2" i="7" s="1"/>
  <c r="I5" i="7" s="1"/>
  <c r="F2" i="7"/>
  <c r="F5" i="7" s="1"/>
  <c r="G60" i="6"/>
  <c r="I59" i="6"/>
  <c r="J59" i="6" s="1"/>
  <c r="H59" i="6"/>
  <c r="I58" i="6"/>
  <c r="J58" i="6" s="1"/>
  <c r="H58" i="6"/>
  <c r="I57" i="6"/>
  <c r="J57" i="6" s="1"/>
  <c r="H57" i="6"/>
  <c r="H56" i="6"/>
  <c r="I56" i="6" s="1"/>
  <c r="J56" i="6" s="1"/>
  <c r="G55" i="6"/>
  <c r="H55" i="6" s="1"/>
  <c r="I55" i="6" s="1"/>
  <c r="J55" i="6" s="1"/>
  <c r="I54" i="6"/>
  <c r="J54" i="6" s="1"/>
  <c r="H54" i="6"/>
  <c r="I53" i="6"/>
  <c r="J53" i="6" s="1"/>
  <c r="H53" i="6"/>
  <c r="G53" i="6"/>
  <c r="H52" i="6"/>
  <c r="I52" i="6" s="1"/>
  <c r="J52" i="6" s="1"/>
  <c r="H51" i="6"/>
  <c r="I51" i="6" s="1"/>
  <c r="J51" i="6" s="1"/>
  <c r="H50" i="6"/>
  <c r="I50" i="6" s="1"/>
  <c r="J50" i="6" s="1"/>
  <c r="I49" i="6"/>
  <c r="J49" i="6" s="1"/>
  <c r="H49" i="6"/>
  <c r="I48" i="6"/>
  <c r="J48" i="6" s="1"/>
  <c r="H48" i="6"/>
  <c r="I47" i="6"/>
  <c r="J47" i="6" s="1"/>
  <c r="H47" i="6"/>
  <c r="H46" i="6"/>
  <c r="I46" i="6" s="1"/>
  <c r="J46" i="6" s="1"/>
  <c r="J45" i="6"/>
  <c r="I45" i="6"/>
  <c r="H45" i="6"/>
  <c r="H44" i="6"/>
  <c r="I44" i="6" s="1"/>
  <c r="J44" i="6" s="1"/>
  <c r="H43" i="6"/>
  <c r="I43" i="6" s="1"/>
  <c r="J43" i="6" s="1"/>
  <c r="J60" i="6" s="1"/>
  <c r="H41" i="6"/>
  <c r="I41" i="6" s="1"/>
  <c r="J41" i="6" s="1"/>
  <c r="H40" i="6"/>
  <c r="I40" i="6" s="1"/>
  <c r="J40" i="6" s="1"/>
  <c r="H39" i="6"/>
  <c r="I39" i="6" s="1"/>
  <c r="J39" i="6" s="1"/>
  <c r="I38" i="6"/>
  <c r="J38" i="6" s="1"/>
  <c r="H38" i="6"/>
  <c r="I37" i="6"/>
  <c r="J37" i="6" s="1"/>
  <c r="H37" i="6"/>
  <c r="G37" i="6"/>
  <c r="H36" i="6"/>
  <c r="I36" i="6" s="1"/>
  <c r="J36" i="6" s="1"/>
  <c r="H35" i="6"/>
  <c r="I35" i="6" s="1"/>
  <c r="J35" i="6" s="1"/>
  <c r="H34" i="6"/>
  <c r="I34" i="6" s="1"/>
  <c r="J34" i="6" s="1"/>
  <c r="I33" i="6"/>
  <c r="J33" i="6" s="1"/>
  <c r="H33" i="6"/>
  <c r="I32" i="6"/>
  <c r="J32" i="6" s="1"/>
  <c r="H32" i="6"/>
  <c r="I31" i="6"/>
  <c r="J31" i="6" s="1"/>
  <c r="H31" i="6"/>
  <c r="H30" i="6"/>
  <c r="I30" i="6" s="1"/>
  <c r="J30" i="6" s="1"/>
  <c r="J29" i="6"/>
  <c r="I29" i="6"/>
  <c r="H29" i="6"/>
  <c r="H28" i="6"/>
  <c r="I28" i="6" s="1"/>
  <c r="J28" i="6" s="1"/>
  <c r="H27" i="6"/>
  <c r="I27" i="6" s="1"/>
  <c r="J27" i="6" s="1"/>
  <c r="G27" i="6"/>
  <c r="G42" i="6" s="1"/>
  <c r="I26" i="6"/>
  <c r="J26" i="6" s="1"/>
  <c r="H26" i="6"/>
  <c r="H25" i="6"/>
  <c r="I25" i="6" s="1"/>
  <c r="J25" i="6" s="1"/>
  <c r="J24" i="6"/>
  <c r="I24" i="6"/>
  <c r="H24" i="6"/>
  <c r="H23" i="6"/>
  <c r="I23" i="6" s="1"/>
  <c r="J23" i="6" s="1"/>
  <c r="G21" i="6"/>
  <c r="H21" i="6" s="1"/>
  <c r="I21" i="6" s="1"/>
  <c r="J21" i="6" s="1"/>
  <c r="G20" i="6"/>
  <c r="H20" i="6" s="1"/>
  <c r="I20" i="6" s="1"/>
  <c r="J20" i="6" s="1"/>
  <c r="J19" i="6"/>
  <c r="I19" i="6"/>
  <c r="H19" i="6"/>
  <c r="H18" i="6"/>
  <c r="I18" i="6" s="1"/>
  <c r="J18" i="6" s="1"/>
  <c r="H17" i="6"/>
  <c r="I17" i="6" s="1"/>
  <c r="J17" i="6" s="1"/>
  <c r="H16" i="6"/>
  <c r="I16" i="6" s="1"/>
  <c r="J16" i="6" s="1"/>
  <c r="G16" i="6"/>
  <c r="G15" i="6"/>
  <c r="H15" i="6" s="1"/>
  <c r="I15" i="6" s="1"/>
  <c r="J15" i="6" s="1"/>
  <c r="H14" i="6"/>
  <c r="I14" i="6" s="1"/>
  <c r="J14" i="6" s="1"/>
  <c r="I13" i="6"/>
  <c r="J13" i="6" s="1"/>
  <c r="H13" i="6"/>
  <c r="I12" i="6"/>
  <c r="J12" i="6" s="1"/>
  <c r="H12" i="6"/>
  <c r="G11" i="6"/>
  <c r="H11" i="6" s="1"/>
  <c r="I11" i="6" s="1"/>
  <c r="J11" i="6" s="1"/>
  <c r="H10" i="6"/>
  <c r="I10" i="6" s="1"/>
  <c r="J10" i="6" s="1"/>
  <c r="H9" i="6"/>
  <c r="I9" i="6" s="1"/>
  <c r="J9" i="6" s="1"/>
  <c r="I8" i="6"/>
  <c r="J8" i="6" s="1"/>
  <c r="H8" i="6"/>
  <c r="I7" i="6"/>
  <c r="J7" i="6" s="1"/>
  <c r="H7" i="6"/>
  <c r="I6" i="6"/>
  <c r="J6" i="6" s="1"/>
  <c r="H6" i="6"/>
  <c r="I4" i="6"/>
  <c r="J4" i="6" s="1"/>
  <c r="H4" i="6"/>
  <c r="I3" i="6"/>
  <c r="J3" i="6" s="1"/>
  <c r="H3" i="6"/>
  <c r="G2" i="6"/>
  <c r="G5" i="6" s="1"/>
  <c r="H5" i="5"/>
  <c r="I5" i="5" s="1"/>
  <c r="J5" i="5" s="1"/>
  <c r="G5" i="5"/>
  <c r="I4" i="5"/>
  <c r="J4" i="5" s="1"/>
  <c r="H4" i="5"/>
  <c r="I3" i="5"/>
  <c r="J3" i="5" s="1"/>
  <c r="H3" i="5"/>
  <c r="G2" i="5"/>
  <c r="I2" i="5" s="1"/>
  <c r="J2" i="5" s="1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D4" i="3"/>
  <c r="D3" i="3"/>
  <c r="F2" i="3"/>
  <c r="F3" i="3" s="1"/>
  <c r="F4" i="3" s="1"/>
  <c r="F5" i="3" s="1"/>
  <c r="F6" i="3" s="1"/>
  <c r="F7" i="3" s="1"/>
  <c r="F8" i="3" s="1"/>
  <c r="F9" i="3" s="1"/>
  <c r="F104" i="2"/>
  <c r="F105" i="2" s="1"/>
  <c r="F106" i="2" s="1"/>
  <c r="F107" i="2" s="1"/>
  <c r="F108" i="2" s="1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11" i="1"/>
  <c r="D10" i="1"/>
  <c r="D9" i="1"/>
  <c r="D8" i="1"/>
  <c r="D7" i="1"/>
  <c r="D6" i="1"/>
  <c r="D5" i="1"/>
  <c r="D4" i="1"/>
  <c r="D3" i="1"/>
  <c r="D2" i="1"/>
  <c r="J22" i="6" l="1"/>
  <c r="J5" i="10"/>
  <c r="J23" i="10"/>
  <c r="J52" i="8"/>
  <c r="J42" i="9"/>
  <c r="J49" i="9"/>
  <c r="J6" i="5"/>
  <c r="J42" i="6"/>
  <c r="J61" i="6" s="1"/>
  <c r="J32" i="10"/>
  <c r="I42" i="7"/>
  <c r="J29" i="8"/>
  <c r="J76" i="8"/>
  <c r="G6" i="5"/>
  <c r="G11" i="7"/>
  <c r="H11" i="7" s="1"/>
  <c r="I11" i="7" s="1"/>
  <c r="I22" i="7" s="1"/>
  <c r="G41" i="9"/>
  <c r="G42" i="9" s="1"/>
  <c r="D5" i="10"/>
  <c r="F42" i="7"/>
  <c r="G29" i="8"/>
  <c r="G77" i="8" s="1"/>
  <c r="D23" i="10"/>
  <c r="H2" i="6"/>
  <c r="I2" i="6" s="1"/>
  <c r="J2" i="6" s="1"/>
  <c r="J5" i="6" s="1"/>
  <c r="G22" i="6"/>
  <c r="G61" i="6" s="1"/>
  <c r="D42" i="9"/>
  <c r="H56" i="8"/>
  <c r="I56" i="8" s="1"/>
  <c r="J56" i="8" s="1"/>
  <c r="J71" i="8" s="1"/>
  <c r="G47" i="9"/>
  <c r="G49" i="9" s="1"/>
  <c r="J62" i="6" l="1"/>
  <c r="J77" i="8"/>
  <c r="J78" i="8" s="1"/>
  <c r="L7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1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negativo es q le debemos plata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1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negativo es q le debemos plata
</t>
        </r>
      </text>
    </comment>
  </commentList>
</comments>
</file>

<file path=xl/sharedStrings.xml><?xml version="1.0" encoding="utf-8"?>
<sst xmlns="http://schemas.openxmlformats.org/spreadsheetml/2006/main" count="1428" uniqueCount="284">
  <si>
    <t>Corte</t>
  </si>
  <si>
    <t>Costo x Kg (Lucas)</t>
  </si>
  <si>
    <t>Precio x Kg (vta)</t>
  </si>
  <si>
    <t>Ganancia x Kg</t>
  </si>
  <si>
    <t>ProductoID</t>
  </si>
  <si>
    <t>Categoría</t>
  </si>
  <si>
    <t>Unidad</t>
  </si>
  <si>
    <t>Estado</t>
  </si>
  <si>
    <t>Bife Ch</t>
  </si>
  <si>
    <t>P0001</t>
  </si>
  <si>
    <t>kg</t>
  </si>
  <si>
    <t>Activo</t>
  </si>
  <si>
    <t>Colita de Cuadril</t>
  </si>
  <si>
    <t>P0002</t>
  </si>
  <si>
    <t>Lomo</t>
  </si>
  <si>
    <t>P0003</t>
  </si>
  <si>
    <t>Nalga Feteada</t>
  </si>
  <si>
    <t>P0004</t>
  </si>
  <si>
    <t>Nalga sin Tapa</t>
  </si>
  <si>
    <t>P0005</t>
  </si>
  <si>
    <t>Peceto</t>
  </si>
  <si>
    <t>P0006</t>
  </si>
  <si>
    <t>Peceto Feteado</t>
  </si>
  <si>
    <t>P0007</t>
  </si>
  <si>
    <t>Picada especial</t>
  </si>
  <si>
    <t>P0008</t>
  </si>
  <si>
    <t>Picaña</t>
  </si>
  <si>
    <t>P0009</t>
  </si>
  <si>
    <t>Vacio</t>
  </si>
  <si>
    <t>P0010</t>
  </si>
  <si>
    <t>P0011</t>
  </si>
  <si>
    <t>P0012</t>
  </si>
  <si>
    <t>FECHA</t>
  </si>
  <si>
    <t>Cliente</t>
  </si>
  <si>
    <t>Medio d pago</t>
  </si>
  <si>
    <t>COBRO</t>
  </si>
  <si>
    <t>VENTA</t>
  </si>
  <si>
    <t>SALDO x vta</t>
  </si>
  <si>
    <t>JuanMa</t>
  </si>
  <si>
    <t>MercadoPago</t>
  </si>
  <si>
    <t>Muncha</t>
  </si>
  <si>
    <t>Efectivo</t>
  </si>
  <si>
    <t>Annette</t>
  </si>
  <si>
    <t>Isa</t>
  </si>
  <si>
    <t>Ale S</t>
  </si>
  <si>
    <t>Tomi Rivero</t>
  </si>
  <si>
    <t>Laura</t>
  </si>
  <si>
    <t>Sonia</t>
  </si>
  <si>
    <t>Jime</t>
  </si>
  <si>
    <t>Mariano</t>
  </si>
  <si>
    <t>Peter</t>
  </si>
  <si>
    <t>Carlos Rivero</t>
  </si>
  <si>
    <t>Matias de Blasi</t>
  </si>
  <si>
    <t>Gaston Uzin</t>
  </si>
  <si>
    <t>Adela</t>
  </si>
  <si>
    <t>Matias</t>
  </si>
  <si>
    <t>Rodillo</t>
  </si>
  <si>
    <t>Breide</t>
  </si>
  <si>
    <t>Carola</t>
  </si>
  <si>
    <t>Lourdes</t>
  </si>
  <si>
    <t>Delia</t>
  </si>
  <si>
    <t>Rochi Melazza</t>
  </si>
  <si>
    <t>Ines</t>
  </si>
  <si>
    <t>Ana del Pino</t>
  </si>
  <si>
    <t>Juan S</t>
  </si>
  <si>
    <t>Diego</t>
  </si>
  <si>
    <t>Rodolfo Melazza</t>
  </si>
  <si>
    <t>Laura Costu</t>
  </si>
  <si>
    <t>Matias Ureta</t>
  </si>
  <si>
    <t>Ezequiel</t>
  </si>
  <si>
    <t>Tomas Koch</t>
  </si>
  <si>
    <t>Patricio Cabrini</t>
  </si>
  <si>
    <t>Maria Eizayaga</t>
  </si>
  <si>
    <t>Fernando Zambra</t>
  </si>
  <si>
    <t>Bettina</t>
  </si>
  <si>
    <t>Juanito</t>
  </si>
  <si>
    <t>Tomi Suarez</t>
  </si>
  <si>
    <t>Joaquin Reichart</t>
  </si>
  <si>
    <t>Pato O'Reilly</t>
  </si>
  <si>
    <t>Cristina Igarzabal</t>
  </si>
  <si>
    <t>Diego Gonzalez Bonorino</t>
  </si>
  <si>
    <t>Laura Guidi</t>
  </si>
  <si>
    <t>cobro efect lucas</t>
  </si>
  <si>
    <t>Tengo en casa Juan</t>
  </si>
  <si>
    <t>nota lucas:  me pagaste todo ok</t>
  </si>
  <si>
    <t>fecha</t>
  </si>
  <si>
    <t>concepto</t>
  </si>
  <si>
    <t>pague</t>
  </si>
  <si>
    <t xml:space="preserve">le debo esto tiene q ser igual a tu costo </t>
  </si>
  <si>
    <t>saldo</t>
  </si>
  <si>
    <t>Mercaderia semana</t>
  </si>
  <si>
    <t>JuanMa costo carne</t>
  </si>
  <si>
    <t>Pagó Carola directo</t>
  </si>
  <si>
    <t xml:space="preserve">MercadoPago </t>
  </si>
  <si>
    <t>Deuda semana pasada</t>
  </si>
  <si>
    <t>Priemeros días de julio</t>
  </si>
  <si>
    <t>Teléfono / Contacto</t>
  </si>
  <si>
    <t>Domicilio</t>
  </si>
  <si>
    <t>Notas</t>
  </si>
  <si>
    <t>Campo_5</t>
  </si>
  <si>
    <t>Campo_6</t>
  </si>
  <si>
    <t>Campo_7</t>
  </si>
  <si>
    <t>Campo_8</t>
  </si>
  <si>
    <t>ClienteID</t>
  </si>
  <si>
    <t>FechaAlta</t>
  </si>
  <si>
    <t>Adela Igarzabal</t>
  </si>
  <si>
    <t>54 911-3261-4129</t>
  </si>
  <si>
    <t>C0001</t>
  </si>
  <si>
    <t>Ale Silveyra</t>
  </si>
  <si>
    <t>54 911-5720-1983</t>
  </si>
  <si>
    <t>Victoria Ocampo 738, Beccar</t>
  </si>
  <si>
    <t>Coordinar con Silvina</t>
  </si>
  <si>
    <t>C0002</t>
  </si>
  <si>
    <t>C0003</t>
  </si>
  <si>
    <t>54 911-6227-8629</t>
  </si>
  <si>
    <t>Suipacha 2365, Beccar</t>
  </si>
  <si>
    <t>C0004</t>
  </si>
  <si>
    <t>Bettina Helvadjian</t>
  </si>
  <si>
    <t>54 911-4889-5676</t>
  </si>
  <si>
    <t>Diagonal Tucumán 671, Martinez</t>
  </si>
  <si>
    <t>C0005</t>
  </si>
  <si>
    <t>C0006</t>
  </si>
  <si>
    <t>Carola Alfonzo</t>
  </si>
  <si>
    <t>54 911-6369-0104</t>
  </si>
  <si>
    <t>Máma Fran Rodillo</t>
  </si>
  <si>
    <t>C0007</t>
  </si>
  <si>
    <t>54 911-3245-6070</t>
  </si>
  <si>
    <t>C0008</t>
  </si>
  <si>
    <t>C0009</t>
  </si>
  <si>
    <t>C0010</t>
  </si>
  <si>
    <t>54 911-4041-3480</t>
  </si>
  <si>
    <t>Nicolás Avellaneda 2262, San Isidro</t>
  </si>
  <si>
    <t>C0011</t>
  </si>
  <si>
    <t>54 911-6589-4002</t>
  </si>
  <si>
    <t>Barrio Sunny, Tigre</t>
  </si>
  <si>
    <t>Lote 24</t>
  </si>
  <si>
    <t>C0012</t>
  </si>
  <si>
    <t>Fran Rodillo</t>
  </si>
  <si>
    <t>C0013</t>
  </si>
  <si>
    <t>Gaston</t>
  </si>
  <si>
    <t>C0014</t>
  </si>
  <si>
    <t>54 911-3245-7669</t>
  </si>
  <si>
    <t>C0015</t>
  </si>
  <si>
    <t>Inés Igarzabal</t>
  </si>
  <si>
    <t>54 911-6494-8444</t>
  </si>
  <si>
    <t>Jacinto Diaz 2080, San Isidro</t>
  </si>
  <si>
    <t>C0016</t>
  </si>
  <si>
    <t>Isabel Lopez Lacarrere</t>
  </si>
  <si>
    <t>54 911-4444-7034</t>
  </si>
  <si>
    <t>Lote 49</t>
  </si>
  <si>
    <t>C0017</t>
  </si>
  <si>
    <t>Jaime Lorenzo</t>
  </si>
  <si>
    <t>C0018</t>
  </si>
  <si>
    <t>Jime Gonzalez Mathys</t>
  </si>
  <si>
    <t>54 911-3090-2166</t>
  </si>
  <si>
    <t>Rosario de Santa Fe 649, Beccar</t>
  </si>
  <si>
    <t>C0019</t>
  </si>
  <si>
    <t>56 9 9851-6389</t>
  </si>
  <si>
    <t>Bolivar 290, Beccar</t>
  </si>
  <si>
    <t>Casa de los padres</t>
  </si>
  <si>
    <t>C0020</t>
  </si>
  <si>
    <t>Juan Sw</t>
  </si>
  <si>
    <t>C0021</t>
  </si>
  <si>
    <t>C0022</t>
  </si>
  <si>
    <t>54 911-3209-0844</t>
  </si>
  <si>
    <t>C0023</t>
  </si>
  <si>
    <t>54 911-3930-7437</t>
  </si>
  <si>
    <t>J. F. Kennedy, Victoria</t>
  </si>
  <si>
    <t>Costurera/Limpieza</t>
  </si>
  <si>
    <t>C0024</t>
  </si>
  <si>
    <t>Laura Igarzabal</t>
  </si>
  <si>
    <t>C0025</t>
  </si>
  <si>
    <t>C0026</t>
  </si>
  <si>
    <t>C0027</t>
  </si>
  <si>
    <t>C0028</t>
  </si>
  <si>
    <t>54 911-6299-2667</t>
  </si>
  <si>
    <t>C0029</t>
  </si>
  <si>
    <t>Matias Sonzini</t>
  </si>
  <si>
    <t>54 911-3593-2039</t>
  </si>
  <si>
    <t>Ohiggins 450, San Isidro</t>
  </si>
  <si>
    <t>1A</t>
  </si>
  <si>
    <t>C0030</t>
  </si>
  <si>
    <t>C0031</t>
  </si>
  <si>
    <t>54 911-4416-8375</t>
  </si>
  <si>
    <t>Murature 732, San Isidro</t>
  </si>
  <si>
    <t>Mamá de Naco y Juan Ortega</t>
  </si>
  <si>
    <t>C0032</t>
  </si>
  <si>
    <t>C0033</t>
  </si>
  <si>
    <t>C0034</t>
  </si>
  <si>
    <t>54 911-5452-4573</t>
  </si>
  <si>
    <t>Vicente Fidel López 388, Martinez</t>
  </si>
  <si>
    <t>2A</t>
  </si>
  <si>
    <t>C0035</t>
  </si>
  <si>
    <t>C0036</t>
  </si>
  <si>
    <t>C0037</t>
  </si>
  <si>
    <t>Santi Breide</t>
  </si>
  <si>
    <t>54 911-3904-5214</t>
  </si>
  <si>
    <t>C0038</t>
  </si>
  <si>
    <t>Sonia Haddad</t>
  </si>
  <si>
    <t>507 6354-0567</t>
  </si>
  <si>
    <t>Monseñor Alberti 474, San Isidro</t>
  </si>
  <si>
    <t>3A</t>
  </si>
  <si>
    <t>C0039</t>
  </si>
  <si>
    <t>54 911-3004-1596</t>
  </si>
  <si>
    <t>Comandante Luis Piedrabuena 3311, Victoria</t>
  </si>
  <si>
    <t>C0040</t>
  </si>
  <si>
    <t>C0041</t>
  </si>
  <si>
    <t>C0042</t>
  </si>
  <si>
    <t>C0043</t>
  </si>
  <si>
    <t>C0044</t>
  </si>
  <si>
    <t>Fecha</t>
  </si>
  <si>
    <t>Vendedor</t>
  </si>
  <si>
    <t>Costo x Kg</t>
  </si>
  <si>
    <t>$ x Kg</t>
  </si>
  <si>
    <t>Kg vendidos</t>
  </si>
  <si>
    <t>Paga</t>
  </si>
  <si>
    <t>Ganancia</t>
  </si>
  <si>
    <t>Neto /2</t>
  </si>
  <si>
    <t>Medio de pago</t>
  </si>
  <si>
    <t>Observaciones</t>
  </si>
  <si>
    <t>Colita</t>
  </si>
  <si>
    <t>Pagó</t>
  </si>
  <si>
    <t>A favor AR$600</t>
  </si>
  <si>
    <t>Cierra semana</t>
  </si>
  <si>
    <t>Pagó a través de Juan</t>
  </si>
  <si>
    <t>Paga $36.200, tenía a favor $600 del mes pasado</t>
  </si>
  <si>
    <t>Zurdo</t>
  </si>
  <si>
    <t>Pagó, a favor AR$200</t>
  </si>
  <si>
    <t>Tomi</t>
  </si>
  <si>
    <t xml:space="preserve">Juanito </t>
  </si>
  <si>
    <t>Pagó, a favor AR$100</t>
  </si>
  <si>
    <t>Nalga s/Tapa</t>
  </si>
  <si>
    <t>Inés</t>
  </si>
  <si>
    <t>Juan S.</t>
  </si>
  <si>
    <t>Gcia juanox kg</t>
  </si>
  <si>
    <t>Empleadas de mi abuela</t>
  </si>
  <si>
    <t>Costo x Kg (esto me pagas a mi)</t>
  </si>
  <si>
    <t>Peceto F.</t>
  </si>
  <si>
    <t>Pagó, a favor AR$50</t>
  </si>
  <si>
    <t>Ale S.</t>
  </si>
  <si>
    <t>Pagó, a favor AR$3.400</t>
  </si>
  <si>
    <t>Matías Ureta</t>
  </si>
  <si>
    <t>Peceto F</t>
  </si>
  <si>
    <t xml:space="preserve">Lomo </t>
  </si>
  <si>
    <t>Pago</t>
  </si>
  <si>
    <t>Pagó, AR$44.500 en MP</t>
  </si>
  <si>
    <t>Nalga F</t>
  </si>
  <si>
    <t>Pagó, a favor AR$300</t>
  </si>
  <si>
    <t>Picada</t>
  </si>
  <si>
    <t>Pagó, y transfirió AR$5.000</t>
  </si>
  <si>
    <t>Mila Peceto</t>
  </si>
  <si>
    <t xml:space="preserve">transfer a juano x milas descuento </t>
  </si>
  <si>
    <t>gcia x kg juano</t>
  </si>
  <si>
    <t xml:space="preserve">costo por kg </t>
  </si>
  <si>
    <t>costo total</t>
  </si>
  <si>
    <t>vta $ x Kg</t>
  </si>
  <si>
    <t>Nalga F.</t>
  </si>
  <si>
    <t>Pagó, a favor AR$4000</t>
  </si>
  <si>
    <t>MercadoLibre</t>
  </si>
  <si>
    <t>MercadoaPago</t>
  </si>
  <si>
    <t xml:space="preserve"> </t>
  </si>
  <si>
    <t>Picada Especial</t>
  </si>
  <si>
    <t>Inicializado</t>
  </si>
  <si>
    <t>0.6.0</t>
  </si>
  <si>
    <t>2026-07-26</t>
  </si>
  <si>
    <t>En desarrollo</t>
  </si>
  <si>
    <t>Normalización productos</t>
  </si>
  <si>
    <t>0.7.0</t>
  </si>
  <si>
    <t>Datos maestros</t>
  </si>
  <si>
    <t>0.8.0</t>
  </si>
  <si>
    <t>Correcciones + normalización</t>
  </si>
  <si>
    <t>Productos</t>
  </si>
  <si>
    <t>Normalización inicial catálogo</t>
  </si>
  <si>
    <t>ChatGPT</t>
  </si>
  <si>
    <t>Componente</t>
  </si>
  <si>
    <t>Motor de precios</t>
  </si>
  <si>
    <t>Pendiente</t>
  </si>
  <si>
    <t>Motor de rentabilidad</t>
  </si>
  <si>
    <t>Motor de ofertas</t>
  </si>
  <si>
    <t>Motor de historial</t>
  </si>
  <si>
    <t>Motor de dashboards</t>
  </si>
  <si>
    <t>Motor de proyecciones</t>
  </si>
  <si>
    <t>Motor de tickets</t>
  </si>
  <si>
    <t>Motor de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</si>
</sst>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.00"/>
    <numFmt numFmtId="165" formatCode="d/mm/yyyy"/>
  </numFmts>
  <fonts count="14" x14ac:knownFonts="1">
    <font>
      <sz val="10"/>
      <color rgb="FF000000"/>
      <name val="Arial"/>
      <scheme val="minor"/>
    </font>
    <font>
      <sz val="14"/>
      <color theme="1"/>
      <name val="Roboto"/>
    </font>
    <font>
      <b/>
      <sz val="14"/>
      <color theme="1"/>
      <name val="Roboto"/>
    </font>
    <font>
      <sz val="12"/>
      <color theme="1"/>
      <name val="Roboto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Verdana"/>
    </font>
    <font>
      <b/>
      <sz val="14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0"/>
      <color theme="1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165" fontId="5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5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0" borderId="0" xfId="0" applyFont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164" fontId="6" fillId="0" borderId="0" xfId="0" applyNumberFormat="1" applyFont="1"/>
    <xf numFmtId="0" fontId="7" fillId="0" borderId="1" xfId="0" applyFont="1" applyBorder="1" applyAlignment="1">
      <alignment horizontal="left"/>
    </xf>
    <xf numFmtId="0" fontId="8" fillId="7" borderId="0" xfId="0" applyFont="1" applyFill="1" applyAlignment="1">
      <alignment horizontal="center"/>
    </xf>
    <xf numFmtId="14" fontId="9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0" fillId="8" borderId="0" xfId="0" applyFont="1" applyFill="1"/>
    <xf numFmtId="0" fontId="10" fillId="9" borderId="0" xfId="0" applyFont="1" applyFill="1"/>
    <xf numFmtId="0" fontId="6" fillId="9" borderId="0" xfId="0" applyFont="1" applyFill="1"/>
    <xf numFmtId="164" fontId="9" fillId="9" borderId="0" xfId="0" applyNumberFormat="1" applyFont="1" applyFill="1"/>
    <xf numFmtId="0" fontId="9" fillId="9" borderId="0" xfId="0" applyFont="1" applyFill="1"/>
    <xf numFmtId="164" fontId="10" fillId="9" borderId="0" xfId="0" applyNumberFormat="1" applyFont="1" applyFill="1"/>
    <xf numFmtId="0" fontId="9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11" fillId="0" borderId="0" xfId="0" applyFont="1"/>
    <xf numFmtId="1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14" fontId="10" fillId="9" borderId="0" xfId="0" applyNumberFormat="1" applyFont="1" applyFill="1"/>
    <xf numFmtId="0" fontId="12" fillId="9" borderId="0" xfId="0" applyFont="1" applyFill="1"/>
    <xf numFmtId="164" fontId="12" fillId="9" borderId="0" xfId="0" applyNumberFormat="1" applyFont="1" applyFill="1"/>
    <xf numFmtId="0" fontId="10" fillId="9" borderId="0" xfId="0" applyFont="1" applyFill="1" applyAlignment="1">
      <alignment horizontal="right"/>
    </xf>
    <xf numFmtId="164" fontId="10" fillId="9" borderId="0" xfId="0" applyNumberFormat="1" applyFont="1" applyFill="1" applyAlignment="1">
      <alignment horizontal="right"/>
    </xf>
    <xf numFmtId="0" fontId="10" fillId="10" borderId="0" xfId="0" applyFont="1" applyFill="1"/>
    <xf numFmtId="0" fontId="11" fillId="8" borderId="0" xfId="0" applyFont="1" applyFill="1"/>
    <xf numFmtId="0" fontId="9" fillId="8" borderId="0" xfId="0" applyFont="1" applyFill="1"/>
    <xf numFmtId="0" fontId="9" fillId="11" borderId="0" xfId="0" applyFont="1" applyFill="1"/>
    <xf numFmtId="0" fontId="6" fillId="8" borderId="0" xfId="0" applyFont="1" applyFill="1"/>
    <xf numFmtId="164" fontId="9" fillId="12" borderId="0" xfId="0" applyNumberFormat="1" applyFont="1" applyFill="1"/>
    <xf numFmtId="0" fontId="9" fillId="0" borderId="0" xfId="0" applyFont="1" applyAlignment="1">
      <alignment horizontal="right"/>
    </xf>
    <xf numFmtId="164" fontId="9" fillId="9" borderId="0" xfId="0" applyNumberFormat="1" applyFont="1" applyFill="1" applyAlignment="1">
      <alignment horizontal="right"/>
    </xf>
    <xf numFmtId="0" fontId="13" fillId="0" borderId="0" xfId="0" applyFont="1"/>
    <xf numFmtId="0" fontId="13" fillId="6" borderId="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/>
    <xf numFmtId="0" fontId="10" fillId="8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>
      <selection activeCell="B7" sqref="B7"/>
    </sheetView>
  </sheetViews>
  <sheetFormatPr baseColWidth="10" defaultColWidth="12.5703125" defaultRowHeight="15.75" customHeight="1" x14ac:dyDescent="0.2"/>
  <cols>
    <col min="1" max="1" width="15.5703125" customWidth="1"/>
    <col min="2" max="2" width="23.140625" customWidth="1"/>
    <col min="3" max="3" width="20.7109375" customWidth="1"/>
    <col min="4" max="4" width="18.4257812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49" t="s">
        <v>4</v>
      </c>
      <c r="F1" s="49" t="s">
        <v>5</v>
      </c>
      <c r="G1" s="49" t="s">
        <v>6</v>
      </c>
      <c r="H1" s="49" t="s">
        <v>7</v>
      </c>
    </row>
    <row r="2" spans="1:8" ht="15.75" customHeight="1" x14ac:dyDescent="0.25">
      <c r="A2" s="3" t="s">
        <v>8</v>
      </c>
      <c r="B2" s="4">
        <v>20000</v>
      </c>
      <c r="C2" s="4">
        <v>22000</v>
      </c>
      <c r="D2" s="4">
        <f t="shared" ref="D2:D11" si="0">C2-B2</f>
        <v>2000</v>
      </c>
      <c r="E2" t="s">
        <v>9</v>
      </c>
      <c r="G2" t="s">
        <v>10</v>
      </c>
      <c r="H2" t="s">
        <v>11</v>
      </c>
    </row>
    <row r="3" spans="1:8" ht="15.75" customHeight="1" x14ac:dyDescent="0.25">
      <c r="A3" s="5" t="s">
        <v>12</v>
      </c>
      <c r="B3" s="6">
        <v>21000</v>
      </c>
      <c r="C3" s="6">
        <v>23000</v>
      </c>
      <c r="D3" s="6">
        <f t="shared" si="0"/>
        <v>2000</v>
      </c>
      <c r="E3" t="s">
        <v>13</v>
      </c>
      <c r="G3" t="s">
        <v>10</v>
      </c>
      <c r="H3" t="s">
        <v>11</v>
      </c>
    </row>
    <row r="4" spans="1:8" ht="15.75" customHeight="1" x14ac:dyDescent="0.25">
      <c r="A4" s="3" t="s">
        <v>14</v>
      </c>
      <c r="B4" s="4">
        <v>27000</v>
      </c>
      <c r="C4" s="4">
        <v>29000</v>
      </c>
      <c r="D4" s="4">
        <f t="shared" si="0"/>
        <v>2000</v>
      </c>
      <c r="E4" t="s">
        <v>15</v>
      </c>
      <c r="G4" t="s">
        <v>10</v>
      </c>
      <c r="H4" t="s">
        <v>11</v>
      </c>
    </row>
    <row r="5" spans="1:8" ht="15.75" customHeight="1" x14ac:dyDescent="0.25">
      <c r="A5" s="5" t="s">
        <v>16</v>
      </c>
      <c r="B5" s="6">
        <v>19000</v>
      </c>
      <c r="C5" s="6">
        <v>22000</v>
      </c>
      <c r="D5" s="6">
        <f t="shared" si="0"/>
        <v>3000</v>
      </c>
      <c r="E5" t="s">
        <v>17</v>
      </c>
      <c r="G5" t="s">
        <v>10</v>
      </c>
      <c r="H5" t="s">
        <v>11</v>
      </c>
    </row>
    <row r="6" spans="1:8" ht="15.75" customHeight="1" x14ac:dyDescent="0.25">
      <c r="A6" s="3" t="s">
        <v>18</v>
      </c>
      <c r="B6" s="4">
        <v>17500</v>
      </c>
      <c r="C6" s="4">
        <v>19500</v>
      </c>
      <c r="D6" s="4">
        <f t="shared" si="0"/>
        <v>2000</v>
      </c>
      <c r="E6" t="s">
        <v>19</v>
      </c>
      <c r="G6" t="s">
        <v>10</v>
      </c>
      <c r="H6" t="s">
        <v>11</v>
      </c>
    </row>
    <row r="7" spans="1:8" ht="15.75" customHeight="1" x14ac:dyDescent="0.25">
      <c r="A7" s="5" t="s">
        <v>20</v>
      </c>
      <c r="B7" s="6">
        <v>19000</v>
      </c>
      <c r="C7" s="6">
        <v>21000</v>
      </c>
      <c r="D7" s="6">
        <f t="shared" si="0"/>
        <v>2000</v>
      </c>
      <c r="E7" t="s">
        <v>21</v>
      </c>
      <c r="G7" t="s">
        <v>10</v>
      </c>
      <c r="H7" t="s">
        <v>11</v>
      </c>
    </row>
    <row r="8" spans="1:8" ht="15.75" customHeight="1" x14ac:dyDescent="0.25">
      <c r="A8" s="3" t="s">
        <v>22</v>
      </c>
      <c r="B8" s="4">
        <v>19000</v>
      </c>
      <c r="C8" s="4">
        <v>22000</v>
      </c>
      <c r="D8" s="4">
        <f t="shared" si="0"/>
        <v>3000</v>
      </c>
      <c r="E8" t="s">
        <v>23</v>
      </c>
      <c r="G8" t="s">
        <v>10</v>
      </c>
      <c r="H8" t="s">
        <v>11</v>
      </c>
    </row>
    <row r="9" spans="1:8" ht="15.75" customHeight="1" x14ac:dyDescent="0.25">
      <c r="A9" s="5" t="s">
        <v>24</v>
      </c>
      <c r="B9" s="6">
        <v>14000</v>
      </c>
      <c r="C9" s="6">
        <v>16000</v>
      </c>
      <c r="D9" s="6">
        <f t="shared" si="0"/>
        <v>2000</v>
      </c>
      <c r="E9" t="s">
        <v>25</v>
      </c>
      <c r="G9" t="s">
        <v>10</v>
      </c>
      <c r="H9" t="s">
        <v>11</v>
      </c>
    </row>
    <row r="10" spans="1:8" ht="15.75" customHeight="1" x14ac:dyDescent="0.25">
      <c r="A10" s="3" t="s">
        <v>26</v>
      </c>
      <c r="B10" s="4">
        <v>19000</v>
      </c>
      <c r="C10" s="4">
        <v>23000</v>
      </c>
      <c r="D10" s="4">
        <f t="shared" si="0"/>
        <v>4000</v>
      </c>
      <c r="E10" t="s">
        <v>27</v>
      </c>
      <c r="G10" t="s">
        <v>10</v>
      </c>
      <c r="H10" t="s">
        <v>11</v>
      </c>
    </row>
    <row r="11" spans="1:8" ht="15.75" customHeight="1" x14ac:dyDescent="0.25">
      <c r="A11" s="5" t="s">
        <v>28</v>
      </c>
      <c r="B11" s="6">
        <v>17000</v>
      </c>
      <c r="C11" s="6">
        <v>20000</v>
      </c>
      <c r="D11" s="6">
        <f t="shared" si="0"/>
        <v>3000</v>
      </c>
      <c r="E11" t="s">
        <v>29</v>
      </c>
      <c r="G11" t="s">
        <v>10</v>
      </c>
      <c r="H11" t="s">
        <v>11</v>
      </c>
    </row>
    <row r="12" spans="1:8" ht="15.75" customHeight="1" x14ac:dyDescent="0.25">
      <c r="A12" s="3"/>
      <c r="B12" s="4"/>
      <c r="C12" s="4"/>
      <c r="D12" s="4"/>
      <c r="E12" t="s">
        <v>30</v>
      </c>
      <c r="G12" t="s">
        <v>10</v>
      </c>
      <c r="H12" t="s">
        <v>11</v>
      </c>
    </row>
    <row r="13" spans="1:8" ht="15.75" customHeight="1" x14ac:dyDescent="0.25">
      <c r="A13" s="5"/>
      <c r="B13" s="6"/>
      <c r="C13" s="6"/>
      <c r="D13" s="6"/>
      <c r="E13" t="s">
        <v>31</v>
      </c>
      <c r="G13" t="s">
        <v>10</v>
      </c>
      <c r="H13" t="s">
        <v>11</v>
      </c>
    </row>
  </sheetData>
  <autoFilter ref="A1:D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17" customWidth="1"/>
    <col min="3" max="3" width="18.85546875" customWidth="1"/>
    <col min="4" max="5" width="12.5703125" customWidth="1"/>
    <col min="6" max="6" width="17.5703125" customWidth="1"/>
  </cols>
  <sheetData>
    <row r="1" spans="1:6" ht="15.75" customHeigh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</row>
    <row r="2" spans="1:6" ht="15" x14ac:dyDescent="0.2">
      <c r="A2" s="8">
        <v>46138</v>
      </c>
      <c r="B2" s="9" t="s">
        <v>38</v>
      </c>
      <c r="C2" s="9" t="s">
        <v>39</v>
      </c>
      <c r="D2" s="10">
        <v>33000</v>
      </c>
      <c r="E2" s="10">
        <v>33000</v>
      </c>
      <c r="F2" s="10">
        <f t="shared" ref="F2:F33" si="0">E2-D2</f>
        <v>0</v>
      </c>
    </row>
    <row r="3" spans="1:6" ht="15" x14ac:dyDescent="0.2">
      <c r="A3" s="8">
        <v>46139</v>
      </c>
      <c r="B3" s="9" t="s">
        <v>40</v>
      </c>
      <c r="C3" s="9" t="s">
        <v>41</v>
      </c>
      <c r="D3" s="10">
        <v>27000</v>
      </c>
      <c r="E3" s="10">
        <v>26400</v>
      </c>
      <c r="F3" s="10">
        <f t="shared" si="0"/>
        <v>-600</v>
      </c>
    </row>
    <row r="4" spans="1:6" ht="15" x14ac:dyDescent="0.2">
      <c r="A4" s="8">
        <v>46141</v>
      </c>
      <c r="B4" s="9" t="s">
        <v>42</v>
      </c>
      <c r="C4" s="9" t="s">
        <v>39</v>
      </c>
      <c r="D4" s="10">
        <v>39600</v>
      </c>
      <c r="E4" s="10">
        <v>39600</v>
      </c>
      <c r="F4" s="10">
        <f t="shared" si="0"/>
        <v>0</v>
      </c>
    </row>
    <row r="5" spans="1:6" ht="15" x14ac:dyDescent="0.2">
      <c r="A5" s="8">
        <v>46142</v>
      </c>
      <c r="B5" s="9" t="s">
        <v>43</v>
      </c>
      <c r="C5" s="9" t="s">
        <v>39</v>
      </c>
      <c r="D5" s="10">
        <v>24200</v>
      </c>
      <c r="E5" s="10">
        <v>24200</v>
      </c>
      <c r="F5" s="10">
        <f t="shared" si="0"/>
        <v>0</v>
      </c>
    </row>
    <row r="6" spans="1:6" ht="15" x14ac:dyDescent="0.2">
      <c r="A6" s="8">
        <v>45784</v>
      </c>
      <c r="B6" s="9" t="s">
        <v>44</v>
      </c>
      <c r="C6" s="9" t="s">
        <v>39</v>
      </c>
      <c r="D6" s="10">
        <v>198400</v>
      </c>
      <c r="E6" s="10">
        <v>198400</v>
      </c>
      <c r="F6" s="10">
        <f t="shared" si="0"/>
        <v>0</v>
      </c>
    </row>
    <row r="7" spans="1:6" ht="15" x14ac:dyDescent="0.2">
      <c r="A7" s="8">
        <v>46149</v>
      </c>
      <c r="B7" s="9" t="s">
        <v>45</v>
      </c>
      <c r="C7" s="9" t="s">
        <v>39</v>
      </c>
      <c r="D7" s="10">
        <v>27300</v>
      </c>
      <c r="E7" s="10">
        <v>27300</v>
      </c>
      <c r="F7" s="10">
        <f t="shared" si="0"/>
        <v>0</v>
      </c>
    </row>
    <row r="8" spans="1:6" ht="15" x14ac:dyDescent="0.2">
      <c r="A8" s="8">
        <v>46153</v>
      </c>
      <c r="B8" s="9" t="s">
        <v>46</v>
      </c>
      <c r="C8" s="9" t="s">
        <v>39</v>
      </c>
      <c r="D8" s="10">
        <v>22000</v>
      </c>
      <c r="E8" s="10">
        <v>22000</v>
      </c>
      <c r="F8" s="10">
        <f t="shared" si="0"/>
        <v>0</v>
      </c>
    </row>
    <row r="9" spans="1:6" ht="15" x14ac:dyDescent="0.2">
      <c r="A9" s="8">
        <v>46153</v>
      </c>
      <c r="B9" s="9" t="s">
        <v>43</v>
      </c>
      <c r="C9" s="9" t="s">
        <v>39</v>
      </c>
      <c r="D9" s="10">
        <v>20700</v>
      </c>
      <c r="E9" s="10">
        <v>20700</v>
      </c>
      <c r="F9" s="10">
        <f t="shared" si="0"/>
        <v>0</v>
      </c>
    </row>
    <row r="10" spans="1:6" ht="15" x14ac:dyDescent="0.2">
      <c r="A10" s="8">
        <v>46153</v>
      </c>
      <c r="B10" s="9" t="s">
        <v>47</v>
      </c>
      <c r="C10" s="9" t="s">
        <v>39</v>
      </c>
      <c r="D10" s="10">
        <v>48400</v>
      </c>
      <c r="E10" s="10">
        <v>48400</v>
      </c>
      <c r="F10" s="10">
        <f t="shared" si="0"/>
        <v>0</v>
      </c>
    </row>
    <row r="11" spans="1:6" ht="15" x14ac:dyDescent="0.2">
      <c r="A11" s="8">
        <v>46154</v>
      </c>
      <c r="B11" s="9" t="s">
        <v>48</v>
      </c>
      <c r="C11" s="9" t="s">
        <v>39</v>
      </c>
      <c r="D11" s="10">
        <v>46400</v>
      </c>
      <c r="E11" s="10">
        <v>46400</v>
      </c>
      <c r="F11" s="10">
        <f t="shared" si="0"/>
        <v>0</v>
      </c>
    </row>
    <row r="12" spans="1:6" ht="15" x14ac:dyDescent="0.2">
      <c r="A12" s="8">
        <v>46155</v>
      </c>
      <c r="B12" s="9" t="s">
        <v>49</v>
      </c>
      <c r="C12" s="9" t="s">
        <v>39</v>
      </c>
      <c r="D12" s="10">
        <v>147800</v>
      </c>
      <c r="E12" s="10">
        <v>147800</v>
      </c>
      <c r="F12" s="10">
        <f t="shared" si="0"/>
        <v>0</v>
      </c>
    </row>
    <row r="13" spans="1:6" ht="15" x14ac:dyDescent="0.2">
      <c r="A13" s="8">
        <v>46156</v>
      </c>
      <c r="B13" s="9" t="s">
        <v>45</v>
      </c>
      <c r="C13" s="9" t="s">
        <v>39</v>
      </c>
      <c r="D13" s="10">
        <v>81000</v>
      </c>
      <c r="E13" s="10">
        <v>81000</v>
      </c>
      <c r="F13" s="10">
        <f t="shared" si="0"/>
        <v>0</v>
      </c>
    </row>
    <row r="14" spans="1:6" ht="15" x14ac:dyDescent="0.2">
      <c r="A14" s="8">
        <v>46156</v>
      </c>
      <c r="B14" s="9" t="s">
        <v>38</v>
      </c>
      <c r="C14" s="9" t="s">
        <v>39</v>
      </c>
      <c r="D14" s="10">
        <v>63800</v>
      </c>
      <c r="E14" s="10">
        <v>63800</v>
      </c>
      <c r="F14" s="10">
        <f t="shared" si="0"/>
        <v>0</v>
      </c>
    </row>
    <row r="15" spans="1:6" ht="15" x14ac:dyDescent="0.2">
      <c r="A15" s="8">
        <v>46156</v>
      </c>
      <c r="B15" s="9" t="s">
        <v>50</v>
      </c>
      <c r="C15" s="9" t="s">
        <v>39</v>
      </c>
      <c r="D15" s="10">
        <v>185500</v>
      </c>
      <c r="E15" s="10">
        <v>185500</v>
      </c>
      <c r="F15" s="10">
        <f t="shared" si="0"/>
        <v>0</v>
      </c>
    </row>
    <row r="16" spans="1:6" ht="15" x14ac:dyDescent="0.2">
      <c r="A16" s="8">
        <v>46157</v>
      </c>
      <c r="B16" s="9" t="s">
        <v>51</v>
      </c>
      <c r="C16" s="9" t="s">
        <v>39</v>
      </c>
      <c r="D16" s="10">
        <v>146400</v>
      </c>
      <c r="E16" s="10">
        <v>146400</v>
      </c>
      <c r="F16" s="10">
        <f t="shared" si="0"/>
        <v>0</v>
      </c>
    </row>
    <row r="17" spans="1:6" ht="15" x14ac:dyDescent="0.2">
      <c r="A17" s="8">
        <v>46158</v>
      </c>
      <c r="B17" s="9" t="s">
        <v>40</v>
      </c>
      <c r="C17" s="9" t="s">
        <v>41</v>
      </c>
      <c r="D17" s="10">
        <v>36200</v>
      </c>
      <c r="E17" s="10">
        <v>36800</v>
      </c>
      <c r="F17" s="10">
        <f t="shared" si="0"/>
        <v>600</v>
      </c>
    </row>
    <row r="18" spans="1:6" ht="15" x14ac:dyDescent="0.2">
      <c r="A18" s="8">
        <v>46161</v>
      </c>
      <c r="B18" s="9" t="s">
        <v>52</v>
      </c>
      <c r="C18" s="9" t="s">
        <v>39</v>
      </c>
      <c r="D18" s="10">
        <v>115600</v>
      </c>
      <c r="E18" s="10">
        <v>115600</v>
      </c>
      <c r="F18" s="10">
        <f t="shared" si="0"/>
        <v>0</v>
      </c>
    </row>
    <row r="19" spans="1:6" ht="15" x14ac:dyDescent="0.2">
      <c r="A19" s="8">
        <v>46161</v>
      </c>
      <c r="B19" s="9" t="s">
        <v>49</v>
      </c>
      <c r="C19" s="9" t="s">
        <v>39</v>
      </c>
      <c r="D19" s="10">
        <v>168200</v>
      </c>
      <c r="E19" s="10">
        <v>168200</v>
      </c>
      <c r="F19" s="10">
        <f t="shared" si="0"/>
        <v>0</v>
      </c>
    </row>
    <row r="20" spans="1:6" ht="15" x14ac:dyDescent="0.2">
      <c r="A20" s="8">
        <v>46162</v>
      </c>
      <c r="B20" s="9" t="s">
        <v>53</v>
      </c>
      <c r="C20" s="9" t="s">
        <v>41</v>
      </c>
      <c r="D20" s="10">
        <v>83200</v>
      </c>
      <c r="E20" s="10">
        <v>83200</v>
      </c>
      <c r="F20" s="10">
        <f t="shared" si="0"/>
        <v>0</v>
      </c>
    </row>
    <row r="21" spans="1:6" ht="15" x14ac:dyDescent="0.2">
      <c r="A21" s="8">
        <v>46162</v>
      </c>
      <c r="B21" s="9" t="s">
        <v>43</v>
      </c>
      <c r="C21" s="9" t="s">
        <v>39</v>
      </c>
      <c r="D21" s="10">
        <v>23000</v>
      </c>
      <c r="E21" s="10">
        <v>23000</v>
      </c>
      <c r="F21" s="10">
        <f t="shared" si="0"/>
        <v>0</v>
      </c>
    </row>
    <row r="22" spans="1:6" ht="15" x14ac:dyDescent="0.2">
      <c r="A22" s="8">
        <v>46162</v>
      </c>
      <c r="B22" s="9" t="s">
        <v>48</v>
      </c>
      <c r="C22" s="9" t="s">
        <v>39</v>
      </c>
      <c r="D22" s="10">
        <v>40600</v>
      </c>
      <c r="E22" s="10">
        <v>40600</v>
      </c>
      <c r="F22" s="10">
        <f t="shared" si="0"/>
        <v>0</v>
      </c>
    </row>
    <row r="23" spans="1:6" ht="15" x14ac:dyDescent="0.2">
      <c r="A23" s="8">
        <v>46163</v>
      </c>
      <c r="B23" s="9" t="s">
        <v>54</v>
      </c>
      <c r="C23" s="9" t="s">
        <v>39</v>
      </c>
      <c r="D23" s="10">
        <v>127000</v>
      </c>
      <c r="E23" s="10">
        <v>127000</v>
      </c>
      <c r="F23" s="10">
        <f t="shared" si="0"/>
        <v>0</v>
      </c>
    </row>
    <row r="24" spans="1:6" ht="15" x14ac:dyDescent="0.2">
      <c r="A24" s="8">
        <v>46163</v>
      </c>
      <c r="B24" s="9" t="s">
        <v>55</v>
      </c>
      <c r="C24" s="9" t="s">
        <v>39</v>
      </c>
      <c r="D24" s="10">
        <v>18400</v>
      </c>
      <c r="E24" s="10">
        <v>18400</v>
      </c>
      <c r="F24" s="10">
        <f t="shared" si="0"/>
        <v>0</v>
      </c>
    </row>
    <row r="25" spans="1:6" ht="15" customHeight="1" x14ac:dyDescent="0.2">
      <c r="A25" s="8">
        <v>46163</v>
      </c>
      <c r="B25" s="9" t="s">
        <v>56</v>
      </c>
      <c r="C25" s="9" t="s">
        <v>39</v>
      </c>
      <c r="D25" s="10">
        <v>81000</v>
      </c>
      <c r="E25" s="10">
        <v>81000</v>
      </c>
      <c r="F25" s="10">
        <f t="shared" si="0"/>
        <v>0</v>
      </c>
    </row>
    <row r="26" spans="1:6" ht="15" customHeight="1" x14ac:dyDescent="0.2">
      <c r="A26" s="8">
        <v>46164</v>
      </c>
      <c r="B26" s="9" t="s">
        <v>40</v>
      </c>
      <c r="C26" s="9" t="s">
        <v>41</v>
      </c>
      <c r="D26" s="10">
        <v>60000</v>
      </c>
      <c r="E26" s="10">
        <v>59800</v>
      </c>
      <c r="F26" s="10">
        <f t="shared" si="0"/>
        <v>-200</v>
      </c>
    </row>
    <row r="27" spans="1:6" ht="15" customHeight="1" x14ac:dyDescent="0.2">
      <c r="A27" s="8">
        <v>46164</v>
      </c>
      <c r="B27" s="9" t="s">
        <v>42</v>
      </c>
      <c r="C27" s="9" t="s">
        <v>39</v>
      </c>
      <c r="D27" s="10">
        <v>46400</v>
      </c>
      <c r="E27" s="10">
        <v>46400</v>
      </c>
      <c r="F27" s="10">
        <f t="shared" si="0"/>
        <v>0</v>
      </c>
    </row>
    <row r="28" spans="1:6" ht="15" customHeight="1" x14ac:dyDescent="0.2">
      <c r="A28" s="8">
        <v>46164</v>
      </c>
      <c r="B28" s="9" t="s">
        <v>45</v>
      </c>
      <c r="C28" s="9" t="s">
        <v>39</v>
      </c>
      <c r="D28" s="10">
        <v>59400</v>
      </c>
      <c r="E28" s="10">
        <v>59400</v>
      </c>
      <c r="F28" s="10">
        <f t="shared" si="0"/>
        <v>0</v>
      </c>
    </row>
    <row r="29" spans="1:6" ht="15" customHeight="1" x14ac:dyDescent="0.2">
      <c r="A29" s="8">
        <v>46164</v>
      </c>
      <c r="B29" s="9" t="s">
        <v>57</v>
      </c>
      <c r="C29" s="9" t="s">
        <v>39</v>
      </c>
      <c r="D29" s="10">
        <v>70200</v>
      </c>
      <c r="E29" s="10">
        <v>70200</v>
      </c>
      <c r="F29" s="10">
        <f t="shared" si="0"/>
        <v>0</v>
      </c>
    </row>
    <row r="30" spans="1:6" ht="15" customHeight="1" x14ac:dyDescent="0.2">
      <c r="A30" s="8">
        <v>46165</v>
      </c>
      <c r="B30" s="9" t="s">
        <v>58</v>
      </c>
      <c r="C30" s="9" t="s">
        <v>41</v>
      </c>
      <c r="D30" s="10">
        <v>34500</v>
      </c>
      <c r="E30" s="10">
        <v>34500</v>
      </c>
      <c r="F30" s="10">
        <f t="shared" si="0"/>
        <v>0</v>
      </c>
    </row>
    <row r="31" spans="1:6" ht="15" customHeight="1" x14ac:dyDescent="0.2">
      <c r="A31" s="8">
        <v>46168</v>
      </c>
      <c r="B31" s="9" t="s">
        <v>53</v>
      </c>
      <c r="C31" s="9" t="s">
        <v>41</v>
      </c>
      <c r="D31" s="10">
        <v>73000</v>
      </c>
      <c r="E31" s="10">
        <v>72900</v>
      </c>
      <c r="F31" s="10">
        <f t="shared" si="0"/>
        <v>-100</v>
      </c>
    </row>
    <row r="32" spans="1:6" ht="15" customHeight="1" x14ac:dyDescent="0.2">
      <c r="A32" s="8">
        <v>46169</v>
      </c>
      <c r="B32" s="9" t="s">
        <v>52</v>
      </c>
      <c r="C32" s="9" t="s">
        <v>39</v>
      </c>
      <c r="D32" s="10">
        <v>142400</v>
      </c>
      <c r="E32" s="10">
        <v>142400</v>
      </c>
      <c r="F32" s="10">
        <f t="shared" si="0"/>
        <v>0</v>
      </c>
    </row>
    <row r="33" spans="1:6" ht="15" customHeight="1" x14ac:dyDescent="0.2">
      <c r="A33" s="8">
        <v>46169</v>
      </c>
      <c r="B33" s="9" t="s">
        <v>59</v>
      </c>
      <c r="C33" s="9" t="s">
        <v>39</v>
      </c>
      <c r="D33" s="10">
        <v>68250</v>
      </c>
      <c r="E33" s="10">
        <v>68250</v>
      </c>
      <c r="F33" s="10">
        <f t="shared" si="0"/>
        <v>0</v>
      </c>
    </row>
    <row r="34" spans="1:6" ht="15" customHeight="1" x14ac:dyDescent="0.2">
      <c r="A34" s="8">
        <v>46169</v>
      </c>
      <c r="B34" s="9" t="s">
        <v>60</v>
      </c>
      <c r="C34" s="9" t="s">
        <v>41</v>
      </c>
      <c r="D34" s="10">
        <v>74100</v>
      </c>
      <c r="E34" s="10">
        <v>74100</v>
      </c>
      <c r="F34" s="10">
        <f t="shared" ref="F34:F65" si="1">E34-D34</f>
        <v>0</v>
      </c>
    </row>
    <row r="35" spans="1:6" ht="15" customHeight="1" x14ac:dyDescent="0.2">
      <c r="A35" s="8">
        <v>46169</v>
      </c>
      <c r="B35" s="9" t="s">
        <v>48</v>
      </c>
      <c r="C35" s="9" t="s">
        <v>39</v>
      </c>
      <c r="D35" s="10">
        <v>122000</v>
      </c>
      <c r="E35" s="10">
        <v>122000</v>
      </c>
      <c r="F35" s="10">
        <f t="shared" si="1"/>
        <v>0</v>
      </c>
    </row>
    <row r="36" spans="1:6" ht="15" customHeight="1" x14ac:dyDescent="0.2">
      <c r="A36" s="8">
        <v>46170</v>
      </c>
      <c r="B36" s="9" t="s">
        <v>46</v>
      </c>
      <c r="C36" s="9" t="s">
        <v>39</v>
      </c>
      <c r="D36" s="10">
        <v>49950</v>
      </c>
      <c r="E36" s="10">
        <v>49950</v>
      </c>
      <c r="F36" s="10">
        <f t="shared" si="1"/>
        <v>0</v>
      </c>
    </row>
    <row r="37" spans="1:6" ht="15" customHeight="1" x14ac:dyDescent="0.2">
      <c r="A37" s="8">
        <v>46170</v>
      </c>
      <c r="B37" s="9" t="s">
        <v>61</v>
      </c>
      <c r="C37" s="9" t="s">
        <v>39</v>
      </c>
      <c r="D37" s="10">
        <v>173900</v>
      </c>
      <c r="E37" s="10">
        <v>173900</v>
      </c>
      <c r="F37" s="10">
        <f t="shared" si="1"/>
        <v>0</v>
      </c>
    </row>
    <row r="38" spans="1:6" ht="15" customHeight="1" x14ac:dyDescent="0.2">
      <c r="A38" s="8">
        <v>46170</v>
      </c>
      <c r="B38" s="9" t="s">
        <v>62</v>
      </c>
      <c r="C38" s="9" t="s">
        <v>41</v>
      </c>
      <c r="D38" s="10">
        <v>91800</v>
      </c>
      <c r="E38" s="10">
        <v>91800</v>
      </c>
      <c r="F38" s="10">
        <f t="shared" si="1"/>
        <v>0</v>
      </c>
    </row>
    <row r="39" spans="1:6" ht="15" customHeight="1" x14ac:dyDescent="0.2">
      <c r="A39" s="8">
        <v>46170</v>
      </c>
      <c r="B39" s="9" t="s">
        <v>63</v>
      </c>
      <c r="C39" s="9" t="s">
        <v>39</v>
      </c>
      <c r="D39" s="10">
        <v>70200</v>
      </c>
      <c r="E39" s="10">
        <v>70200</v>
      </c>
      <c r="F39" s="10">
        <f t="shared" si="1"/>
        <v>0</v>
      </c>
    </row>
    <row r="40" spans="1:6" ht="15" customHeight="1" x14ac:dyDescent="0.2">
      <c r="A40" s="8">
        <v>46170</v>
      </c>
      <c r="B40" s="9" t="s">
        <v>64</v>
      </c>
      <c r="C40" s="9" t="s">
        <v>39</v>
      </c>
      <c r="D40" s="10">
        <v>67400</v>
      </c>
      <c r="E40" s="10">
        <v>67400</v>
      </c>
      <c r="F40" s="10">
        <f t="shared" si="1"/>
        <v>0</v>
      </c>
    </row>
    <row r="41" spans="1:6" ht="15" customHeight="1" x14ac:dyDescent="0.2">
      <c r="A41" s="8">
        <v>46174</v>
      </c>
      <c r="B41" s="9" t="s">
        <v>65</v>
      </c>
      <c r="C41" s="9" t="s">
        <v>39</v>
      </c>
      <c r="D41" s="10">
        <v>189800</v>
      </c>
      <c r="E41" s="10">
        <v>189800</v>
      </c>
      <c r="F41" s="10">
        <f t="shared" si="1"/>
        <v>0</v>
      </c>
    </row>
    <row r="42" spans="1:6" ht="15" customHeight="1" x14ac:dyDescent="0.2">
      <c r="A42" s="8">
        <v>46174</v>
      </c>
      <c r="B42" s="9" t="s">
        <v>66</v>
      </c>
      <c r="C42" s="9" t="s">
        <v>39</v>
      </c>
      <c r="D42" s="10">
        <v>108000</v>
      </c>
      <c r="E42" s="10">
        <v>108000</v>
      </c>
      <c r="F42" s="10">
        <f t="shared" si="1"/>
        <v>0</v>
      </c>
    </row>
    <row r="43" spans="1:6" ht="15" customHeight="1" x14ac:dyDescent="0.2">
      <c r="A43" s="8">
        <v>46175</v>
      </c>
      <c r="B43" s="9" t="s">
        <v>54</v>
      </c>
      <c r="C43" s="9" t="s">
        <v>39</v>
      </c>
      <c r="D43" s="10">
        <v>35100</v>
      </c>
      <c r="E43" s="10">
        <v>35100</v>
      </c>
      <c r="F43" s="10">
        <f t="shared" si="1"/>
        <v>0</v>
      </c>
    </row>
    <row r="44" spans="1:6" ht="15" customHeight="1" x14ac:dyDescent="0.2">
      <c r="A44" s="8">
        <v>46175</v>
      </c>
      <c r="B44" s="9" t="s">
        <v>67</v>
      </c>
      <c r="C44" s="9" t="s">
        <v>41</v>
      </c>
      <c r="D44" s="10">
        <v>53800</v>
      </c>
      <c r="E44" s="10">
        <v>53750</v>
      </c>
      <c r="F44" s="10">
        <f t="shared" si="1"/>
        <v>-50</v>
      </c>
    </row>
    <row r="45" spans="1:6" ht="15" customHeight="1" x14ac:dyDescent="0.2">
      <c r="A45" s="8">
        <v>46175</v>
      </c>
      <c r="B45" s="9" t="s">
        <v>59</v>
      </c>
      <c r="C45" s="9" t="s">
        <v>39</v>
      </c>
      <c r="D45" s="10">
        <v>25350</v>
      </c>
      <c r="E45" s="10">
        <v>25350</v>
      </c>
      <c r="F45" s="10">
        <f t="shared" si="1"/>
        <v>0</v>
      </c>
    </row>
    <row r="46" spans="1:6" ht="15" customHeight="1" x14ac:dyDescent="0.2">
      <c r="A46" s="8">
        <v>46176</v>
      </c>
      <c r="B46" s="9" t="s">
        <v>44</v>
      </c>
      <c r="C46" s="9" t="s">
        <v>39</v>
      </c>
      <c r="D46" s="10">
        <v>202800</v>
      </c>
      <c r="E46" s="10">
        <v>202800</v>
      </c>
      <c r="F46" s="10">
        <f t="shared" si="1"/>
        <v>0</v>
      </c>
    </row>
    <row r="47" spans="1:6" ht="15" customHeight="1" x14ac:dyDescent="0.2">
      <c r="A47" s="8">
        <v>46176</v>
      </c>
      <c r="B47" s="9" t="s">
        <v>60</v>
      </c>
      <c r="C47" s="9" t="s">
        <v>41</v>
      </c>
      <c r="D47" s="10">
        <v>80000</v>
      </c>
      <c r="E47" s="10">
        <v>76600</v>
      </c>
      <c r="F47" s="10">
        <f t="shared" si="1"/>
        <v>-3400</v>
      </c>
    </row>
    <row r="48" spans="1:6" ht="15" customHeight="1" x14ac:dyDescent="0.2">
      <c r="A48" s="8">
        <v>46177</v>
      </c>
      <c r="B48" s="9" t="s">
        <v>68</v>
      </c>
      <c r="C48" s="9" t="s">
        <v>39</v>
      </c>
      <c r="D48" s="10">
        <v>171900</v>
      </c>
      <c r="E48" s="10">
        <v>171900</v>
      </c>
      <c r="F48" s="10">
        <f t="shared" si="1"/>
        <v>0</v>
      </c>
    </row>
    <row r="49" spans="1:6" ht="15" customHeight="1" x14ac:dyDescent="0.2">
      <c r="A49" s="8">
        <v>46177</v>
      </c>
      <c r="B49" s="9" t="s">
        <v>48</v>
      </c>
      <c r="C49" s="9" t="s">
        <v>39</v>
      </c>
      <c r="D49" s="10">
        <v>52200</v>
      </c>
      <c r="E49" s="10">
        <v>52200</v>
      </c>
      <c r="F49" s="10">
        <f t="shared" si="1"/>
        <v>0</v>
      </c>
    </row>
    <row r="50" spans="1:6" ht="15" customHeight="1" x14ac:dyDescent="0.2">
      <c r="A50" s="8">
        <v>46177</v>
      </c>
      <c r="B50" s="9" t="s">
        <v>69</v>
      </c>
      <c r="C50" s="9" t="s">
        <v>41</v>
      </c>
      <c r="D50" s="10">
        <v>579000</v>
      </c>
      <c r="E50" s="10">
        <v>578900</v>
      </c>
      <c r="F50" s="10">
        <f t="shared" si="1"/>
        <v>-100</v>
      </c>
    </row>
    <row r="51" spans="1:6" ht="15" customHeight="1" x14ac:dyDescent="0.2">
      <c r="A51" s="8">
        <v>46177</v>
      </c>
      <c r="B51" s="9" t="s">
        <v>57</v>
      </c>
      <c r="C51" s="9" t="s">
        <v>39</v>
      </c>
      <c r="D51" s="10">
        <v>23000</v>
      </c>
      <c r="E51" s="10">
        <v>23000</v>
      </c>
      <c r="F51" s="10">
        <f t="shared" si="1"/>
        <v>0</v>
      </c>
    </row>
    <row r="52" spans="1:6" ht="15" customHeight="1" x14ac:dyDescent="0.2">
      <c r="A52" s="8">
        <v>46178</v>
      </c>
      <c r="B52" s="9" t="s">
        <v>53</v>
      </c>
      <c r="C52" s="9" t="s">
        <v>41</v>
      </c>
      <c r="D52" s="10">
        <v>202400</v>
      </c>
      <c r="E52" s="10">
        <v>202400</v>
      </c>
      <c r="F52" s="10">
        <f t="shared" si="1"/>
        <v>0</v>
      </c>
    </row>
    <row r="53" spans="1:6" ht="15" customHeight="1" x14ac:dyDescent="0.2">
      <c r="A53" s="8">
        <v>46178</v>
      </c>
      <c r="B53" s="9" t="s">
        <v>70</v>
      </c>
      <c r="C53" s="9" t="s">
        <v>39</v>
      </c>
      <c r="D53" s="10">
        <v>442200</v>
      </c>
      <c r="E53" s="10">
        <v>442200</v>
      </c>
      <c r="F53" s="10">
        <f t="shared" si="1"/>
        <v>0</v>
      </c>
    </row>
    <row r="54" spans="1:6" ht="15" customHeight="1" x14ac:dyDescent="0.2">
      <c r="A54" s="8">
        <v>46178</v>
      </c>
      <c r="B54" s="9" t="s">
        <v>71</v>
      </c>
      <c r="C54" s="9" t="s">
        <v>41</v>
      </c>
      <c r="D54" s="10">
        <v>217600</v>
      </c>
      <c r="E54" s="10">
        <v>217500</v>
      </c>
      <c r="F54" s="10">
        <f t="shared" si="1"/>
        <v>-100</v>
      </c>
    </row>
    <row r="55" spans="1:6" ht="15" customHeight="1" x14ac:dyDescent="0.2">
      <c r="A55" s="8">
        <v>46182</v>
      </c>
      <c r="B55" s="9" t="s">
        <v>53</v>
      </c>
      <c r="C55" s="9" t="s">
        <v>41</v>
      </c>
      <c r="D55" s="10">
        <v>192000</v>
      </c>
      <c r="E55" s="10">
        <v>192000</v>
      </c>
      <c r="F55" s="10">
        <f t="shared" si="1"/>
        <v>0</v>
      </c>
    </row>
    <row r="56" spans="1:6" ht="15" customHeight="1" x14ac:dyDescent="0.2">
      <c r="A56" s="8">
        <v>46182</v>
      </c>
      <c r="B56" s="9" t="s">
        <v>67</v>
      </c>
      <c r="C56" s="9" t="s">
        <v>39</v>
      </c>
      <c r="D56" s="10">
        <v>55900</v>
      </c>
      <c r="E56" s="10">
        <v>55900</v>
      </c>
      <c r="F56" s="10">
        <f t="shared" si="1"/>
        <v>0</v>
      </c>
    </row>
    <row r="57" spans="1:6" ht="15" customHeight="1" x14ac:dyDescent="0.2">
      <c r="A57" s="8">
        <v>46182</v>
      </c>
      <c r="B57" s="9" t="s">
        <v>72</v>
      </c>
      <c r="C57" s="9" t="s">
        <v>39</v>
      </c>
      <c r="D57" s="10">
        <v>55200</v>
      </c>
      <c r="E57" s="10">
        <v>55200</v>
      </c>
      <c r="F57" s="10">
        <f t="shared" si="1"/>
        <v>0</v>
      </c>
    </row>
    <row r="58" spans="1:6" ht="15" customHeight="1" x14ac:dyDescent="0.2">
      <c r="A58" s="8">
        <v>46182</v>
      </c>
      <c r="B58" s="9" t="s">
        <v>55</v>
      </c>
      <c r="C58" s="9" t="s">
        <v>39</v>
      </c>
      <c r="D58" s="10">
        <v>84100</v>
      </c>
      <c r="E58" s="10">
        <v>84100</v>
      </c>
      <c r="F58" s="10">
        <f t="shared" si="1"/>
        <v>0</v>
      </c>
    </row>
    <row r="59" spans="1:6" ht="15" customHeight="1" x14ac:dyDescent="0.2">
      <c r="A59" s="8">
        <v>46183</v>
      </c>
      <c r="B59" s="9" t="s">
        <v>73</v>
      </c>
      <c r="C59" s="9" t="s">
        <v>41</v>
      </c>
      <c r="D59" s="10">
        <v>94300</v>
      </c>
      <c r="E59" s="10">
        <v>94300</v>
      </c>
      <c r="F59" s="10">
        <f t="shared" si="1"/>
        <v>0</v>
      </c>
    </row>
    <row r="60" spans="1:6" ht="15" customHeight="1" x14ac:dyDescent="0.2">
      <c r="A60" s="8">
        <v>46183</v>
      </c>
      <c r="B60" s="9" t="s">
        <v>60</v>
      </c>
      <c r="C60" s="9" t="s">
        <v>41</v>
      </c>
      <c r="D60" s="10">
        <v>164500</v>
      </c>
      <c r="E60" s="10">
        <v>203100</v>
      </c>
      <c r="F60" s="10">
        <f t="shared" si="1"/>
        <v>38600</v>
      </c>
    </row>
    <row r="61" spans="1:6" ht="15" customHeight="1" x14ac:dyDescent="0.2">
      <c r="A61" s="8">
        <v>46184</v>
      </c>
      <c r="B61" s="9" t="s">
        <v>48</v>
      </c>
      <c r="C61" s="9" t="s">
        <v>39</v>
      </c>
      <c r="D61" s="10">
        <v>37700</v>
      </c>
      <c r="E61" s="10">
        <v>37700</v>
      </c>
      <c r="F61" s="10">
        <f t="shared" si="1"/>
        <v>0</v>
      </c>
    </row>
    <row r="62" spans="1:6" ht="15" customHeight="1" x14ac:dyDescent="0.2">
      <c r="A62" s="8">
        <v>46184</v>
      </c>
      <c r="B62" s="9" t="s">
        <v>57</v>
      </c>
      <c r="C62" s="9" t="s">
        <v>39</v>
      </c>
      <c r="D62" s="10">
        <v>119950</v>
      </c>
      <c r="E62" s="10">
        <v>119950</v>
      </c>
      <c r="F62" s="10">
        <f t="shared" si="1"/>
        <v>0</v>
      </c>
    </row>
    <row r="63" spans="1:6" ht="15" customHeight="1" x14ac:dyDescent="0.2">
      <c r="A63" s="8">
        <v>46184</v>
      </c>
      <c r="B63" s="9" t="s">
        <v>54</v>
      </c>
      <c r="C63" s="9" t="s">
        <v>39</v>
      </c>
      <c r="D63" s="10">
        <v>74100</v>
      </c>
      <c r="E63" s="10">
        <v>74100</v>
      </c>
      <c r="F63" s="10">
        <f t="shared" si="1"/>
        <v>0</v>
      </c>
    </row>
    <row r="64" spans="1:6" ht="15" customHeight="1" x14ac:dyDescent="0.2">
      <c r="A64" s="8">
        <v>46184</v>
      </c>
      <c r="B64" s="9" t="s">
        <v>74</v>
      </c>
      <c r="C64" s="9" t="s">
        <v>41</v>
      </c>
      <c r="D64" s="10">
        <v>160000</v>
      </c>
      <c r="E64" s="10">
        <v>143700</v>
      </c>
      <c r="F64" s="10">
        <f t="shared" si="1"/>
        <v>-16300</v>
      </c>
    </row>
    <row r="65" spans="1:6" ht="15" customHeight="1" x14ac:dyDescent="0.2">
      <c r="A65" s="8">
        <v>46185</v>
      </c>
      <c r="B65" s="9" t="s">
        <v>46</v>
      </c>
      <c r="C65" s="9" t="s">
        <v>39</v>
      </c>
      <c r="D65" s="10">
        <v>133000</v>
      </c>
      <c r="E65" s="10">
        <v>133000</v>
      </c>
      <c r="F65" s="10">
        <f t="shared" si="1"/>
        <v>0</v>
      </c>
    </row>
    <row r="66" spans="1:6" ht="15" customHeight="1" x14ac:dyDescent="0.2">
      <c r="A66" s="8">
        <v>46185</v>
      </c>
      <c r="B66" s="9" t="s">
        <v>51</v>
      </c>
      <c r="C66" s="9" t="s">
        <v>39</v>
      </c>
      <c r="D66" s="10">
        <v>165200</v>
      </c>
      <c r="E66" s="10">
        <v>165200</v>
      </c>
      <c r="F66" s="10">
        <f t="shared" ref="F66:F97" si="2">E66-D66</f>
        <v>0</v>
      </c>
    </row>
    <row r="67" spans="1:6" ht="15" customHeight="1" x14ac:dyDescent="0.2">
      <c r="A67" s="8">
        <v>46185</v>
      </c>
      <c r="B67" s="9" t="s">
        <v>75</v>
      </c>
      <c r="C67" s="9" t="s">
        <v>39</v>
      </c>
      <c r="D67" s="10">
        <v>20400</v>
      </c>
      <c r="E67" s="10">
        <v>20400</v>
      </c>
      <c r="F67" s="10">
        <f t="shared" si="2"/>
        <v>0</v>
      </c>
    </row>
    <row r="68" spans="1:6" ht="15" customHeight="1" x14ac:dyDescent="0.2">
      <c r="A68" s="8">
        <v>46189</v>
      </c>
      <c r="B68" s="9" t="s">
        <v>76</v>
      </c>
      <c r="C68" s="9" t="s">
        <v>39</v>
      </c>
      <c r="D68" s="10">
        <v>62000</v>
      </c>
      <c r="E68" s="10">
        <v>62000</v>
      </c>
      <c r="F68" s="10">
        <f t="shared" si="2"/>
        <v>0</v>
      </c>
    </row>
    <row r="69" spans="1:6" ht="15" customHeight="1" x14ac:dyDescent="0.2">
      <c r="A69" s="8">
        <v>46189</v>
      </c>
      <c r="B69" s="9" t="s">
        <v>77</v>
      </c>
      <c r="C69" s="9" t="s">
        <v>39</v>
      </c>
      <c r="D69" s="10">
        <v>139900</v>
      </c>
      <c r="E69" s="10">
        <v>139900</v>
      </c>
      <c r="F69" s="10">
        <f t="shared" si="2"/>
        <v>0</v>
      </c>
    </row>
    <row r="70" spans="1:6" ht="15" customHeight="1" x14ac:dyDescent="0.2">
      <c r="A70" s="8">
        <v>46189</v>
      </c>
      <c r="B70" s="9" t="s">
        <v>52</v>
      </c>
      <c r="C70" s="9" t="s">
        <v>41</v>
      </c>
      <c r="D70" s="10">
        <v>110000</v>
      </c>
      <c r="E70" s="10">
        <v>115000</v>
      </c>
      <c r="F70" s="10">
        <f t="shared" si="2"/>
        <v>5000</v>
      </c>
    </row>
    <row r="71" spans="1:6" ht="15" customHeight="1" x14ac:dyDescent="0.2">
      <c r="A71" s="8">
        <v>46189</v>
      </c>
      <c r="B71" s="9" t="s">
        <v>52</v>
      </c>
      <c r="C71" s="9" t="s">
        <v>39</v>
      </c>
      <c r="D71" s="10">
        <v>5000</v>
      </c>
      <c r="E71" s="10">
        <v>0</v>
      </c>
      <c r="F71" s="10">
        <f t="shared" si="2"/>
        <v>-5000</v>
      </c>
    </row>
    <row r="72" spans="1:6" ht="15" customHeight="1" x14ac:dyDescent="0.2">
      <c r="A72" s="8">
        <v>46190</v>
      </c>
      <c r="B72" s="9" t="s">
        <v>48</v>
      </c>
      <c r="C72" s="9" t="s">
        <v>39</v>
      </c>
      <c r="D72" s="10">
        <v>43160</v>
      </c>
      <c r="E72" s="10">
        <v>43160</v>
      </c>
      <c r="F72" s="10">
        <f t="shared" si="2"/>
        <v>0</v>
      </c>
    </row>
    <row r="73" spans="1:6" ht="15" customHeight="1" x14ac:dyDescent="0.2">
      <c r="A73" s="8">
        <v>46190</v>
      </c>
      <c r="B73" s="9" t="s">
        <v>55</v>
      </c>
      <c r="C73" s="9" t="s">
        <v>39</v>
      </c>
      <c r="D73" s="10">
        <v>32200</v>
      </c>
      <c r="E73" s="10">
        <v>32200</v>
      </c>
      <c r="F73" s="10">
        <f t="shared" si="2"/>
        <v>0</v>
      </c>
    </row>
    <row r="74" spans="1:6" ht="15" customHeight="1" x14ac:dyDescent="0.2">
      <c r="A74" s="8">
        <v>46190</v>
      </c>
      <c r="B74" s="9" t="s">
        <v>42</v>
      </c>
      <c r="C74" s="9" t="s">
        <v>39</v>
      </c>
      <c r="D74" s="10">
        <v>25300</v>
      </c>
      <c r="E74" s="10">
        <v>25300</v>
      </c>
      <c r="F74" s="10">
        <f t="shared" si="2"/>
        <v>0</v>
      </c>
    </row>
    <row r="75" spans="1:6" ht="15" customHeight="1" x14ac:dyDescent="0.2">
      <c r="A75" s="8">
        <v>46192</v>
      </c>
      <c r="B75" s="9" t="s">
        <v>78</v>
      </c>
      <c r="C75" s="9" t="s">
        <v>39</v>
      </c>
      <c r="D75" s="10">
        <v>199900</v>
      </c>
      <c r="E75" s="10">
        <v>199900</v>
      </c>
      <c r="F75" s="10">
        <f t="shared" si="2"/>
        <v>0</v>
      </c>
    </row>
    <row r="76" spans="1:6" ht="15" customHeight="1" x14ac:dyDescent="0.2">
      <c r="A76" s="8">
        <v>46192</v>
      </c>
      <c r="B76" s="9" t="s">
        <v>43</v>
      </c>
      <c r="C76" s="9" t="s">
        <v>39</v>
      </c>
      <c r="D76" s="10">
        <v>40840</v>
      </c>
      <c r="E76" s="10">
        <v>40840</v>
      </c>
      <c r="F76" s="10">
        <f t="shared" si="2"/>
        <v>0</v>
      </c>
    </row>
    <row r="77" spans="1:6" ht="15" customHeight="1" x14ac:dyDescent="0.2">
      <c r="A77" s="8">
        <v>46192</v>
      </c>
      <c r="B77" s="9" t="s">
        <v>58</v>
      </c>
      <c r="C77" s="9" t="s">
        <v>39</v>
      </c>
      <c r="D77" s="10">
        <v>50830</v>
      </c>
      <c r="E77" s="10">
        <v>50830</v>
      </c>
      <c r="F77" s="10">
        <f t="shared" si="2"/>
        <v>0</v>
      </c>
    </row>
    <row r="78" spans="1:6" ht="15" customHeight="1" x14ac:dyDescent="0.2">
      <c r="A78" s="8">
        <v>46192</v>
      </c>
      <c r="B78" s="9" t="s">
        <v>75</v>
      </c>
      <c r="C78" s="9" t="s">
        <v>39</v>
      </c>
      <c r="D78" s="10">
        <v>15840</v>
      </c>
      <c r="E78" s="10">
        <v>15840</v>
      </c>
      <c r="F78" s="10">
        <f t="shared" si="2"/>
        <v>0</v>
      </c>
    </row>
    <row r="79" spans="1:6" ht="15" customHeight="1" x14ac:dyDescent="0.2">
      <c r="A79" s="8">
        <v>46196</v>
      </c>
      <c r="B79" s="9" t="s">
        <v>42</v>
      </c>
      <c r="C79" s="9" t="s">
        <v>39</v>
      </c>
      <c r="D79" s="10">
        <v>82400</v>
      </c>
      <c r="E79" s="10">
        <v>82400</v>
      </c>
      <c r="F79" s="10">
        <f t="shared" si="2"/>
        <v>0</v>
      </c>
    </row>
    <row r="80" spans="1:6" ht="15" customHeight="1" x14ac:dyDescent="0.2">
      <c r="A80" s="8">
        <v>46196</v>
      </c>
      <c r="B80" s="9" t="s">
        <v>48</v>
      </c>
      <c r="C80" s="9" t="s">
        <v>39</v>
      </c>
      <c r="D80" s="10">
        <v>37700</v>
      </c>
      <c r="E80" s="10">
        <v>37700</v>
      </c>
      <c r="F80" s="10">
        <f t="shared" si="2"/>
        <v>0</v>
      </c>
    </row>
    <row r="81" spans="1:6" ht="15" customHeight="1" x14ac:dyDescent="0.2">
      <c r="A81" s="8">
        <v>46196</v>
      </c>
      <c r="B81" s="9" t="s">
        <v>79</v>
      </c>
      <c r="C81" s="9" t="s">
        <v>39</v>
      </c>
      <c r="D81" s="10">
        <v>106700</v>
      </c>
      <c r="E81" s="10">
        <v>106700</v>
      </c>
      <c r="F81" s="10">
        <f t="shared" si="2"/>
        <v>0</v>
      </c>
    </row>
    <row r="82" spans="1:6" ht="15" customHeight="1" x14ac:dyDescent="0.2">
      <c r="A82" s="8">
        <v>46197</v>
      </c>
      <c r="B82" s="9" t="s">
        <v>40</v>
      </c>
      <c r="C82" s="9" t="s">
        <v>41</v>
      </c>
      <c r="D82" s="10">
        <v>63000</v>
      </c>
      <c r="E82" s="10">
        <v>62600</v>
      </c>
      <c r="F82" s="10">
        <f t="shared" si="2"/>
        <v>-400</v>
      </c>
    </row>
    <row r="83" spans="1:6" ht="15" customHeight="1" x14ac:dyDescent="0.2">
      <c r="A83" s="8">
        <v>46199</v>
      </c>
      <c r="B83" s="9" t="s">
        <v>77</v>
      </c>
      <c r="C83" s="9" t="s">
        <v>39</v>
      </c>
      <c r="D83" s="10">
        <v>168200</v>
      </c>
      <c r="E83" s="10">
        <v>168200</v>
      </c>
      <c r="F83" s="10">
        <f t="shared" si="2"/>
        <v>0</v>
      </c>
    </row>
    <row r="84" spans="1:6" ht="15" customHeight="1" x14ac:dyDescent="0.2">
      <c r="A84" s="8">
        <v>46199</v>
      </c>
      <c r="B84" s="9" t="s">
        <v>50</v>
      </c>
      <c r="C84" s="9" t="s">
        <v>39</v>
      </c>
      <c r="D84" s="10">
        <v>137600</v>
      </c>
      <c r="E84" s="10">
        <v>137600</v>
      </c>
      <c r="F84" s="10">
        <f t="shared" si="2"/>
        <v>0</v>
      </c>
    </row>
    <row r="85" spans="1:6" ht="15" customHeight="1" x14ac:dyDescent="0.2">
      <c r="A85" s="8">
        <v>46199</v>
      </c>
      <c r="B85" s="9" t="s">
        <v>80</v>
      </c>
      <c r="C85" s="9" t="s">
        <v>41</v>
      </c>
      <c r="D85" s="10">
        <v>109000</v>
      </c>
      <c r="E85" s="10">
        <v>109000</v>
      </c>
      <c r="F85" s="10">
        <f t="shared" si="2"/>
        <v>0</v>
      </c>
    </row>
    <row r="86" spans="1:6" ht="15" customHeight="1" x14ac:dyDescent="0.2">
      <c r="A86" s="8">
        <v>46200</v>
      </c>
      <c r="B86" s="9" t="s">
        <v>38</v>
      </c>
      <c r="C86" s="9" t="s">
        <v>39</v>
      </c>
      <c r="D86" s="10">
        <v>25300</v>
      </c>
      <c r="E86" s="10">
        <v>25300</v>
      </c>
      <c r="F86" s="10">
        <f t="shared" si="2"/>
        <v>0</v>
      </c>
    </row>
    <row r="87" spans="1:6" ht="15" customHeight="1" x14ac:dyDescent="0.2">
      <c r="A87" s="8">
        <v>46203</v>
      </c>
      <c r="B87" s="9" t="s">
        <v>42</v>
      </c>
      <c r="C87" s="9" t="s">
        <v>39</v>
      </c>
      <c r="D87" s="10">
        <v>22000</v>
      </c>
      <c r="E87" s="10">
        <v>22000</v>
      </c>
      <c r="F87" s="10">
        <f t="shared" si="2"/>
        <v>0</v>
      </c>
    </row>
    <row r="88" spans="1:6" ht="15" customHeight="1" x14ac:dyDescent="0.2">
      <c r="A88" s="8">
        <v>46203</v>
      </c>
      <c r="B88" s="9" t="s">
        <v>61</v>
      </c>
      <c r="C88" s="9" t="s">
        <v>39</v>
      </c>
      <c r="D88" s="10">
        <v>123500</v>
      </c>
      <c r="E88" s="10">
        <v>123500</v>
      </c>
      <c r="F88" s="10">
        <f t="shared" si="2"/>
        <v>0</v>
      </c>
    </row>
    <row r="89" spans="1:6" ht="15" customHeight="1" x14ac:dyDescent="0.2">
      <c r="A89" s="8">
        <v>46203</v>
      </c>
      <c r="B89" s="9" t="s">
        <v>44</v>
      </c>
      <c r="C89" s="9" t="s">
        <v>39</v>
      </c>
      <c r="D89" s="10">
        <v>171100</v>
      </c>
      <c r="E89" s="10">
        <v>171100</v>
      </c>
      <c r="F89" s="10">
        <f t="shared" si="2"/>
        <v>0</v>
      </c>
    </row>
    <row r="90" spans="1:6" ht="15" customHeight="1" x14ac:dyDescent="0.2">
      <c r="A90" s="8">
        <v>46204</v>
      </c>
      <c r="B90" s="9" t="s">
        <v>58</v>
      </c>
      <c r="C90" s="9" t="s">
        <v>39</v>
      </c>
      <c r="D90" s="10">
        <v>23000</v>
      </c>
      <c r="E90" s="10">
        <v>23000</v>
      </c>
      <c r="F90" s="10">
        <f t="shared" si="2"/>
        <v>0</v>
      </c>
    </row>
    <row r="91" spans="1:6" ht="15" customHeight="1" x14ac:dyDescent="0.2">
      <c r="A91" s="8">
        <v>46205</v>
      </c>
      <c r="B91" s="9" t="s">
        <v>78</v>
      </c>
      <c r="C91" s="9" t="s">
        <v>39</v>
      </c>
      <c r="D91" s="10">
        <v>122300</v>
      </c>
      <c r="E91" s="10">
        <v>122300</v>
      </c>
      <c r="F91" s="10">
        <f t="shared" si="2"/>
        <v>0</v>
      </c>
    </row>
    <row r="92" spans="1:6" ht="15" customHeight="1" x14ac:dyDescent="0.2">
      <c r="A92" s="8">
        <v>46205</v>
      </c>
      <c r="B92" s="9" t="s">
        <v>81</v>
      </c>
      <c r="C92" s="9" t="s">
        <v>39</v>
      </c>
      <c r="D92" s="10">
        <v>79200</v>
      </c>
      <c r="E92" s="10">
        <v>79200</v>
      </c>
      <c r="F92" s="10">
        <f t="shared" si="2"/>
        <v>0</v>
      </c>
    </row>
    <row r="93" spans="1:6" ht="15" customHeight="1" x14ac:dyDescent="0.2">
      <c r="A93" s="8"/>
      <c r="B93" s="9"/>
      <c r="C93" s="9"/>
      <c r="D93" s="10"/>
      <c r="E93" s="10"/>
      <c r="F93" s="10">
        <f t="shared" si="2"/>
        <v>0</v>
      </c>
    </row>
    <row r="94" spans="1:6" ht="15" customHeight="1" x14ac:dyDescent="0.2">
      <c r="A94" s="8"/>
      <c r="B94" s="9"/>
      <c r="C94" s="9"/>
      <c r="D94" s="10"/>
      <c r="E94" s="10"/>
      <c r="F94" s="10">
        <f t="shared" si="2"/>
        <v>0</v>
      </c>
    </row>
    <row r="95" spans="1:6" ht="15" customHeight="1" x14ac:dyDescent="0.2">
      <c r="A95" s="8"/>
      <c r="B95" s="9"/>
      <c r="C95" s="9"/>
      <c r="D95" s="10"/>
      <c r="E95" s="10"/>
      <c r="F95" s="10">
        <f t="shared" si="2"/>
        <v>0</v>
      </c>
    </row>
    <row r="96" spans="1:6" ht="15" customHeight="1" x14ac:dyDescent="0.2">
      <c r="A96" s="8"/>
      <c r="B96" s="9"/>
      <c r="C96" s="9"/>
      <c r="D96" s="10"/>
      <c r="E96" s="10"/>
      <c r="F96" s="10">
        <f t="shared" si="2"/>
        <v>0</v>
      </c>
    </row>
    <row r="97" spans="1:7" ht="15" customHeight="1" x14ac:dyDescent="0.2">
      <c r="A97" s="8"/>
      <c r="B97" s="9"/>
      <c r="C97" s="9"/>
      <c r="D97" s="10"/>
      <c r="E97" s="10"/>
      <c r="F97" s="10">
        <f t="shared" si="2"/>
        <v>0</v>
      </c>
    </row>
    <row r="98" spans="1:7" ht="15" customHeight="1" x14ac:dyDescent="0.2">
      <c r="A98" s="8"/>
      <c r="B98" s="9"/>
      <c r="C98" s="9"/>
      <c r="D98" s="10"/>
      <c r="E98" s="10"/>
      <c r="F98" s="10">
        <f t="shared" ref="F98:F129" si="3">E98-D98</f>
        <v>0</v>
      </c>
    </row>
    <row r="99" spans="1:7" ht="15" customHeight="1" x14ac:dyDescent="0.2">
      <c r="A99" s="11">
        <v>46176</v>
      </c>
      <c r="B99" s="12"/>
      <c r="C99" s="12" t="s">
        <v>82</v>
      </c>
      <c r="D99" s="13">
        <v>500000</v>
      </c>
      <c r="E99" s="13"/>
      <c r="F99" s="13">
        <f t="shared" si="3"/>
        <v>-500000</v>
      </c>
    </row>
    <row r="100" spans="1:7" ht="15" customHeight="1" x14ac:dyDescent="0.2">
      <c r="A100" s="11">
        <v>46184</v>
      </c>
      <c r="B100" s="12"/>
      <c r="C100" s="12" t="s">
        <v>83</v>
      </c>
      <c r="D100" s="13">
        <v>778900</v>
      </c>
      <c r="E100" s="13"/>
      <c r="F100" s="13">
        <f t="shared" si="3"/>
        <v>-778900</v>
      </c>
      <c r="G100" s="14" t="s">
        <v>84</v>
      </c>
    </row>
    <row r="101" spans="1:7" ht="12.75" customHeight="1" x14ac:dyDescent="0.2">
      <c r="A101" s="15"/>
      <c r="B101" s="15"/>
      <c r="C101" s="15"/>
      <c r="D101" s="15"/>
      <c r="E101" s="15"/>
      <c r="F101" s="15">
        <f t="shared" si="3"/>
        <v>0</v>
      </c>
    </row>
    <row r="102" spans="1:7" ht="12.75" customHeight="1" x14ac:dyDescent="0.2">
      <c r="A102" s="15"/>
      <c r="B102" s="15"/>
      <c r="C102" s="15"/>
      <c r="D102" s="15"/>
      <c r="E102" s="15"/>
      <c r="F102" s="15">
        <f t="shared" si="3"/>
        <v>0</v>
      </c>
    </row>
    <row r="103" spans="1:7" ht="12.75" customHeight="1" x14ac:dyDescent="0.2">
      <c r="A103" s="15"/>
      <c r="B103" s="15"/>
      <c r="C103" s="15"/>
      <c r="D103" s="15"/>
      <c r="E103" s="15"/>
      <c r="F103" s="15">
        <f t="shared" si="3"/>
        <v>0</v>
      </c>
    </row>
    <row r="104" spans="1:7" ht="12.75" customHeight="1" x14ac:dyDescent="0.2">
      <c r="A104" s="15"/>
      <c r="B104" s="15"/>
      <c r="C104" s="15"/>
      <c r="D104" s="15"/>
      <c r="E104" s="15"/>
      <c r="F104" s="15">
        <f t="shared" si="3"/>
        <v>0</v>
      </c>
    </row>
    <row r="105" spans="1:7" ht="12.75" customHeight="1" x14ac:dyDescent="0.2">
      <c r="A105" s="15"/>
      <c r="B105" s="15"/>
      <c r="C105" s="15"/>
      <c r="D105" s="15"/>
      <c r="E105" s="15"/>
      <c r="F105" s="15">
        <f>F104+E105-D105</f>
        <v>0</v>
      </c>
    </row>
    <row r="106" spans="1:7" ht="12.75" customHeight="1" x14ac:dyDescent="0.2">
      <c r="A106" s="15"/>
      <c r="B106" s="15"/>
      <c r="C106" s="15"/>
      <c r="D106" s="15"/>
      <c r="E106" s="15"/>
      <c r="F106" s="15">
        <f>F105+E106-D106</f>
        <v>0</v>
      </c>
    </row>
    <row r="107" spans="1:7" ht="12.75" customHeight="1" x14ac:dyDescent="0.2">
      <c r="A107" s="15"/>
      <c r="B107" s="15"/>
      <c r="C107" s="15"/>
      <c r="D107" s="15"/>
      <c r="E107" s="15"/>
      <c r="F107" s="15">
        <f>F106+E107-D107</f>
        <v>0</v>
      </c>
    </row>
    <row r="108" spans="1:7" ht="12.75" customHeight="1" x14ac:dyDescent="0.2">
      <c r="A108" s="15"/>
      <c r="B108" s="15"/>
      <c r="C108" s="15"/>
      <c r="D108" s="15"/>
      <c r="E108" s="15"/>
      <c r="F108" s="15">
        <f>F107+E108-D108</f>
        <v>0</v>
      </c>
    </row>
    <row r="109" spans="1:7" ht="12.75" customHeight="1" x14ac:dyDescent="0.2">
      <c r="A109" s="15"/>
      <c r="B109" s="15"/>
      <c r="C109" s="15"/>
      <c r="D109" s="15"/>
      <c r="E109" s="15"/>
      <c r="F109" s="15"/>
    </row>
    <row r="110" spans="1:7" ht="12.75" customHeight="1" x14ac:dyDescent="0.2">
      <c r="A110" s="15"/>
      <c r="B110" s="15"/>
      <c r="C110" s="15"/>
      <c r="D110" s="15"/>
      <c r="E110" s="15"/>
      <c r="F110" s="15"/>
    </row>
    <row r="111" spans="1:7" ht="12.75" customHeight="1" x14ac:dyDescent="0.2">
      <c r="A111" s="15"/>
      <c r="B111" s="15"/>
      <c r="C111" s="15"/>
      <c r="D111" s="15"/>
      <c r="E111" s="15"/>
      <c r="F111" s="15"/>
    </row>
    <row r="112" spans="1:7" ht="12.75" customHeight="1" x14ac:dyDescent="0.2">
      <c r="A112" s="15"/>
      <c r="B112" s="15"/>
      <c r="C112" s="15"/>
      <c r="D112" s="15"/>
      <c r="E112" s="15"/>
      <c r="F112" s="15"/>
    </row>
    <row r="113" spans="1:6" ht="12.75" customHeight="1" x14ac:dyDescent="0.2">
      <c r="A113" s="15"/>
      <c r="B113" s="15"/>
      <c r="C113" s="15"/>
      <c r="D113" s="15"/>
      <c r="E113" s="15"/>
      <c r="F113" s="15"/>
    </row>
    <row r="114" spans="1:6" ht="12.75" customHeight="1" x14ac:dyDescent="0.2">
      <c r="A114" s="15"/>
      <c r="B114" s="15"/>
      <c r="C114" s="15"/>
      <c r="D114" s="15"/>
      <c r="E114" s="15"/>
      <c r="F114" s="15"/>
    </row>
    <row r="115" spans="1:6" ht="12.75" customHeight="1" x14ac:dyDescent="0.2">
      <c r="A115" s="15"/>
      <c r="B115" s="15"/>
      <c r="C115" s="15"/>
      <c r="D115" s="15"/>
      <c r="E115" s="15"/>
      <c r="F115" s="15"/>
    </row>
    <row r="116" spans="1:6" ht="12.75" customHeight="1" x14ac:dyDescent="0.2">
      <c r="A116" s="15"/>
      <c r="B116" s="15"/>
      <c r="C116" s="15"/>
      <c r="D116" s="15"/>
      <c r="E116" s="15"/>
      <c r="F116" s="15"/>
    </row>
    <row r="117" spans="1:6" ht="12.75" customHeight="1" x14ac:dyDescent="0.2">
      <c r="A117" s="15"/>
      <c r="B117" s="15"/>
      <c r="C117" s="15"/>
      <c r="D117" s="15"/>
      <c r="E117" s="15"/>
      <c r="F117" s="15"/>
    </row>
    <row r="118" spans="1:6" ht="12.75" customHeight="1" x14ac:dyDescent="0.2">
      <c r="A118" s="15"/>
      <c r="B118" s="15"/>
      <c r="C118" s="15"/>
      <c r="D118" s="15"/>
      <c r="E118" s="15"/>
      <c r="F118" s="15"/>
    </row>
    <row r="119" spans="1:6" ht="12.75" customHeight="1" x14ac:dyDescent="0.2">
      <c r="A119" s="15"/>
      <c r="B119" s="15"/>
      <c r="C119" s="15"/>
      <c r="D119" s="15"/>
      <c r="E119" s="15"/>
      <c r="F119" s="15"/>
    </row>
    <row r="120" spans="1:6" ht="12.75" customHeight="1" x14ac:dyDescent="0.2">
      <c r="A120" s="15"/>
      <c r="B120" s="15"/>
      <c r="C120" s="15"/>
      <c r="D120" s="15"/>
      <c r="E120" s="15"/>
      <c r="F120" s="15"/>
    </row>
    <row r="121" spans="1:6" ht="12.75" customHeight="1" x14ac:dyDescent="0.2">
      <c r="A121" s="15"/>
      <c r="B121" s="15"/>
      <c r="C121" s="15"/>
      <c r="D121" s="15"/>
      <c r="E121" s="15"/>
      <c r="F121" s="15"/>
    </row>
    <row r="122" spans="1:6" ht="12.75" customHeight="1" x14ac:dyDescent="0.2">
      <c r="A122" s="15"/>
      <c r="B122" s="15"/>
      <c r="C122" s="15"/>
      <c r="D122" s="15"/>
      <c r="E122" s="15"/>
      <c r="F122" s="15"/>
    </row>
  </sheetData>
  <autoFilter ref="A1:F108" xr:uid="{00000000-0009-0000-0000-000001000000}"/>
  <conditionalFormatting sqref="F2:F9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21.5703125" customWidth="1"/>
    <col min="3" max="3" width="18.85546875" customWidth="1"/>
    <col min="4" max="4" width="12.5703125" customWidth="1"/>
    <col min="5" max="5" width="47.85546875" customWidth="1"/>
    <col min="6" max="6" width="13.42578125" customWidth="1"/>
  </cols>
  <sheetData>
    <row r="1" spans="1:6" ht="15.75" customHeight="1" x14ac:dyDescent="0.25">
      <c r="A1" s="7" t="s">
        <v>85</v>
      </c>
      <c r="B1" s="7" t="s">
        <v>86</v>
      </c>
      <c r="C1" s="7" t="s">
        <v>34</v>
      </c>
      <c r="D1" s="7" t="s">
        <v>87</v>
      </c>
      <c r="E1" s="7" t="s">
        <v>88</v>
      </c>
      <c r="F1" s="7" t="s">
        <v>89</v>
      </c>
    </row>
    <row r="2" spans="1:6" ht="15" x14ac:dyDescent="0.2">
      <c r="A2" s="8">
        <v>46200</v>
      </c>
      <c r="B2" s="9" t="s">
        <v>90</v>
      </c>
      <c r="C2" s="9" t="s">
        <v>39</v>
      </c>
      <c r="D2" s="10">
        <v>550000</v>
      </c>
      <c r="E2" s="10">
        <v>654600</v>
      </c>
      <c r="F2" s="10">
        <f>E2-D2</f>
        <v>104600</v>
      </c>
    </row>
    <row r="3" spans="1:6" ht="15" x14ac:dyDescent="0.2">
      <c r="A3" s="8">
        <v>46200</v>
      </c>
      <c r="B3" s="9" t="s">
        <v>91</v>
      </c>
      <c r="C3" s="9" t="s">
        <v>39</v>
      </c>
      <c r="D3" s="10">
        <f>1.1*23000</f>
        <v>25300.000000000004</v>
      </c>
      <c r="E3" s="10"/>
      <c r="F3" s="10">
        <f t="shared" ref="F3:F9" si="0">F2+E3-D3</f>
        <v>79300</v>
      </c>
    </row>
    <row r="4" spans="1:6" ht="15" x14ac:dyDescent="0.2">
      <c r="A4" s="8">
        <v>46203</v>
      </c>
      <c r="B4" s="9" t="s">
        <v>90</v>
      </c>
      <c r="C4" s="9" t="s">
        <v>39</v>
      </c>
      <c r="D4" s="10">
        <f>123500+171100</f>
        <v>294600</v>
      </c>
      <c r="E4" s="10">
        <v>376200</v>
      </c>
      <c r="F4" s="10">
        <f t="shared" si="0"/>
        <v>160900</v>
      </c>
    </row>
    <row r="5" spans="1:6" ht="15" x14ac:dyDescent="0.2">
      <c r="A5" s="8">
        <v>46204</v>
      </c>
      <c r="B5" s="9" t="s">
        <v>92</v>
      </c>
      <c r="C5" s="9" t="s">
        <v>93</v>
      </c>
      <c r="D5" s="10">
        <v>23000</v>
      </c>
      <c r="E5" s="10"/>
      <c r="F5" s="10">
        <f t="shared" si="0"/>
        <v>137900</v>
      </c>
    </row>
    <row r="6" spans="1:6" ht="15" x14ac:dyDescent="0.2">
      <c r="A6" s="8">
        <v>46204</v>
      </c>
      <c r="B6" s="9" t="s">
        <v>94</v>
      </c>
      <c r="C6" s="9" t="s">
        <v>39</v>
      </c>
      <c r="D6" s="10">
        <v>79300</v>
      </c>
      <c r="E6" s="10"/>
      <c r="F6" s="10">
        <f t="shared" si="0"/>
        <v>58600</v>
      </c>
    </row>
    <row r="7" spans="1:6" ht="15" x14ac:dyDescent="0.2">
      <c r="A7" s="8">
        <v>46205</v>
      </c>
      <c r="B7" s="9" t="s">
        <v>95</v>
      </c>
      <c r="C7" s="9" t="s">
        <v>39</v>
      </c>
      <c r="D7" s="10">
        <v>122300</v>
      </c>
      <c r="E7" s="10">
        <v>108400</v>
      </c>
      <c r="F7" s="10">
        <f t="shared" si="0"/>
        <v>44700</v>
      </c>
    </row>
    <row r="8" spans="1:6" ht="15" x14ac:dyDescent="0.2">
      <c r="A8" s="8">
        <v>46205</v>
      </c>
      <c r="B8" s="9" t="s">
        <v>90</v>
      </c>
      <c r="C8" s="9" t="s">
        <v>39</v>
      </c>
      <c r="D8" s="10">
        <v>44700</v>
      </c>
      <c r="E8" s="10"/>
      <c r="F8" s="10">
        <f t="shared" si="0"/>
        <v>0</v>
      </c>
    </row>
    <row r="9" spans="1:6" ht="15" x14ac:dyDescent="0.2">
      <c r="A9" s="8"/>
      <c r="B9" s="9"/>
      <c r="C9" s="9"/>
      <c r="D9" s="10"/>
      <c r="E9" s="10"/>
      <c r="F9" s="10">
        <f t="shared" si="0"/>
        <v>0</v>
      </c>
    </row>
    <row r="10" spans="1:6" ht="15" x14ac:dyDescent="0.2">
      <c r="A10" s="8"/>
      <c r="B10" s="9"/>
      <c r="C10" s="9"/>
      <c r="D10" s="10"/>
      <c r="E10" s="10"/>
      <c r="F10" s="10">
        <f t="shared" ref="F10:F41" si="1">E10-D10</f>
        <v>0</v>
      </c>
    </row>
    <row r="11" spans="1:6" ht="15" x14ac:dyDescent="0.2">
      <c r="A11" s="8"/>
      <c r="B11" s="9"/>
      <c r="C11" s="9"/>
      <c r="D11" s="10"/>
      <c r="E11" s="10"/>
      <c r="F11" s="10">
        <f t="shared" si="1"/>
        <v>0</v>
      </c>
    </row>
    <row r="12" spans="1:6" ht="15" x14ac:dyDescent="0.2">
      <c r="A12" s="8"/>
      <c r="B12" s="9"/>
      <c r="C12" s="9"/>
      <c r="D12" s="10"/>
      <c r="E12" s="10"/>
      <c r="F12" s="10">
        <f t="shared" si="1"/>
        <v>0</v>
      </c>
    </row>
    <row r="13" spans="1:6" ht="15" x14ac:dyDescent="0.2">
      <c r="A13" s="8"/>
      <c r="B13" s="9"/>
      <c r="C13" s="9"/>
      <c r="D13" s="10"/>
      <c r="E13" s="10"/>
      <c r="F13" s="10">
        <f t="shared" si="1"/>
        <v>0</v>
      </c>
    </row>
    <row r="14" spans="1:6" ht="15" x14ac:dyDescent="0.2">
      <c r="A14" s="8"/>
      <c r="B14" s="9"/>
      <c r="C14" s="9"/>
      <c r="D14" s="10"/>
      <c r="E14" s="10"/>
      <c r="F14" s="10">
        <f t="shared" si="1"/>
        <v>0</v>
      </c>
    </row>
    <row r="15" spans="1:6" ht="15" x14ac:dyDescent="0.2">
      <c r="A15" s="8"/>
      <c r="B15" s="9"/>
      <c r="C15" s="9"/>
      <c r="D15" s="10"/>
      <c r="E15" s="10"/>
      <c r="F15" s="10">
        <f t="shared" si="1"/>
        <v>0</v>
      </c>
    </row>
    <row r="16" spans="1:6" ht="15" x14ac:dyDescent="0.2">
      <c r="A16" s="8"/>
      <c r="B16" s="9"/>
      <c r="C16" s="9"/>
      <c r="D16" s="10"/>
      <c r="E16" s="10"/>
      <c r="F16" s="10">
        <f t="shared" si="1"/>
        <v>0</v>
      </c>
    </row>
    <row r="17" spans="1:6" ht="15" x14ac:dyDescent="0.2">
      <c r="A17" s="8"/>
      <c r="B17" s="9"/>
      <c r="C17" s="9"/>
      <c r="D17" s="10"/>
      <c r="E17" s="10"/>
      <c r="F17" s="10">
        <f t="shared" si="1"/>
        <v>0</v>
      </c>
    </row>
    <row r="18" spans="1:6" ht="15" x14ac:dyDescent="0.2">
      <c r="A18" s="8"/>
      <c r="B18" s="9"/>
      <c r="C18" s="9"/>
      <c r="D18" s="10"/>
      <c r="E18" s="10"/>
      <c r="F18" s="10">
        <f t="shared" si="1"/>
        <v>0</v>
      </c>
    </row>
    <row r="19" spans="1:6" ht="15" x14ac:dyDescent="0.2">
      <c r="A19" s="8"/>
      <c r="B19" s="9"/>
      <c r="C19" s="9"/>
      <c r="D19" s="10"/>
      <c r="E19" s="10"/>
      <c r="F19" s="10">
        <f t="shared" si="1"/>
        <v>0</v>
      </c>
    </row>
    <row r="20" spans="1:6" ht="15" x14ac:dyDescent="0.2">
      <c r="A20" s="8"/>
      <c r="B20" s="9"/>
      <c r="C20" s="9"/>
      <c r="D20" s="10"/>
      <c r="E20" s="10"/>
      <c r="F20" s="10">
        <f t="shared" si="1"/>
        <v>0</v>
      </c>
    </row>
    <row r="21" spans="1:6" ht="15" x14ac:dyDescent="0.2">
      <c r="A21" s="8"/>
      <c r="B21" s="9"/>
      <c r="C21" s="9"/>
      <c r="D21" s="10"/>
      <c r="E21" s="10"/>
      <c r="F21" s="10">
        <f t="shared" si="1"/>
        <v>0</v>
      </c>
    </row>
    <row r="22" spans="1:6" ht="15" x14ac:dyDescent="0.2">
      <c r="A22" s="8"/>
      <c r="B22" s="9"/>
      <c r="C22" s="9"/>
      <c r="D22" s="10"/>
      <c r="E22" s="10"/>
      <c r="F22" s="10">
        <f t="shared" si="1"/>
        <v>0</v>
      </c>
    </row>
    <row r="23" spans="1:6" ht="15" x14ac:dyDescent="0.2">
      <c r="A23" s="8"/>
      <c r="B23" s="9"/>
      <c r="C23" s="9"/>
      <c r="D23" s="10"/>
      <c r="E23" s="10"/>
      <c r="F23" s="10">
        <f t="shared" si="1"/>
        <v>0</v>
      </c>
    </row>
    <row r="24" spans="1:6" ht="15" x14ac:dyDescent="0.2">
      <c r="A24" s="8"/>
      <c r="B24" s="9"/>
      <c r="C24" s="9"/>
      <c r="D24" s="10"/>
      <c r="E24" s="10"/>
      <c r="F24" s="10">
        <f t="shared" si="1"/>
        <v>0</v>
      </c>
    </row>
    <row r="25" spans="1:6" ht="15" customHeight="1" x14ac:dyDescent="0.2">
      <c r="A25" s="8"/>
      <c r="B25" s="9"/>
      <c r="C25" s="9"/>
      <c r="D25" s="10"/>
      <c r="E25" s="10"/>
      <c r="F25" s="10">
        <f t="shared" si="1"/>
        <v>0</v>
      </c>
    </row>
    <row r="26" spans="1:6" ht="15" customHeight="1" x14ac:dyDescent="0.2">
      <c r="A26" s="8"/>
      <c r="B26" s="9"/>
      <c r="C26" s="9"/>
      <c r="D26" s="10"/>
      <c r="E26" s="10"/>
      <c r="F26" s="10">
        <f t="shared" si="1"/>
        <v>0</v>
      </c>
    </row>
    <row r="27" spans="1:6" ht="15" customHeight="1" x14ac:dyDescent="0.2">
      <c r="A27" s="8"/>
      <c r="B27" s="9"/>
      <c r="C27" s="9"/>
      <c r="D27" s="10"/>
      <c r="E27" s="10"/>
      <c r="F27" s="10">
        <f t="shared" si="1"/>
        <v>0</v>
      </c>
    </row>
    <row r="28" spans="1:6" ht="15" customHeight="1" x14ac:dyDescent="0.2">
      <c r="A28" s="8"/>
      <c r="B28" s="9"/>
      <c r="C28" s="9"/>
      <c r="D28" s="10"/>
      <c r="E28" s="10"/>
      <c r="F28" s="10">
        <f t="shared" si="1"/>
        <v>0</v>
      </c>
    </row>
    <row r="29" spans="1:6" ht="15" customHeight="1" x14ac:dyDescent="0.2">
      <c r="A29" s="8"/>
      <c r="B29" s="9"/>
      <c r="C29" s="9"/>
      <c r="D29" s="10"/>
      <c r="E29" s="10"/>
      <c r="F29" s="10">
        <f t="shared" si="1"/>
        <v>0</v>
      </c>
    </row>
    <row r="30" spans="1:6" ht="15" customHeight="1" x14ac:dyDescent="0.2">
      <c r="A30" s="8"/>
      <c r="B30" s="9"/>
      <c r="C30" s="9"/>
      <c r="D30" s="10"/>
      <c r="E30" s="10"/>
      <c r="F30" s="10">
        <f t="shared" si="1"/>
        <v>0</v>
      </c>
    </row>
    <row r="31" spans="1:6" ht="15" customHeight="1" x14ac:dyDescent="0.2">
      <c r="A31" s="8"/>
      <c r="B31" s="9"/>
      <c r="C31" s="9"/>
      <c r="D31" s="10"/>
      <c r="E31" s="10"/>
      <c r="F31" s="10">
        <f t="shared" si="1"/>
        <v>0</v>
      </c>
    </row>
    <row r="32" spans="1:6" ht="15" customHeight="1" x14ac:dyDescent="0.2">
      <c r="A32" s="8"/>
      <c r="B32" s="9"/>
      <c r="C32" s="9"/>
      <c r="D32" s="10"/>
      <c r="E32" s="10"/>
      <c r="F32" s="10">
        <f t="shared" si="1"/>
        <v>0</v>
      </c>
    </row>
    <row r="33" spans="1:6" ht="15" customHeight="1" x14ac:dyDescent="0.2">
      <c r="A33" s="8"/>
      <c r="B33" s="9"/>
      <c r="C33" s="9"/>
      <c r="D33" s="10"/>
      <c r="E33" s="10"/>
      <c r="F33" s="10">
        <f t="shared" si="1"/>
        <v>0</v>
      </c>
    </row>
    <row r="34" spans="1:6" ht="15" customHeight="1" x14ac:dyDescent="0.2">
      <c r="A34" s="8"/>
      <c r="B34" s="9"/>
      <c r="C34" s="9"/>
      <c r="D34" s="10"/>
      <c r="E34" s="10"/>
      <c r="F34" s="10">
        <f t="shared" si="1"/>
        <v>0</v>
      </c>
    </row>
    <row r="35" spans="1:6" ht="15" customHeight="1" x14ac:dyDescent="0.2">
      <c r="A35" s="8"/>
      <c r="B35" s="9"/>
      <c r="C35" s="9"/>
      <c r="D35" s="10"/>
      <c r="E35" s="10"/>
      <c r="F35" s="10">
        <f t="shared" si="1"/>
        <v>0</v>
      </c>
    </row>
    <row r="36" spans="1:6" ht="15" customHeight="1" x14ac:dyDescent="0.2">
      <c r="A36" s="8"/>
      <c r="B36" s="9"/>
      <c r="C36" s="9"/>
      <c r="D36" s="10"/>
      <c r="E36" s="10"/>
      <c r="F36" s="10">
        <f t="shared" si="1"/>
        <v>0</v>
      </c>
    </row>
    <row r="37" spans="1:6" ht="15" customHeight="1" x14ac:dyDescent="0.2">
      <c r="A37" s="8"/>
      <c r="B37" s="9"/>
      <c r="C37" s="9"/>
      <c r="D37" s="10"/>
      <c r="E37" s="10"/>
      <c r="F37" s="10">
        <f t="shared" si="1"/>
        <v>0</v>
      </c>
    </row>
    <row r="38" spans="1:6" ht="15" customHeight="1" x14ac:dyDescent="0.2">
      <c r="A38" s="8"/>
      <c r="B38" s="9"/>
      <c r="C38" s="9"/>
      <c r="D38" s="10"/>
      <c r="E38" s="10"/>
      <c r="F38" s="10">
        <f t="shared" si="1"/>
        <v>0</v>
      </c>
    </row>
    <row r="39" spans="1:6" ht="15" customHeight="1" x14ac:dyDescent="0.2">
      <c r="A39" s="8"/>
      <c r="B39" s="9"/>
      <c r="C39" s="9"/>
      <c r="D39" s="10"/>
      <c r="E39" s="10"/>
      <c r="F39" s="10">
        <f t="shared" si="1"/>
        <v>0</v>
      </c>
    </row>
    <row r="40" spans="1:6" ht="15" customHeight="1" x14ac:dyDescent="0.2">
      <c r="A40" s="8"/>
      <c r="B40" s="9"/>
      <c r="C40" s="9"/>
      <c r="D40" s="10"/>
      <c r="E40" s="10"/>
      <c r="F40" s="10">
        <f t="shared" si="1"/>
        <v>0</v>
      </c>
    </row>
    <row r="41" spans="1:6" ht="15" customHeight="1" x14ac:dyDescent="0.2">
      <c r="A41" s="8"/>
      <c r="B41" s="9"/>
      <c r="C41" s="9"/>
      <c r="D41" s="10"/>
      <c r="E41" s="10"/>
      <c r="F41" s="10">
        <f t="shared" si="1"/>
        <v>0</v>
      </c>
    </row>
    <row r="42" spans="1:6" ht="15" customHeight="1" x14ac:dyDescent="0.2">
      <c r="A42" s="8"/>
      <c r="B42" s="9"/>
      <c r="C42" s="9"/>
      <c r="D42" s="10"/>
      <c r="E42" s="10"/>
      <c r="F42" s="10">
        <f t="shared" ref="F42:F73" si="2">E42-D42</f>
        <v>0</v>
      </c>
    </row>
    <row r="43" spans="1:6" ht="15" customHeight="1" x14ac:dyDescent="0.2">
      <c r="A43" s="8"/>
      <c r="B43" s="9"/>
      <c r="C43" s="9"/>
      <c r="D43" s="10"/>
      <c r="E43" s="10"/>
      <c r="F43" s="10">
        <f t="shared" si="2"/>
        <v>0</v>
      </c>
    </row>
    <row r="44" spans="1:6" ht="15" customHeight="1" x14ac:dyDescent="0.2">
      <c r="A44" s="8"/>
      <c r="B44" s="9"/>
      <c r="C44" s="9"/>
      <c r="D44" s="10"/>
      <c r="E44" s="10"/>
      <c r="F44" s="10">
        <f t="shared" si="2"/>
        <v>0</v>
      </c>
    </row>
    <row r="45" spans="1:6" ht="15" customHeight="1" x14ac:dyDescent="0.2">
      <c r="A45" s="8"/>
      <c r="B45" s="9"/>
      <c r="C45" s="9"/>
      <c r="D45" s="10"/>
      <c r="E45" s="10"/>
      <c r="F45" s="10">
        <f t="shared" si="2"/>
        <v>0</v>
      </c>
    </row>
    <row r="46" spans="1:6" ht="15" customHeight="1" x14ac:dyDescent="0.2">
      <c r="A46" s="8"/>
      <c r="B46" s="9"/>
      <c r="C46" s="9"/>
      <c r="D46" s="10"/>
      <c r="E46" s="10"/>
      <c r="F46" s="10">
        <f t="shared" si="2"/>
        <v>0</v>
      </c>
    </row>
    <row r="47" spans="1:6" ht="15" customHeight="1" x14ac:dyDescent="0.2">
      <c r="A47" s="8"/>
      <c r="B47" s="9"/>
      <c r="C47" s="9"/>
      <c r="D47" s="10"/>
      <c r="E47" s="10"/>
      <c r="F47" s="10">
        <f t="shared" si="2"/>
        <v>0</v>
      </c>
    </row>
    <row r="48" spans="1:6" ht="15" customHeight="1" x14ac:dyDescent="0.2">
      <c r="A48" s="8"/>
      <c r="B48" s="9"/>
      <c r="C48" s="9"/>
      <c r="D48" s="10"/>
      <c r="E48" s="10"/>
      <c r="F48" s="10">
        <f t="shared" si="2"/>
        <v>0</v>
      </c>
    </row>
    <row r="49" spans="1:6" ht="15" customHeight="1" x14ac:dyDescent="0.2">
      <c r="A49" s="8"/>
      <c r="B49" s="9"/>
      <c r="C49" s="9"/>
      <c r="D49" s="10"/>
      <c r="E49" s="10"/>
      <c r="F49" s="10">
        <f t="shared" si="2"/>
        <v>0</v>
      </c>
    </row>
    <row r="50" spans="1:6" ht="15" customHeight="1" x14ac:dyDescent="0.2">
      <c r="A50" s="8"/>
      <c r="B50" s="9"/>
      <c r="C50" s="9"/>
      <c r="D50" s="10"/>
      <c r="E50" s="10"/>
      <c r="F50" s="10">
        <f t="shared" si="2"/>
        <v>0</v>
      </c>
    </row>
    <row r="51" spans="1:6" ht="15" customHeight="1" x14ac:dyDescent="0.2">
      <c r="A51" s="8"/>
      <c r="B51" s="9"/>
      <c r="C51" s="9"/>
      <c r="D51" s="10"/>
      <c r="E51" s="10"/>
      <c r="F51" s="10">
        <f t="shared" si="2"/>
        <v>0</v>
      </c>
    </row>
    <row r="52" spans="1:6" ht="15" customHeight="1" x14ac:dyDescent="0.2">
      <c r="A52" s="8"/>
      <c r="B52" s="9"/>
      <c r="C52" s="9"/>
      <c r="D52" s="10"/>
      <c r="E52" s="10"/>
      <c r="F52" s="10">
        <f t="shared" si="2"/>
        <v>0</v>
      </c>
    </row>
    <row r="53" spans="1:6" ht="15" customHeight="1" x14ac:dyDescent="0.2">
      <c r="A53" s="8"/>
      <c r="B53" s="9"/>
      <c r="C53" s="9"/>
      <c r="D53" s="10"/>
      <c r="E53" s="10"/>
      <c r="F53" s="10">
        <f t="shared" si="2"/>
        <v>0</v>
      </c>
    </row>
    <row r="54" spans="1:6" ht="15" customHeight="1" x14ac:dyDescent="0.2">
      <c r="A54" s="8"/>
      <c r="B54" s="9"/>
      <c r="C54" s="9"/>
      <c r="D54" s="10"/>
      <c r="E54" s="10"/>
      <c r="F54" s="10">
        <f t="shared" si="2"/>
        <v>0</v>
      </c>
    </row>
    <row r="55" spans="1:6" ht="15" customHeight="1" x14ac:dyDescent="0.2">
      <c r="A55" s="8"/>
      <c r="B55" s="9"/>
      <c r="C55" s="9"/>
      <c r="D55" s="10"/>
      <c r="E55" s="10"/>
      <c r="F55" s="10">
        <f t="shared" si="2"/>
        <v>0</v>
      </c>
    </row>
    <row r="56" spans="1:6" ht="15" customHeight="1" x14ac:dyDescent="0.2">
      <c r="A56" s="8"/>
      <c r="B56" s="9"/>
      <c r="C56" s="9"/>
      <c r="D56" s="10"/>
      <c r="E56" s="10"/>
      <c r="F56" s="10">
        <f t="shared" si="2"/>
        <v>0</v>
      </c>
    </row>
    <row r="57" spans="1:6" ht="15" customHeight="1" x14ac:dyDescent="0.2">
      <c r="A57" s="8"/>
      <c r="B57" s="9"/>
      <c r="C57" s="9"/>
      <c r="D57" s="10"/>
      <c r="E57" s="10"/>
      <c r="F57" s="10">
        <f t="shared" si="2"/>
        <v>0</v>
      </c>
    </row>
    <row r="58" spans="1:6" ht="15" customHeight="1" x14ac:dyDescent="0.2">
      <c r="A58" s="8"/>
      <c r="B58" s="9"/>
      <c r="C58" s="9"/>
      <c r="D58" s="10"/>
      <c r="E58" s="10"/>
      <c r="F58" s="10">
        <f t="shared" si="2"/>
        <v>0</v>
      </c>
    </row>
    <row r="59" spans="1:6" ht="15" customHeight="1" x14ac:dyDescent="0.2">
      <c r="A59" s="8"/>
      <c r="B59" s="9"/>
      <c r="C59" s="9"/>
      <c r="D59" s="10"/>
      <c r="E59" s="10"/>
      <c r="F59" s="10">
        <f t="shared" si="2"/>
        <v>0</v>
      </c>
    </row>
    <row r="60" spans="1:6" ht="15" customHeight="1" x14ac:dyDescent="0.2">
      <c r="A60" s="8"/>
      <c r="B60" s="9"/>
      <c r="C60" s="9"/>
      <c r="D60" s="10"/>
      <c r="E60" s="10"/>
      <c r="F60" s="10">
        <f t="shared" si="2"/>
        <v>0</v>
      </c>
    </row>
    <row r="61" spans="1:6" ht="15" customHeight="1" x14ac:dyDescent="0.2">
      <c r="A61" s="8"/>
      <c r="B61" s="9"/>
      <c r="C61" s="9"/>
      <c r="D61" s="10"/>
      <c r="E61" s="10"/>
      <c r="F61" s="10">
        <f t="shared" si="2"/>
        <v>0</v>
      </c>
    </row>
    <row r="62" spans="1:6" ht="15" customHeight="1" x14ac:dyDescent="0.2">
      <c r="A62" s="8"/>
      <c r="B62" s="9"/>
      <c r="C62" s="9"/>
      <c r="D62" s="10"/>
      <c r="E62" s="10"/>
      <c r="F62" s="10">
        <f t="shared" si="2"/>
        <v>0</v>
      </c>
    </row>
    <row r="63" spans="1:6" ht="15" customHeight="1" x14ac:dyDescent="0.2">
      <c r="A63" s="8"/>
      <c r="B63" s="9"/>
      <c r="C63" s="9"/>
      <c r="D63" s="10"/>
      <c r="E63" s="10"/>
      <c r="F63" s="10">
        <f t="shared" si="2"/>
        <v>0</v>
      </c>
    </row>
    <row r="64" spans="1:6" ht="15" customHeight="1" x14ac:dyDescent="0.2">
      <c r="A64" s="8"/>
      <c r="B64" s="9"/>
      <c r="C64" s="9"/>
      <c r="D64" s="10"/>
      <c r="E64" s="10"/>
      <c r="F64" s="10">
        <f t="shared" si="2"/>
        <v>0</v>
      </c>
    </row>
    <row r="65" spans="1:6" ht="15" customHeight="1" x14ac:dyDescent="0.2">
      <c r="A65" s="8"/>
      <c r="B65" s="9"/>
      <c r="C65" s="9"/>
      <c r="D65" s="10"/>
      <c r="E65" s="10"/>
      <c r="F65" s="10">
        <f t="shared" si="2"/>
        <v>0</v>
      </c>
    </row>
    <row r="66" spans="1:6" ht="15" customHeight="1" x14ac:dyDescent="0.2">
      <c r="A66" s="8"/>
      <c r="B66" s="9"/>
      <c r="C66" s="9"/>
      <c r="D66" s="10"/>
      <c r="E66" s="10"/>
      <c r="F66" s="10">
        <f t="shared" si="2"/>
        <v>0</v>
      </c>
    </row>
    <row r="67" spans="1:6" ht="15" customHeight="1" x14ac:dyDescent="0.2">
      <c r="A67" s="8"/>
      <c r="B67" s="9"/>
      <c r="C67" s="9"/>
      <c r="D67" s="10"/>
      <c r="E67" s="10"/>
      <c r="F67" s="10">
        <f t="shared" si="2"/>
        <v>0</v>
      </c>
    </row>
    <row r="68" spans="1:6" ht="15" customHeight="1" x14ac:dyDescent="0.2">
      <c r="A68" s="8"/>
      <c r="B68" s="9"/>
      <c r="C68" s="9"/>
      <c r="D68" s="10"/>
      <c r="E68" s="10"/>
      <c r="F68" s="10">
        <f t="shared" si="2"/>
        <v>0</v>
      </c>
    </row>
    <row r="69" spans="1:6" ht="15" customHeight="1" x14ac:dyDescent="0.2">
      <c r="A69" s="8"/>
      <c r="B69" s="9"/>
      <c r="C69" s="9"/>
      <c r="D69" s="10"/>
      <c r="E69" s="10"/>
      <c r="F69" s="10">
        <f t="shared" si="2"/>
        <v>0</v>
      </c>
    </row>
    <row r="70" spans="1:6" ht="15" customHeight="1" x14ac:dyDescent="0.2">
      <c r="A70" s="8"/>
      <c r="B70" s="9"/>
      <c r="C70" s="9"/>
      <c r="D70" s="10"/>
      <c r="E70" s="10"/>
      <c r="F70" s="10">
        <f t="shared" si="2"/>
        <v>0</v>
      </c>
    </row>
    <row r="71" spans="1:6" ht="15" customHeight="1" x14ac:dyDescent="0.2">
      <c r="A71" s="8"/>
      <c r="B71" s="9"/>
      <c r="C71" s="9"/>
      <c r="D71" s="10"/>
      <c r="E71" s="10"/>
      <c r="F71" s="10">
        <f t="shared" si="2"/>
        <v>0</v>
      </c>
    </row>
    <row r="72" spans="1:6" ht="15" customHeight="1" x14ac:dyDescent="0.2">
      <c r="A72" s="8"/>
      <c r="B72" s="9"/>
      <c r="C72" s="9"/>
      <c r="D72" s="10"/>
      <c r="E72" s="10"/>
      <c r="F72" s="10">
        <f t="shared" si="2"/>
        <v>0</v>
      </c>
    </row>
    <row r="73" spans="1:6" ht="15" customHeight="1" x14ac:dyDescent="0.2">
      <c r="A73" s="8"/>
      <c r="B73" s="9"/>
      <c r="C73" s="9"/>
      <c r="D73" s="10"/>
      <c r="E73" s="10"/>
      <c r="F73" s="10">
        <f t="shared" si="2"/>
        <v>0</v>
      </c>
    </row>
    <row r="74" spans="1:6" ht="15" customHeight="1" x14ac:dyDescent="0.2">
      <c r="A74" s="8"/>
      <c r="B74" s="9"/>
      <c r="C74" s="9"/>
      <c r="D74" s="10"/>
      <c r="E74" s="10"/>
      <c r="F74" s="10">
        <f t="shared" ref="F74:F105" si="3">E74-D74</f>
        <v>0</v>
      </c>
    </row>
    <row r="75" spans="1:6" ht="15" customHeight="1" x14ac:dyDescent="0.2">
      <c r="A75" s="8"/>
      <c r="B75" s="9"/>
      <c r="C75" s="9"/>
      <c r="D75" s="10"/>
      <c r="E75" s="10"/>
      <c r="F75" s="10">
        <f t="shared" si="3"/>
        <v>0</v>
      </c>
    </row>
    <row r="76" spans="1:6" ht="15" customHeight="1" x14ac:dyDescent="0.2">
      <c r="A76" s="8"/>
      <c r="B76" s="9"/>
      <c r="C76" s="9"/>
      <c r="D76" s="10"/>
      <c r="E76" s="10"/>
      <c r="F76" s="10">
        <f t="shared" si="3"/>
        <v>0</v>
      </c>
    </row>
    <row r="77" spans="1:6" ht="15" customHeight="1" x14ac:dyDescent="0.2">
      <c r="A77" s="8"/>
      <c r="B77" s="9"/>
      <c r="C77" s="9"/>
      <c r="D77" s="10"/>
      <c r="E77" s="10"/>
      <c r="F77" s="10">
        <f t="shared" si="3"/>
        <v>0</v>
      </c>
    </row>
    <row r="78" spans="1:6" ht="15" customHeight="1" x14ac:dyDescent="0.2">
      <c r="A78" s="8"/>
      <c r="B78" s="9"/>
      <c r="C78" s="9"/>
      <c r="D78" s="10"/>
      <c r="E78" s="10"/>
      <c r="F78" s="10">
        <f t="shared" si="3"/>
        <v>0</v>
      </c>
    </row>
    <row r="79" spans="1:6" ht="15" customHeight="1" x14ac:dyDescent="0.2">
      <c r="A79" s="8"/>
      <c r="B79" s="9"/>
      <c r="C79" s="9"/>
      <c r="D79" s="10"/>
      <c r="E79" s="10"/>
      <c r="F79" s="10">
        <f t="shared" si="3"/>
        <v>0</v>
      </c>
    </row>
    <row r="80" spans="1:6" ht="15" customHeight="1" x14ac:dyDescent="0.2">
      <c r="A80" s="8"/>
      <c r="B80" s="9"/>
      <c r="C80" s="9"/>
      <c r="D80" s="10"/>
      <c r="E80" s="10"/>
      <c r="F80" s="10">
        <f t="shared" si="3"/>
        <v>0</v>
      </c>
    </row>
    <row r="81" spans="1:6" ht="15" customHeight="1" x14ac:dyDescent="0.2">
      <c r="A81" s="8"/>
      <c r="B81" s="9"/>
      <c r="C81" s="9"/>
      <c r="D81" s="10"/>
      <c r="E81" s="10"/>
      <c r="F81" s="10">
        <f t="shared" si="3"/>
        <v>0</v>
      </c>
    </row>
    <row r="82" spans="1:6" ht="15" customHeight="1" x14ac:dyDescent="0.2">
      <c r="A82" s="8"/>
      <c r="B82" s="9"/>
      <c r="C82" s="9"/>
      <c r="D82" s="10"/>
      <c r="E82" s="10"/>
      <c r="F82" s="10">
        <f t="shared" si="3"/>
        <v>0</v>
      </c>
    </row>
    <row r="83" spans="1:6" ht="15" customHeight="1" x14ac:dyDescent="0.2">
      <c r="A83" s="8"/>
      <c r="B83" s="9"/>
      <c r="C83" s="9"/>
      <c r="D83" s="10"/>
      <c r="E83" s="10"/>
      <c r="F83" s="10">
        <f t="shared" si="3"/>
        <v>0</v>
      </c>
    </row>
  </sheetData>
  <autoFilter ref="A1:F8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5"/>
  <sheetViews>
    <sheetView tabSelected="1" topLeftCell="A37" workbookViewId="0">
      <selection activeCell="A45" sqref="A45"/>
    </sheetView>
  </sheetViews>
  <sheetFormatPr baseColWidth="10" defaultColWidth="12.5703125" defaultRowHeight="15.75" customHeight="1" x14ac:dyDescent="0.2"/>
  <cols>
    <col min="1" max="1" width="26.140625" customWidth="1"/>
    <col min="2" max="2" width="29.5703125" customWidth="1"/>
    <col min="3" max="3" width="46.28515625" customWidth="1"/>
    <col min="4" max="4" width="30.5703125" customWidth="1"/>
  </cols>
  <sheetData>
    <row r="1" spans="1:11" ht="15.75" customHeight="1" x14ac:dyDescent="0.2">
      <c r="A1" s="50" t="s">
        <v>33</v>
      </c>
      <c r="B1" s="50" t="s">
        <v>96</v>
      </c>
      <c r="C1" s="50" t="s">
        <v>97</v>
      </c>
      <c r="D1" s="50" t="s">
        <v>98</v>
      </c>
      <c r="E1" s="49" t="s">
        <v>99</v>
      </c>
      <c r="F1" s="49" t="s">
        <v>100</v>
      </c>
      <c r="G1" s="49" t="s">
        <v>101</v>
      </c>
      <c r="H1" s="49" t="s">
        <v>102</v>
      </c>
      <c r="I1" s="49" t="s">
        <v>103</v>
      </c>
      <c r="J1" s="49" t="s">
        <v>7</v>
      </c>
      <c r="K1" s="49" t="s">
        <v>104</v>
      </c>
    </row>
    <row r="2" spans="1:11" ht="15" x14ac:dyDescent="0.2">
      <c r="A2" s="16" t="s">
        <v>105</v>
      </c>
      <c r="B2" s="16" t="s">
        <v>106</v>
      </c>
      <c r="C2" s="16"/>
      <c r="D2" s="16"/>
      <c r="E2" s="17"/>
      <c r="F2" s="17"/>
      <c r="H2" s="17"/>
      <c r="I2" t="s">
        <v>107</v>
      </c>
      <c r="J2" t="s">
        <v>11</v>
      </c>
    </row>
    <row r="3" spans="1:11" ht="15" x14ac:dyDescent="0.2">
      <c r="A3" s="18" t="s">
        <v>108</v>
      </c>
      <c r="B3" s="18" t="s">
        <v>109</v>
      </c>
      <c r="C3" s="18" t="s">
        <v>110</v>
      </c>
      <c r="D3" s="18" t="s">
        <v>111</v>
      </c>
      <c r="E3" s="17"/>
      <c r="F3" s="17"/>
      <c r="H3" s="17"/>
      <c r="I3" t="s">
        <v>112</v>
      </c>
      <c r="J3" t="s">
        <v>11</v>
      </c>
    </row>
    <row r="4" spans="1:11" ht="15" x14ac:dyDescent="0.2">
      <c r="A4" s="16" t="s">
        <v>63</v>
      </c>
      <c r="B4" s="16"/>
      <c r="C4" s="16"/>
      <c r="D4" s="16"/>
      <c r="E4" s="17"/>
      <c r="F4" s="17"/>
      <c r="H4" s="17"/>
      <c r="I4" t="s">
        <v>113</v>
      </c>
      <c r="J4" t="s">
        <v>11</v>
      </c>
    </row>
    <row r="5" spans="1:11" ht="15" x14ac:dyDescent="0.2">
      <c r="A5" s="18" t="s">
        <v>42</v>
      </c>
      <c r="B5" s="18" t="s">
        <v>114</v>
      </c>
      <c r="C5" s="18" t="s">
        <v>115</v>
      </c>
      <c r="D5" s="18"/>
      <c r="I5" t="s">
        <v>116</v>
      </c>
      <c r="J5" t="s">
        <v>11</v>
      </c>
    </row>
    <row r="6" spans="1:11" ht="15" x14ac:dyDescent="0.2">
      <c r="A6" s="16" t="s">
        <v>117</v>
      </c>
      <c r="B6" s="16" t="s">
        <v>118</v>
      </c>
      <c r="C6" s="16" t="s">
        <v>119</v>
      </c>
      <c r="D6" s="16"/>
      <c r="I6" t="s">
        <v>120</v>
      </c>
      <c r="J6" t="s">
        <v>11</v>
      </c>
    </row>
    <row r="7" spans="1:11" ht="15" x14ac:dyDescent="0.2">
      <c r="A7" s="18" t="s">
        <v>51</v>
      </c>
      <c r="B7" s="18"/>
      <c r="C7" s="18"/>
      <c r="D7" s="18"/>
      <c r="I7" t="s">
        <v>121</v>
      </c>
      <c r="J7" t="s">
        <v>11</v>
      </c>
    </row>
    <row r="8" spans="1:11" ht="15" x14ac:dyDescent="0.2">
      <c r="A8" s="16" t="s">
        <v>122</v>
      </c>
      <c r="B8" s="16" t="s">
        <v>123</v>
      </c>
      <c r="C8" s="16"/>
      <c r="D8" s="16" t="s">
        <v>124</v>
      </c>
      <c r="I8" t="s">
        <v>125</v>
      </c>
      <c r="J8" t="s">
        <v>11</v>
      </c>
    </row>
    <row r="9" spans="1:11" ht="15" x14ac:dyDescent="0.2">
      <c r="A9" s="18" t="s">
        <v>79</v>
      </c>
      <c r="B9" s="18" t="s">
        <v>126</v>
      </c>
      <c r="C9" s="18"/>
      <c r="D9" s="18"/>
      <c r="I9" t="s">
        <v>127</v>
      </c>
      <c r="J9" t="s">
        <v>11</v>
      </c>
    </row>
    <row r="10" spans="1:11" ht="15" x14ac:dyDescent="0.2">
      <c r="A10" s="16" t="s">
        <v>60</v>
      </c>
      <c r="B10" s="16"/>
      <c r="C10" s="16"/>
      <c r="D10" s="16"/>
      <c r="I10" t="s">
        <v>128</v>
      </c>
      <c r="J10" t="s">
        <v>11</v>
      </c>
    </row>
    <row r="11" spans="1:11" ht="15" x14ac:dyDescent="0.2">
      <c r="A11" s="18" t="s">
        <v>65</v>
      </c>
      <c r="B11" s="18"/>
      <c r="C11" s="18"/>
      <c r="D11" s="18"/>
      <c r="I11" t="s">
        <v>129</v>
      </c>
      <c r="J11" t="s">
        <v>11</v>
      </c>
    </row>
    <row r="12" spans="1:11" ht="15" x14ac:dyDescent="0.2">
      <c r="A12" s="16" t="s">
        <v>80</v>
      </c>
      <c r="B12" s="16" t="s">
        <v>130</v>
      </c>
      <c r="C12" s="16" t="s">
        <v>131</v>
      </c>
      <c r="D12" s="16"/>
      <c r="I12" t="s">
        <v>132</v>
      </c>
      <c r="J12" t="s">
        <v>11</v>
      </c>
    </row>
    <row r="13" spans="1:11" ht="15" x14ac:dyDescent="0.2">
      <c r="A13" s="18" t="s">
        <v>69</v>
      </c>
      <c r="B13" s="18" t="s">
        <v>133</v>
      </c>
      <c r="C13" s="18" t="s">
        <v>134</v>
      </c>
      <c r="D13" s="18" t="s">
        <v>135</v>
      </c>
      <c r="I13" t="s">
        <v>136</v>
      </c>
      <c r="J13" t="s">
        <v>11</v>
      </c>
    </row>
    <row r="14" spans="1:11" ht="15" x14ac:dyDescent="0.2">
      <c r="A14" s="16" t="s">
        <v>137</v>
      </c>
      <c r="B14" s="16"/>
      <c r="C14" s="16"/>
      <c r="D14" s="16"/>
      <c r="I14" t="s">
        <v>138</v>
      </c>
      <c r="J14" t="s">
        <v>11</v>
      </c>
    </row>
    <row r="15" spans="1:11" ht="15" x14ac:dyDescent="0.2">
      <c r="A15" s="18" t="s">
        <v>139</v>
      </c>
      <c r="B15" s="18"/>
      <c r="C15" s="18"/>
      <c r="D15" s="18"/>
      <c r="I15" t="s">
        <v>140</v>
      </c>
      <c r="J15" t="s">
        <v>11</v>
      </c>
    </row>
    <row r="16" spans="1:11" ht="15" x14ac:dyDescent="0.2">
      <c r="A16" s="16" t="s">
        <v>53</v>
      </c>
      <c r="B16" s="16" t="s">
        <v>141</v>
      </c>
      <c r="C16" s="16"/>
      <c r="D16" s="16"/>
      <c r="I16" t="s">
        <v>142</v>
      </c>
      <c r="J16" t="s">
        <v>11</v>
      </c>
    </row>
    <row r="17" spans="1:10" ht="15" x14ac:dyDescent="0.2">
      <c r="A17" s="18" t="s">
        <v>143</v>
      </c>
      <c r="B17" s="18" t="s">
        <v>144</v>
      </c>
      <c r="C17" s="18" t="s">
        <v>145</v>
      </c>
      <c r="D17" s="18"/>
      <c r="I17" t="s">
        <v>146</v>
      </c>
      <c r="J17" t="s">
        <v>11</v>
      </c>
    </row>
    <row r="18" spans="1:10" ht="15" x14ac:dyDescent="0.2">
      <c r="A18" s="16" t="s">
        <v>147</v>
      </c>
      <c r="B18" s="16" t="s">
        <v>148</v>
      </c>
      <c r="C18" s="16" t="s">
        <v>134</v>
      </c>
      <c r="D18" s="16" t="s">
        <v>149</v>
      </c>
      <c r="I18" t="s">
        <v>150</v>
      </c>
      <c r="J18" t="s">
        <v>11</v>
      </c>
    </row>
    <row r="19" spans="1:10" ht="15" x14ac:dyDescent="0.2">
      <c r="A19" s="18" t="s">
        <v>151</v>
      </c>
      <c r="B19" s="18"/>
      <c r="C19" s="18"/>
      <c r="D19" s="18"/>
      <c r="I19" t="s">
        <v>152</v>
      </c>
      <c r="J19" t="s">
        <v>11</v>
      </c>
    </row>
    <row r="20" spans="1:10" ht="15" x14ac:dyDescent="0.2">
      <c r="A20" s="16" t="s">
        <v>153</v>
      </c>
      <c r="B20" s="16" t="s">
        <v>154</v>
      </c>
      <c r="C20" s="16" t="s">
        <v>155</v>
      </c>
      <c r="D20" s="16"/>
      <c r="I20" t="s">
        <v>156</v>
      </c>
      <c r="J20" t="s">
        <v>11</v>
      </c>
    </row>
    <row r="21" spans="1:10" ht="15" x14ac:dyDescent="0.2">
      <c r="A21" s="18" t="s">
        <v>77</v>
      </c>
      <c r="B21" s="18" t="s">
        <v>157</v>
      </c>
      <c r="C21" s="18" t="s">
        <v>158</v>
      </c>
      <c r="D21" s="18" t="s">
        <v>159</v>
      </c>
      <c r="I21" t="s">
        <v>160</v>
      </c>
      <c r="J21" t="s">
        <v>11</v>
      </c>
    </row>
    <row r="22" spans="1:10" ht="15" x14ac:dyDescent="0.2">
      <c r="A22" s="16" t="s">
        <v>161</v>
      </c>
      <c r="B22" s="16"/>
      <c r="C22" s="16"/>
      <c r="D22" s="16"/>
      <c r="I22" t="s">
        <v>162</v>
      </c>
      <c r="J22" t="s">
        <v>11</v>
      </c>
    </row>
    <row r="23" spans="1:10" ht="15" customHeight="1" x14ac:dyDescent="0.2">
      <c r="A23" s="18" t="s">
        <v>75</v>
      </c>
      <c r="B23" s="18"/>
      <c r="C23" s="18"/>
      <c r="D23" s="18"/>
      <c r="I23" t="s">
        <v>163</v>
      </c>
      <c r="J23" t="s">
        <v>11</v>
      </c>
    </row>
    <row r="24" spans="1:10" ht="15" customHeight="1" x14ac:dyDescent="0.2">
      <c r="A24" s="16" t="s">
        <v>38</v>
      </c>
      <c r="B24" s="16" t="s">
        <v>164</v>
      </c>
      <c r="C24" s="16"/>
      <c r="D24" s="16"/>
      <c r="I24" t="s">
        <v>165</v>
      </c>
      <c r="J24" t="s">
        <v>11</v>
      </c>
    </row>
    <row r="25" spans="1:10" ht="15" customHeight="1" x14ac:dyDescent="0.2">
      <c r="A25" s="18" t="s">
        <v>81</v>
      </c>
      <c r="B25" s="18" t="s">
        <v>166</v>
      </c>
      <c r="C25" s="18" t="s">
        <v>167</v>
      </c>
      <c r="D25" s="18" t="s">
        <v>168</v>
      </c>
      <c r="I25" t="s">
        <v>169</v>
      </c>
      <c r="J25" t="s">
        <v>11</v>
      </c>
    </row>
    <row r="26" spans="1:10" ht="15" customHeight="1" x14ac:dyDescent="0.2">
      <c r="A26" s="16" t="s">
        <v>170</v>
      </c>
      <c r="B26" s="16"/>
      <c r="C26" s="16"/>
      <c r="D26" s="16"/>
      <c r="I26" t="s">
        <v>171</v>
      </c>
      <c r="J26" t="s">
        <v>11</v>
      </c>
    </row>
    <row r="27" spans="1:10" ht="15" customHeight="1" x14ac:dyDescent="0.2">
      <c r="A27" s="18" t="s">
        <v>59</v>
      </c>
      <c r="B27" s="18"/>
      <c r="C27" s="18"/>
      <c r="D27" s="18"/>
      <c r="I27" t="s">
        <v>172</v>
      </c>
      <c r="J27" t="s">
        <v>11</v>
      </c>
    </row>
    <row r="28" spans="1:10" ht="15" customHeight="1" x14ac:dyDescent="0.2">
      <c r="A28" s="16" t="s">
        <v>72</v>
      </c>
      <c r="B28" s="16"/>
      <c r="C28" s="16"/>
      <c r="D28" s="16"/>
      <c r="I28" t="s">
        <v>173</v>
      </c>
      <c r="J28" t="s">
        <v>11</v>
      </c>
    </row>
    <row r="29" spans="1:10" ht="15" customHeight="1" x14ac:dyDescent="0.2">
      <c r="A29" s="18" t="s">
        <v>49</v>
      </c>
      <c r="B29" s="18"/>
      <c r="C29" s="18"/>
      <c r="D29" s="18"/>
      <c r="I29" t="s">
        <v>174</v>
      </c>
      <c r="J29" t="s">
        <v>11</v>
      </c>
    </row>
    <row r="30" spans="1:10" ht="15" customHeight="1" x14ac:dyDescent="0.2">
      <c r="A30" s="16" t="s">
        <v>52</v>
      </c>
      <c r="B30" s="16" t="s">
        <v>175</v>
      </c>
      <c r="C30" s="16"/>
      <c r="D30" s="16"/>
      <c r="I30" t="s">
        <v>176</v>
      </c>
      <c r="J30" t="s">
        <v>11</v>
      </c>
    </row>
    <row r="31" spans="1:10" ht="15" customHeight="1" x14ac:dyDescent="0.2">
      <c r="A31" s="18" t="s">
        <v>177</v>
      </c>
      <c r="B31" s="18" t="s">
        <v>178</v>
      </c>
      <c r="C31" s="18" t="s">
        <v>179</v>
      </c>
      <c r="D31" s="18" t="s">
        <v>180</v>
      </c>
      <c r="I31" t="s">
        <v>181</v>
      </c>
      <c r="J31" t="s">
        <v>11</v>
      </c>
    </row>
    <row r="32" spans="1:10" ht="15" customHeight="1" x14ac:dyDescent="0.2">
      <c r="A32" s="16" t="s">
        <v>68</v>
      </c>
      <c r="B32" s="16"/>
      <c r="C32" s="16"/>
      <c r="D32" s="16"/>
      <c r="I32" t="s">
        <v>182</v>
      </c>
      <c r="J32" t="s">
        <v>11</v>
      </c>
    </row>
    <row r="33" spans="1:10" ht="15" customHeight="1" x14ac:dyDescent="0.2">
      <c r="A33" s="18" t="s">
        <v>40</v>
      </c>
      <c r="B33" s="18" t="s">
        <v>183</v>
      </c>
      <c r="C33" s="18" t="s">
        <v>184</v>
      </c>
      <c r="D33" s="18" t="s">
        <v>185</v>
      </c>
      <c r="I33" t="s">
        <v>186</v>
      </c>
      <c r="J33" t="s">
        <v>11</v>
      </c>
    </row>
    <row r="34" spans="1:10" ht="15" customHeight="1" x14ac:dyDescent="0.2">
      <c r="A34" s="16" t="s">
        <v>78</v>
      </c>
      <c r="B34" s="16"/>
      <c r="C34" s="16"/>
      <c r="D34" s="16"/>
      <c r="I34" t="s">
        <v>187</v>
      </c>
      <c r="J34" t="s">
        <v>11</v>
      </c>
    </row>
    <row r="35" spans="1:10" ht="15" customHeight="1" x14ac:dyDescent="0.2">
      <c r="A35" s="18" t="s">
        <v>71</v>
      </c>
      <c r="B35" s="18"/>
      <c r="C35" s="18"/>
      <c r="D35" s="18"/>
      <c r="I35" t="s">
        <v>188</v>
      </c>
      <c r="J35" t="s">
        <v>11</v>
      </c>
    </row>
    <row r="36" spans="1:10" ht="15" customHeight="1" x14ac:dyDescent="0.2">
      <c r="A36" s="16" t="s">
        <v>50</v>
      </c>
      <c r="B36" s="16" t="s">
        <v>189</v>
      </c>
      <c r="C36" s="16" t="s">
        <v>190</v>
      </c>
      <c r="D36" s="16" t="s">
        <v>191</v>
      </c>
      <c r="I36" t="s">
        <v>192</v>
      </c>
      <c r="J36" t="s">
        <v>11</v>
      </c>
    </row>
    <row r="37" spans="1:10" ht="15" customHeight="1" x14ac:dyDescent="0.2">
      <c r="A37" s="18" t="s">
        <v>61</v>
      </c>
      <c r="B37" s="18"/>
      <c r="C37" s="18"/>
      <c r="D37" s="18"/>
      <c r="I37" t="s">
        <v>193</v>
      </c>
      <c r="J37" t="s">
        <v>11</v>
      </c>
    </row>
    <row r="38" spans="1:10" ht="15" customHeight="1" x14ac:dyDescent="0.2">
      <c r="A38" s="16" t="s">
        <v>66</v>
      </c>
      <c r="B38" s="16"/>
      <c r="C38" s="16"/>
      <c r="D38" s="16"/>
      <c r="I38" t="s">
        <v>194</v>
      </c>
      <c r="J38" t="s">
        <v>11</v>
      </c>
    </row>
    <row r="39" spans="1:10" ht="15" customHeight="1" x14ac:dyDescent="0.2">
      <c r="A39" s="18" t="s">
        <v>195</v>
      </c>
      <c r="B39" s="18" t="s">
        <v>196</v>
      </c>
      <c r="C39" s="18"/>
      <c r="D39" s="18"/>
      <c r="I39" t="s">
        <v>197</v>
      </c>
      <c r="J39" t="s">
        <v>11</v>
      </c>
    </row>
    <row r="40" spans="1:10" ht="15" customHeight="1" x14ac:dyDescent="0.2">
      <c r="A40" s="16" t="s">
        <v>198</v>
      </c>
      <c r="B40" s="16" t="s">
        <v>199</v>
      </c>
      <c r="C40" s="16" t="s">
        <v>200</v>
      </c>
      <c r="D40" s="16" t="s">
        <v>201</v>
      </c>
      <c r="I40" t="s">
        <v>202</v>
      </c>
      <c r="J40" t="s">
        <v>11</v>
      </c>
    </row>
    <row r="41" spans="1:10" ht="15" customHeight="1" x14ac:dyDescent="0.2">
      <c r="A41" s="18" t="s">
        <v>70</v>
      </c>
      <c r="B41" s="18" t="s">
        <v>203</v>
      </c>
      <c r="C41" s="18" t="s">
        <v>204</v>
      </c>
      <c r="D41" s="18"/>
      <c r="I41" t="s">
        <v>205</v>
      </c>
      <c r="J41" t="s">
        <v>11</v>
      </c>
    </row>
    <row r="42" spans="1:10" ht="15" customHeight="1" x14ac:dyDescent="0.2">
      <c r="A42" s="16" t="s">
        <v>45</v>
      </c>
      <c r="B42" s="16"/>
      <c r="C42" s="16"/>
      <c r="D42" s="16"/>
      <c r="I42" t="s">
        <v>206</v>
      </c>
      <c r="J42" t="s">
        <v>11</v>
      </c>
    </row>
    <row r="43" spans="1:10" ht="15" customHeight="1" x14ac:dyDescent="0.2">
      <c r="A43" s="18" t="s">
        <v>76</v>
      </c>
      <c r="B43" s="18"/>
      <c r="C43" s="18"/>
      <c r="D43" s="18"/>
      <c r="I43" t="s">
        <v>207</v>
      </c>
      <c r="J43" t="s">
        <v>11</v>
      </c>
    </row>
    <row r="44" spans="1:10" ht="15" customHeight="1" x14ac:dyDescent="0.2">
      <c r="A44" s="16"/>
      <c r="B44" s="16"/>
      <c r="C44" s="16"/>
      <c r="D44" s="16"/>
      <c r="I44" t="s">
        <v>208</v>
      </c>
      <c r="J44" t="s">
        <v>11</v>
      </c>
    </row>
    <row r="45" spans="1:10" ht="15" customHeight="1" x14ac:dyDescent="0.2">
      <c r="A45" s="18"/>
      <c r="B45" s="18"/>
      <c r="C45" s="18"/>
      <c r="D45" s="18"/>
      <c r="I45" t="s">
        <v>209</v>
      </c>
      <c r="J45" t="s">
        <v>11</v>
      </c>
    </row>
  </sheetData>
  <autoFilter ref="A1:D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1.28515625" customWidth="1"/>
    <col min="3" max="3" width="14.140625" customWidth="1"/>
    <col min="4" max="4" width="9.5703125" customWidth="1"/>
    <col min="5" max="5" width="15.7109375" customWidth="1"/>
    <col min="6" max="6" width="10.42578125" customWidth="1"/>
    <col min="7" max="7" width="17.42578125" customWidth="1"/>
    <col min="8" max="8" width="10.42578125" customWidth="1"/>
    <col min="9" max="9" width="14" customWidth="1"/>
    <col min="10" max="10" width="11.285156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33</v>
      </c>
      <c r="C1" s="19" t="s">
        <v>211</v>
      </c>
      <c r="D1" s="19" t="s">
        <v>0</v>
      </c>
      <c r="E1" s="19" t="s">
        <v>212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46138</v>
      </c>
      <c r="B2" s="21" t="s">
        <v>38</v>
      </c>
      <c r="C2" s="21" t="s">
        <v>75</v>
      </c>
      <c r="D2" s="21" t="s">
        <v>220</v>
      </c>
      <c r="E2" s="22">
        <v>18000</v>
      </c>
      <c r="F2" s="22">
        <v>22000</v>
      </c>
      <c r="G2" s="21">
        <f>0.8+0.7</f>
        <v>1.5</v>
      </c>
      <c r="H2" s="22">
        <v>33000</v>
      </c>
      <c r="I2" s="22">
        <f>H2-(G2*E2)</f>
        <v>6000</v>
      </c>
      <c r="J2" s="22">
        <f>I2/2</f>
        <v>3000</v>
      </c>
      <c r="K2" s="21" t="s">
        <v>39</v>
      </c>
      <c r="L2" s="23" t="s">
        <v>221</v>
      </c>
    </row>
    <row r="3" spans="1:12" ht="15.75" customHeight="1" x14ac:dyDescent="0.25">
      <c r="A3" s="20">
        <v>46139</v>
      </c>
      <c r="B3" s="21" t="s">
        <v>40</v>
      </c>
      <c r="C3" s="21" t="s">
        <v>75</v>
      </c>
      <c r="D3" s="21" t="s">
        <v>26</v>
      </c>
      <c r="E3" s="22">
        <v>17000</v>
      </c>
      <c r="F3" s="22">
        <v>22000</v>
      </c>
      <c r="G3" s="21">
        <v>1.2</v>
      </c>
      <c r="H3" s="22">
        <f>F3*G3</f>
        <v>26400</v>
      </c>
      <c r="I3" s="22">
        <f>H3-(G3*E3)</f>
        <v>6000</v>
      </c>
      <c r="J3" s="22">
        <f>I3/2</f>
        <v>3000</v>
      </c>
      <c r="K3" s="21" t="s">
        <v>41</v>
      </c>
      <c r="L3" s="23" t="s">
        <v>222</v>
      </c>
    </row>
    <row r="4" spans="1:12" ht="15.75" customHeight="1" x14ac:dyDescent="0.25">
      <c r="A4" s="20">
        <v>46142</v>
      </c>
      <c r="B4" s="21" t="s">
        <v>43</v>
      </c>
      <c r="C4" s="21" t="s">
        <v>75</v>
      </c>
      <c r="D4" s="21" t="s">
        <v>220</v>
      </c>
      <c r="E4" s="22">
        <v>18000</v>
      </c>
      <c r="F4" s="22">
        <v>22000</v>
      </c>
      <c r="G4" s="21">
        <v>1.1000000000000001</v>
      </c>
      <c r="H4" s="22">
        <f>F4*G4</f>
        <v>24200.000000000004</v>
      </c>
      <c r="I4" s="22">
        <f>H4-(G4*E4)</f>
        <v>4400.0000000000036</v>
      </c>
      <c r="J4" s="22">
        <f>I4/2</f>
        <v>2200.0000000000018</v>
      </c>
      <c r="K4" s="21" t="s">
        <v>39</v>
      </c>
      <c r="L4" s="23" t="s">
        <v>221</v>
      </c>
    </row>
    <row r="5" spans="1:12" ht="15.75" customHeight="1" x14ac:dyDescent="0.25">
      <c r="A5" s="20">
        <v>46141</v>
      </c>
      <c r="B5" s="21" t="s">
        <v>42</v>
      </c>
      <c r="C5" s="21" t="s">
        <v>75</v>
      </c>
      <c r="D5" s="21" t="s">
        <v>220</v>
      </c>
      <c r="E5" s="22">
        <v>18000</v>
      </c>
      <c r="F5" s="22">
        <v>22000</v>
      </c>
      <c r="G5" s="21">
        <f>1+0.8</f>
        <v>1.8</v>
      </c>
      <c r="H5" s="22">
        <f>F5*G5</f>
        <v>39600</v>
      </c>
      <c r="I5" s="22">
        <f>H5-(G5*E5)</f>
        <v>7200</v>
      </c>
      <c r="J5" s="22">
        <f>I5/2</f>
        <v>3600</v>
      </c>
      <c r="K5" s="21" t="s">
        <v>39</v>
      </c>
      <c r="L5" s="23" t="s">
        <v>221</v>
      </c>
    </row>
    <row r="6" spans="1:12" ht="15.75" customHeight="1" x14ac:dyDescent="0.25">
      <c r="A6" s="24" t="s">
        <v>223</v>
      </c>
      <c r="B6" s="25"/>
      <c r="C6" s="25"/>
      <c r="D6" s="25"/>
      <c r="E6" s="25"/>
      <c r="F6" s="26"/>
      <c r="G6" s="24">
        <f>SUM(G2:G5)</f>
        <v>5.6000000000000005</v>
      </c>
      <c r="H6" s="27"/>
      <c r="I6" s="27"/>
      <c r="J6" s="28">
        <f>SUM(J2:J5)</f>
        <v>11800.000000000002</v>
      </c>
      <c r="K6" s="27"/>
      <c r="L6" s="24"/>
    </row>
  </sheetData>
  <autoFilter ref="A1:L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6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3.42578125" customWidth="1"/>
    <col min="3" max="3" width="14.140625" customWidth="1"/>
    <col min="4" max="4" width="11.42578125" customWidth="1"/>
    <col min="5" max="5" width="15.7109375" customWidth="1"/>
    <col min="6" max="6" width="10.42578125" customWidth="1"/>
    <col min="7" max="7" width="17.42578125" customWidth="1"/>
    <col min="8" max="8" width="10.42578125" customWidth="1"/>
    <col min="9" max="9" width="14" customWidth="1"/>
    <col min="10" max="10" width="11.285156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33</v>
      </c>
      <c r="C1" s="19" t="s">
        <v>211</v>
      </c>
      <c r="D1" s="19" t="s">
        <v>0</v>
      </c>
      <c r="E1" s="19" t="s">
        <v>212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46149</v>
      </c>
      <c r="B2" s="21" t="s">
        <v>44</v>
      </c>
      <c r="C2" s="21" t="s">
        <v>75</v>
      </c>
      <c r="D2" s="21" t="s">
        <v>14</v>
      </c>
      <c r="E2" s="22">
        <v>25000</v>
      </c>
      <c r="F2" s="22">
        <v>29000</v>
      </c>
      <c r="G2" s="21">
        <f>1.8+1.8</f>
        <v>3.6</v>
      </c>
      <c r="H2" s="22">
        <f>F2*G2</f>
        <v>104400</v>
      </c>
      <c r="I2" s="22">
        <f>H2-(G2*E2)</f>
        <v>14400</v>
      </c>
      <c r="J2" s="22">
        <f>I2/2</f>
        <v>7200</v>
      </c>
      <c r="K2" s="51" t="s">
        <v>39</v>
      </c>
      <c r="L2" s="53" t="s">
        <v>221</v>
      </c>
    </row>
    <row r="3" spans="1:12" ht="15.75" customHeight="1" x14ac:dyDescent="0.25">
      <c r="A3" s="20">
        <v>46149</v>
      </c>
      <c r="B3" s="21" t="s">
        <v>44</v>
      </c>
      <c r="C3" s="21" t="s">
        <v>75</v>
      </c>
      <c r="D3" s="21" t="s">
        <v>28</v>
      </c>
      <c r="E3" s="22">
        <v>15000</v>
      </c>
      <c r="F3" s="22">
        <v>20000</v>
      </c>
      <c r="G3" s="21">
        <v>4.7</v>
      </c>
      <c r="H3" s="22">
        <f>F3*G3</f>
        <v>94000</v>
      </c>
      <c r="I3" s="22">
        <f>H3-(G3*E3)</f>
        <v>23500</v>
      </c>
      <c r="J3" s="22">
        <f>I3/2</f>
        <v>11750</v>
      </c>
      <c r="K3" s="52"/>
      <c r="L3" s="52"/>
    </row>
    <row r="4" spans="1:12" ht="15.75" customHeight="1" x14ac:dyDescent="0.25">
      <c r="A4" s="20">
        <v>46149</v>
      </c>
      <c r="B4" s="21" t="s">
        <v>45</v>
      </c>
      <c r="C4" s="21" t="s">
        <v>75</v>
      </c>
      <c r="D4" s="21" t="s">
        <v>26</v>
      </c>
      <c r="E4" s="22">
        <v>17000</v>
      </c>
      <c r="F4" s="22">
        <v>21000</v>
      </c>
      <c r="G4" s="21">
        <v>1.3</v>
      </c>
      <c r="H4" s="22">
        <f>F4*G4</f>
        <v>27300</v>
      </c>
      <c r="I4" s="22">
        <f>H4-(G4*E4)</f>
        <v>5200</v>
      </c>
      <c r="J4" s="22">
        <f>I4/2</f>
        <v>2600</v>
      </c>
      <c r="K4" s="21" t="s">
        <v>39</v>
      </c>
      <c r="L4" s="23" t="s">
        <v>221</v>
      </c>
    </row>
    <row r="5" spans="1:12" ht="15.75" customHeight="1" x14ac:dyDescent="0.25">
      <c r="A5" s="24" t="s">
        <v>223</v>
      </c>
      <c r="B5" s="25"/>
      <c r="C5" s="25"/>
      <c r="D5" s="25"/>
      <c r="E5" s="25"/>
      <c r="F5" s="26"/>
      <c r="G5" s="24">
        <f>SUM(G2:G4)</f>
        <v>9.6000000000000014</v>
      </c>
      <c r="H5" s="27"/>
      <c r="I5" s="27"/>
      <c r="J5" s="28">
        <f>SUM(J2:J4)</f>
        <v>21550</v>
      </c>
      <c r="K5" s="25"/>
      <c r="L5" s="27"/>
    </row>
    <row r="6" spans="1:12" ht="15.75" customHeight="1" x14ac:dyDescent="0.25">
      <c r="A6" s="20">
        <v>46153</v>
      </c>
      <c r="B6" s="21" t="s">
        <v>46</v>
      </c>
      <c r="C6" s="21" t="s">
        <v>75</v>
      </c>
      <c r="D6" s="21" t="s">
        <v>26</v>
      </c>
      <c r="E6" s="22">
        <v>17000</v>
      </c>
      <c r="F6" s="22">
        <v>20000</v>
      </c>
      <c r="G6" s="21">
        <v>1.1000000000000001</v>
      </c>
      <c r="H6" s="22">
        <f t="shared" ref="H6:H21" si="0">F6*G6</f>
        <v>22000</v>
      </c>
      <c r="I6" s="22">
        <f t="shared" ref="I6:I21" si="1">H6-(G6*E6)</f>
        <v>3300</v>
      </c>
      <c r="J6" s="22">
        <f t="shared" ref="J6:J21" si="2">I6/2</f>
        <v>1650</v>
      </c>
      <c r="K6" s="21" t="s">
        <v>39</v>
      </c>
      <c r="L6" s="23" t="s">
        <v>221</v>
      </c>
    </row>
    <row r="7" spans="1:12" ht="15.75" customHeight="1" x14ac:dyDescent="0.25">
      <c r="A7" s="20">
        <v>46153</v>
      </c>
      <c r="B7" s="21" t="s">
        <v>43</v>
      </c>
      <c r="C7" s="21" t="s">
        <v>75</v>
      </c>
      <c r="D7" s="21" t="s">
        <v>220</v>
      </c>
      <c r="E7" s="22">
        <v>18000</v>
      </c>
      <c r="F7" s="22">
        <v>23000</v>
      </c>
      <c r="G7" s="21">
        <v>0.9</v>
      </c>
      <c r="H7" s="22">
        <f t="shared" si="0"/>
        <v>20700</v>
      </c>
      <c r="I7" s="22">
        <f t="shared" si="1"/>
        <v>4500</v>
      </c>
      <c r="J7" s="22">
        <f t="shared" si="2"/>
        <v>2250</v>
      </c>
      <c r="K7" s="21" t="s">
        <v>39</v>
      </c>
      <c r="L7" s="23" t="s">
        <v>221</v>
      </c>
    </row>
    <row r="8" spans="1:12" ht="15.75" customHeight="1" x14ac:dyDescent="0.25">
      <c r="A8" s="20">
        <v>46153</v>
      </c>
      <c r="B8" s="21" t="s">
        <v>47</v>
      </c>
      <c r="C8" s="21" t="s">
        <v>75</v>
      </c>
      <c r="D8" s="21" t="s">
        <v>26</v>
      </c>
      <c r="E8" s="22">
        <v>17000</v>
      </c>
      <c r="F8" s="22">
        <v>22000</v>
      </c>
      <c r="G8" s="21">
        <v>1.2</v>
      </c>
      <c r="H8" s="22">
        <f t="shared" si="0"/>
        <v>26400</v>
      </c>
      <c r="I8" s="22">
        <f t="shared" si="1"/>
        <v>6000</v>
      </c>
      <c r="J8" s="22">
        <f t="shared" si="2"/>
        <v>3000</v>
      </c>
      <c r="K8" s="51" t="s">
        <v>39</v>
      </c>
      <c r="L8" s="53" t="s">
        <v>221</v>
      </c>
    </row>
    <row r="9" spans="1:12" ht="15.75" customHeight="1" x14ac:dyDescent="0.25">
      <c r="A9" s="20">
        <v>46153</v>
      </c>
      <c r="B9" s="21" t="s">
        <v>47</v>
      </c>
      <c r="C9" s="21" t="s">
        <v>75</v>
      </c>
      <c r="D9" s="21" t="s">
        <v>220</v>
      </c>
      <c r="E9" s="22">
        <v>18000</v>
      </c>
      <c r="F9" s="22">
        <v>22000</v>
      </c>
      <c r="G9" s="21">
        <v>1</v>
      </c>
      <c r="H9" s="22">
        <f t="shared" si="0"/>
        <v>22000</v>
      </c>
      <c r="I9" s="22">
        <f t="shared" si="1"/>
        <v>4000</v>
      </c>
      <c r="J9" s="22">
        <f t="shared" si="2"/>
        <v>2000</v>
      </c>
      <c r="K9" s="52"/>
      <c r="L9" s="52"/>
    </row>
    <row r="10" spans="1:12" ht="15.75" customHeight="1" x14ac:dyDescent="0.25">
      <c r="A10" s="20">
        <v>46154</v>
      </c>
      <c r="B10" s="21" t="s">
        <v>48</v>
      </c>
      <c r="C10" s="21" t="s">
        <v>75</v>
      </c>
      <c r="D10" s="21" t="s">
        <v>14</v>
      </c>
      <c r="E10" s="22">
        <v>25000</v>
      </c>
      <c r="F10" s="22">
        <v>29000</v>
      </c>
      <c r="G10" s="21">
        <v>1.6</v>
      </c>
      <c r="H10" s="22">
        <f t="shared" si="0"/>
        <v>46400</v>
      </c>
      <c r="I10" s="22">
        <f t="shared" si="1"/>
        <v>6400</v>
      </c>
      <c r="J10" s="22">
        <f t="shared" si="2"/>
        <v>3200</v>
      </c>
      <c r="K10" s="21" t="s">
        <v>39</v>
      </c>
      <c r="L10" s="23" t="s">
        <v>221</v>
      </c>
    </row>
    <row r="11" spans="1:12" ht="15.75" customHeight="1" x14ac:dyDescent="0.25">
      <c r="A11" s="20">
        <v>46155</v>
      </c>
      <c r="B11" s="21" t="s">
        <v>49</v>
      </c>
      <c r="C11" s="21" t="s">
        <v>75</v>
      </c>
      <c r="D11" s="21" t="s">
        <v>26</v>
      </c>
      <c r="E11" s="22">
        <v>17000</v>
      </c>
      <c r="F11" s="22">
        <v>23000</v>
      </c>
      <c r="G11" s="21">
        <f>0.9+0.9+0.8</f>
        <v>2.6</v>
      </c>
      <c r="H11" s="22">
        <f t="shared" si="0"/>
        <v>59800</v>
      </c>
      <c r="I11" s="22">
        <f t="shared" si="1"/>
        <v>15600</v>
      </c>
      <c r="J11" s="22">
        <f t="shared" si="2"/>
        <v>7800</v>
      </c>
      <c r="K11" s="51" t="s">
        <v>39</v>
      </c>
      <c r="L11" s="53" t="s">
        <v>221</v>
      </c>
    </row>
    <row r="12" spans="1:12" ht="15.75" customHeight="1" x14ac:dyDescent="0.25">
      <c r="A12" s="20">
        <v>46155</v>
      </c>
      <c r="B12" s="21" t="s">
        <v>49</v>
      </c>
      <c r="C12" s="21" t="s">
        <v>75</v>
      </c>
      <c r="D12" s="21" t="s">
        <v>28</v>
      </c>
      <c r="E12" s="22">
        <v>15000</v>
      </c>
      <c r="F12" s="22">
        <v>20000</v>
      </c>
      <c r="G12" s="21">
        <v>4.4000000000000004</v>
      </c>
      <c r="H12" s="22">
        <f t="shared" si="0"/>
        <v>88000</v>
      </c>
      <c r="I12" s="22">
        <f t="shared" si="1"/>
        <v>22000</v>
      </c>
      <c r="J12" s="22">
        <f t="shared" si="2"/>
        <v>11000</v>
      </c>
      <c r="K12" s="52"/>
      <c r="L12" s="52"/>
    </row>
    <row r="13" spans="1:12" ht="15.75" customHeight="1" x14ac:dyDescent="0.25">
      <c r="A13" s="20">
        <v>46155</v>
      </c>
      <c r="B13" s="21" t="s">
        <v>45</v>
      </c>
      <c r="C13" s="21" t="s">
        <v>75</v>
      </c>
      <c r="D13" s="21" t="s">
        <v>28</v>
      </c>
      <c r="E13" s="22">
        <v>15000</v>
      </c>
      <c r="F13" s="22">
        <v>18000</v>
      </c>
      <c r="G13" s="21">
        <v>4.5</v>
      </c>
      <c r="H13" s="22">
        <f t="shared" si="0"/>
        <v>81000</v>
      </c>
      <c r="I13" s="22">
        <f t="shared" si="1"/>
        <v>13500</v>
      </c>
      <c r="J13" s="22">
        <f t="shared" si="2"/>
        <v>6750</v>
      </c>
      <c r="K13" s="21" t="s">
        <v>39</v>
      </c>
      <c r="L13" s="23" t="s">
        <v>224</v>
      </c>
    </row>
    <row r="14" spans="1:12" ht="15.75" customHeight="1" x14ac:dyDescent="0.25">
      <c r="A14" s="20">
        <v>46156</v>
      </c>
      <c r="B14" s="21" t="s">
        <v>38</v>
      </c>
      <c r="C14" s="21" t="s">
        <v>75</v>
      </c>
      <c r="D14" s="21" t="s">
        <v>8</v>
      </c>
      <c r="E14" s="22">
        <v>18000</v>
      </c>
      <c r="F14" s="22">
        <v>22000</v>
      </c>
      <c r="G14" s="21">
        <v>2.9</v>
      </c>
      <c r="H14" s="22">
        <f t="shared" si="0"/>
        <v>63800</v>
      </c>
      <c r="I14" s="22">
        <f t="shared" si="1"/>
        <v>11600</v>
      </c>
      <c r="J14" s="22">
        <f t="shared" si="2"/>
        <v>5800</v>
      </c>
      <c r="K14" s="29" t="s">
        <v>39</v>
      </c>
      <c r="L14" s="30" t="s">
        <v>221</v>
      </c>
    </row>
    <row r="15" spans="1:12" ht="15.75" customHeight="1" x14ac:dyDescent="0.25">
      <c r="A15" s="20">
        <v>46156</v>
      </c>
      <c r="B15" s="21" t="s">
        <v>50</v>
      </c>
      <c r="C15" s="21" t="s">
        <v>75</v>
      </c>
      <c r="D15" s="21" t="s">
        <v>14</v>
      </c>
      <c r="E15" s="22">
        <v>25000</v>
      </c>
      <c r="F15" s="22">
        <v>29000</v>
      </c>
      <c r="G15" s="21">
        <f>1.4+1.3</f>
        <v>2.7</v>
      </c>
      <c r="H15" s="22">
        <f t="shared" si="0"/>
        <v>78300</v>
      </c>
      <c r="I15" s="22">
        <f t="shared" si="1"/>
        <v>10800</v>
      </c>
      <c r="J15" s="22">
        <f t="shared" si="2"/>
        <v>5400</v>
      </c>
      <c r="K15" s="51" t="s">
        <v>39</v>
      </c>
      <c r="L15" s="53" t="s">
        <v>221</v>
      </c>
    </row>
    <row r="16" spans="1:12" ht="15.75" customHeight="1" x14ac:dyDescent="0.25">
      <c r="A16" s="20">
        <v>46156</v>
      </c>
      <c r="B16" s="21" t="s">
        <v>50</v>
      </c>
      <c r="C16" s="21" t="s">
        <v>75</v>
      </c>
      <c r="D16" s="21" t="s">
        <v>220</v>
      </c>
      <c r="E16" s="22">
        <v>18000</v>
      </c>
      <c r="F16" s="22">
        <v>23000</v>
      </c>
      <c r="G16" s="21">
        <f>0.8+0.8</f>
        <v>1.6</v>
      </c>
      <c r="H16" s="22">
        <f t="shared" si="0"/>
        <v>36800</v>
      </c>
      <c r="I16" s="22">
        <f t="shared" si="1"/>
        <v>8000</v>
      </c>
      <c r="J16" s="22">
        <f t="shared" si="2"/>
        <v>4000</v>
      </c>
      <c r="K16" s="52"/>
      <c r="L16" s="52"/>
    </row>
    <row r="17" spans="1:12" ht="15.75" customHeight="1" x14ac:dyDescent="0.25">
      <c r="A17" s="20">
        <v>46156</v>
      </c>
      <c r="B17" s="21" t="s">
        <v>50</v>
      </c>
      <c r="C17" s="21" t="s">
        <v>75</v>
      </c>
      <c r="D17" s="21" t="s">
        <v>8</v>
      </c>
      <c r="E17" s="22">
        <v>18000</v>
      </c>
      <c r="F17" s="22">
        <v>22000</v>
      </c>
      <c r="G17" s="21">
        <v>3.2</v>
      </c>
      <c r="H17" s="22">
        <f t="shared" si="0"/>
        <v>70400</v>
      </c>
      <c r="I17" s="22">
        <f t="shared" si="1"/>
        <v>12800</v>
      </c>
      <c r="J17" s="22">
        <f t="shared" si="2"/>
        <v>6400</v>
      </c>
      <c r="K17" s="52"/>
      <c r="L17" s="52"/>
    </row>
    <row r="18" spans="1:12" ht="15.75" customHeight="1" x14ac:dyDescent="0.25">
      <c r="A18" s="20">
        <v>46157</v>
      </c>
      <c r="B18" s="21" t="s">
        <v>51</v>
      </c>
      <c r="C18" s="21" t="s">
        <v>75</v>
      </c>
      <c r="D18" s="21" t="s">
        <v>220</v>
      </c>
      <c r="E18" s="22">
        <v>18000</v>
      </c>
      <c r="F18" s="22">
        <v>23000</v>
      </c>
      <c r="G18" s="21">
        <v>0.9</v>
      </c>
      <c r="H18" s="22">
        <f t="shared" si="0"/>
        <v>20700</v>
      </c>
      <c r="I18" s="22">
        <f t="shared" si="1"/>
        <v>4500</v>
      </c>
      <c r="J18" s="22">
        <f t="shared" si="2"/>
        <v>2250</v>
      </c>
      <c r="K18" s="54" t="s">
        <v>39</v>
      </c>
      <c r="L18" s="53" t="s">
        <v>224</v>
      </c>
    </row>
    <row r="19" spans="1:12" ht="15.75" customHeight="1" x14ac:dyDescent="0.25">
      <c r="A19" s="20">
        <v>45792</v>
      </c>
      <c r="B19" s="21" t="s">
        <v>51</v>
      </c>
      <c r="C19" s="21" t="s">
        <v>75</v>
      </c>
      <c r="D19" s="21" t="s">
        <v>28</v>
      </c>
      <c r="E19" s="22">
        <v>15000</v>
      </c>
      <c r="F19" s="22">
        <v>18000</v>
      </c>
      <c r="G19" s="21">
        <v>4.3</v>
      </c>
      <c r="H19" s="22">
        <f t="shared" si="0"/>
        <v>77400</v>
      </c>
      <c r="I19" s="22">
        <f t="shared" si="1"/>
        <v>12900</v>
      </c>
      <c r="J19" s="22">
        <f t="shared" si="2"/>
        <v>6450</v>
      </c>
      <c r="K19" s="52"/>
      <c r="L19" s="52"/>
    </row>
    <row r="20" spans="1:12" ht="15.75" customHeight="1" x14ac:dyDescent="0.25">
      <c r="A20" s="20">
        <v>46157</v>
      </c>
      <c r="B20" s="21" t="s">
        <v>51</v>
      </c>
      <c r="C20" s="21" t="s">
        <v>75</v>
      </c>
      <c r="D20" s="21" t="s">
        <v>26</v>
      </c>
      <c r="E20" s="22">
        <v>17000</v>
      </c>
      <c r="F20" s="22">
        <v>23000</v>
      </c>
      <c r="G20" s="21">
        <f>1.2+0.9</f>
        <v>2.1</v>
      </c>
      <c r="H20" s="22">
        <f t="shared" si="0"/>
        <v>48300</v>
      </c>
      <c r="I20" s="22">
        <f t="shared" si="1"/>
        <v>12600</v>
      </c>
      <c r="J20" s="22">
        <f t="shared" si="2"/>
        <v>6300</v>
      </c>
      <c r="K20" s="52"/>
      <c r="L20" s="52"/>
    </row>
    <row r="21" spans="1:12" ht="15.75" customHeight="1" x14ac:dyDescent="0.25">
      <c r="A21" s="20">
        <v>46158</v>
      </c>
      <c r="B21" s="21" t="s">
        <v>40</v>
      </c>
      <c r="C21" s="21" t="s">
        <v>75</v>
      </c>
      <c r="D21" s="21" t="s">
        <v>26</v>
      </c>
      <c r="E21" s="22">
        <v>17000</v>
      </c>
      <c r="F21" s="22">
        <v>23000</v>
      </c>
      <c r="G21" s="21">
        <f>0.8+0.8</f>
        <v>1.6</v>
      </c>
      <c r="H21" s="22">
        <f t="shared" si="0"/>
        <v>36800</v>
      </c>
      <c r="I21" s="22">
        <f t="shared" si="1"/>
        <v>9600</v>
      </c>
      <c r="J21" s="22">
        <f t="shared" si="2"/>
        <v>4800</v>
      </c>
      <c r="K21" s="29" t="s">
        <v>41</v>
      </c>
      <c r="L21" s="30" t="s">
        <v>225</v>
      </c>
    </row>
    <row r="22" spans="1:12" ht="15.75" customHeight="1" x14ac:dyDescent="0.25">
      <c r="A22" s="24" t="s">
        <v>223</v>
      </c>
      <c r="B22" s="25"/>
      <c r="C22" s="25"/>
      <c r="D22" s="25"/>
      <c r="E22" s="25"/>
      <c r="F22" s="26"/>
      <c r="G22" s="24">
        <f>SUM(G6:G21)</f>
        <v>36.6</v>
      </c>
      <c r="H22" s="27"/>
      <c r="I22" s="27"/>
      <c r="J22" s="28">
        <f>SUM(J6:J21)</f>
        <v>79050</v>
      </c>
      <c r="K22" s="25"/>
      <c r="L22" s="27"/>
    </row>
    <row r="23" spans="1:12" ht="15.75" customHeight="1" x14ac:dyDescent="0.25">
      <c r="A23" s="20">
        <v>46161</v>
      </c>
      <c r="B23" s="21" t="s">
        <v>52</v>
      </c>
      <c r="C23" s="21" t="s">
        <v>75</v>
      </c>
      <c r="D23" s="21" t="s">
        <v>28</v>
      </c>
      <c r="E23" s="22">
        <v>15000</v>
      </c>
      <c r="F23" s="22">
        <v>18000</v>
      </c>
      <c r="G23" s="21">
        <v>5.4</v>
      </c>
      <c r="H23" s="22">
        <f t="shared" ref="H23:H41" si="3">F23*G23</f>
        <v>97200</v>
      </c>
      <c r="I23" s="22">
        <f t="shared" ref="I23:I41" si="4">H23-(G23*E23)</f>
        <v>16200</v>
      </c>
      <c r="J23" s="22">
        <f t="shared" ref="J23:J41" si="5">I23/2</f>
        <v>8100</v>
      </c>
      <c r="K23" s="51" t="s">
        <v>39</v>
      </c>
      <c r="L23" s="53" t="s">
        <v>221</v>
      </c>
    </row>
    <row r="24" spans="1:12" ht="15.75" customHeight="1" x14ac:dyDescent="0.25">
      <c r="A24" s="20">
        <v>46161</v>
      </c>
      <c r="B24" s="21" t="s">
        <v>52</v>
      </c>
      <c r="C24" s="21" t="s">
        <v>75</v>
      </c>
      <c r="D24" s="21" t="s">
        <v>220</v>
      </c>
      <c r="E24" s="22">
        <v>18000</v>
      </c>
      <c r="F24" s="22">
        <v>23000</v>
      </c>
      <c r="G24" s="21">
        <v>0.8</v>
      </c>
      <c r="H24" s="22">
        <f t="shared" si="3"/>
        <v>18400</v>
      </c>
      <c r="I24" s="22">
        <f t="shared" si="4"/>
        <v>4000</v>
      </c>
      <c r="J24" s="22">
        <f t="shared" si="5"/>
        <v>2000</v>
      </c>
      <c r="K24" s="52"/>
      <c r="L24" s="52"/>
    </row>
    <row r="25" spans="1:12" x14ac:dyDescent="0.25">
      <c r="A25" s="20">
        <v>46161</v>
      </c>
      <c r="B25" s="21" t="s">
        <v>49</v>
      </c>
      <c r="C25" s="21" t="s">
        <v>75</v>
      </c>
      <c r="D25" s="21" t="s">
        <v>28</v>
      </c>
      <c r="E25" s="22">
        <v>15000</v>
      </c>
      <c r="F25" s="22">
        <v>18000</v>
      </c>
      <c r="G25" s="21">
        <v>5</v>
      </c>
      <c r="H25" s="22">
        <f t="shared" si="3"/>
        <v>90000</v>
      </c>
      <c r="I25" s="22">
        <f t="shared" si="4"/>
        <v>15000</v>
      </c>
      <c r="J25" s="22">
        <f t="shared" si="5"/>
        <v>7500</v>
      </c>
      <c r="K25" s="51" t="s">
        <v>39</v>
      </c>
      <c r="L25" s="53" t="s">
        <v>221</v>
      </c>
    </row>
    <row r="26" spans="1:12" x14ac:dyDescent="0.25">
      <c r="A26" s="20">
        <v>46161</v>
      </c>
      <c r="B26" s="21" t="s">
        <v>49</v>
      </c>
      <c r="C26" s="21" t="s">
        <v>75</v>
      </c>
      <c r="D26" s="21" t="s">
        <v>220</v>
      </c>
      <c r="E26" s="22">
        <v>18000</v>
      </c>
      <c r="F26" s="22">
        <v>23000</v>
      </c>
      <c r="G26" s="21">
        <v>0.9</v>
      </c>
      <c r="H26" s="22">
        <f t="shared" si="3"/>
        <v>20700</v>
      </c>
      <c r="I26" s="22">
        <f t="shared" si="4"/>
        <v>4500</v>
      </c>
      <c r="J26" s="22">
        <f t="shared" si="5"/>
        <v>2250</v>
      </c>
      <c r="K26" s="52"/>
      <c r="L26" s="52"/>
    </row>
    <row r="27" spans="1:12" x14ac:dyDescent="0.25">
      <c r="A27" s="20">
        <v>46161</v>
      </c>
      <c r="B27" s="21" t="s">
        <v>49</v>
      </c>
      <c r="C27" s="21" t="s">
        <v>75</v>
      </c>
      <c r="D27" s="21" t="s">
        <v>26</v>
      </c>
      <c r="E27" s="22">
        <v>17000</v>
      </c>
      <c r="F27" s="22">
        <v>23000</v>
      </c>
      <c r="G27" s="21">
        <f>1.3+1.2</f>
        <v>2.5</v>
      </c>
      <c r="H27" s="22">
        <f t="shared" si="3"/>
        <v>57500</v>
      </c>
      <c r="I27" s="22">
        <f t="shared" si="4"/>
        <v>15000</v>
      </c>
      <c r="J27" s="22">
        <f t="shared" si="5"/>
        <v>7500</v>
      </c>
      <c r="K27" s="52"/>
      <c r="L27" s="52"/>
    </row>
    <row r="28" spans="1:12" x14ac:dyDescent="0.25">
      <c r="A28" s="20">
        <v>46162</v>
      </c>
      <c r="B28" s="21" t="s">
        <v>226</v>
      </c>
      <c r="C28" s="21" t="s">
        <v>75</v>
      </c>
      <c r="D28" s="21" t="s">
        <v>28</v>
      </c>
      <c r="E28" s="22">
        <v>15000</v>
      </c>
      <c r="F28" s="22">
        <v>18000</v>
      </c>
      <c r="G28" s="21">
        <v>3.6</v>
      </c>
      <c r="H28" s="22">
        <f t="shared" si="3"/>
        <v>64800</v>
      </c>
      <c r="I28" s="22">
        <f t="shared" si="4"/>
        <v>10800</v>
      </c>
      <c r="J28" s="22">
        <f t="shared" si="5"/>
        <v>5400</v>
      </c>
      <c r="K28" s="51" t="s">
        <v>41</v>
      </c>
      <c r="L28" s="53" t="s">
        <v>221</v>
      </c>
    </row>
    <row r="29" spans="1:12" x14ac:dyDescent="0.25">
      <c r="A29" s="20">
        <v>46162</v>
      </c>
      <c r="B29" s="21" t="s">
        <v>226</v>
      </c>
      <c r="C29" s="21" t="s">
        <v>75</v>
      </c>
      <c r="D29" s="21" t="s">
        <v>220</v>
      </c>
      <c r="E29" s="22">
        <v>18000</v>
      </c>
      <c r="F29" s="22">
        <v>23000</v>
      </c>
      <c r="G29" s="21">
        <v>0.8</v>
      </c>
      <c r="H29" s="22">
        <f t="shared" si="3"/>
        <v>18400</v>
      </c>
      <c r="I29" s="22">
        <f t="shared" si="4"/>
        <v>4000</v>
      </c>
      <c r="J29" s="22">
        <f t="shared" si="5"/>
        <v>2000</v>
      </c>
      <c r="K29" s="52"/>
      <c r="L29" s="52"/>
    </row>
    <row r="30" spans="1:12" x14ac:dyDescent="0.25">
      <c r="A30" s="20">
        <v>46162</v>
      </c>
      <c r="B30" s="21" t="s">
        <v>43</v>
      </c>
      <c r="C30" s="21" t="s">
        <v>75</v>
      </c>
      <c r="D30" s="21" t="s">
        <v>220</v>
      </c>
      <c r="E30" s="22">
        <v>18000</v>
      </c>
      <c r="F30" s="22">
        <v>23000</v>
      </c>
      <c r="G30" s="21">
        <v>1</v>
      </c>
      <c r="H30" s="22">
        <f t="shared" si="3"/>
        <v>23000</v>
      </c>
      <c r="I30" s="22">
        <f t="shared" si="4"/>
        <v>5000</v>
      </c>
      <c r="J30" s="22">
        <f t="shared" si="5"/>
        <v>2500</v>
      </c>
      <c r="K30" s="21" t="s">
        <v>39</v>
      </c>
      <c r="L30" s="30" t="s">
        <v>221</v>
      </c>
    </row>
    <row r="31" spans="1:12" x14ac:dyDescent="0.25">
      <c r="A31" s="20">
        <v>46162</v>
      </c>
      <c r="B31" s="21" t="s">
        <v>48</v>
      </c>
      <c r="C31" s="21" t="s">
        <v>75</v>
      </c>
      <c r="D31" s="21" t="s">
        <v>14</v>
      </c>
      <c r="E31" s="22">
        <v>25000</v>
      </c>
      <c r="F31" s="22">
        <v>29000</v>
      </c>
      <c r="G31" s="21">
        <v>1.4</v>
      </c>
      <c r="H31" s="22">
        <f t="shared" si="3"/>
        <v>40600</v>
      </c>
      <c r="I31" s="22">
        <f t="shared" si="4"/>
        <v>5600</v>
      </c>
      <c r="J31" s="22">
        <f t="shared" si="5"/>
        <v>2800</v>
      </c>
      <c r="K31" s="21" t="s">
        <v>39</v>
      </c>
      <c r="L31" s="30" t="s">
        <v>221</v>
      </c>
    </row>
    <row r="32" spans="1:12" x14ac:dyDescent="0.25">
      <c r="A32" s="20">
        <v>46163</v>
      </c>
      <c r="B32" s="21" t="s">
        <v>54</v>
      </c>
      <c r="C32" s="21" t="s">
        <v>75</v>
      </c>
      <c r="D32" s="21" t="s">
        <v>28</v>
      </c>
      <c r="E32" s="22">
        <v>15000</v>
      </c>
      <c r="F32" s="22">
        <v>18000</v>
      </c>
      <c r="G32" s="21">
        <v>4.8</v>
      </c>
      <c r="H32" s="22">
        <f t="shared" si="3"/>
        <v>86400</v>
      </c>
      <c r="I32" s="22">
        <f t="shared" si="4"/>
        <v>14400</v>
      </c>
      <c r="J32" s="22">
        <f t="shared" si="5"/>
        <v>7200</v>
      </c>
      <c r="K32" s="51" t="s">
        <v>39</v>
      </c>
      <c r="L32" s="53" t="s">
        <v>221</v>
      </c>
    </row>
    <row r="33" spans="1:12" x14ac:dyDescent="0.25">
      <c r="A33" s="20">
        <v>46163</v>
      </c>
      <c r="B33" s="21" t="s">
        <v>54</v>
      </c>
      <c r="C33" s="21" t="s">
        <v>75</v>
      </c>
      <c r="D33" s="21" t="s">
        <v>14</v>
      </c>
      <c r="E33" s="22">
        <v>25000</v>
      </c>
      <c r="F33" s="22">
        <v>29000</v>
      </c>
      <c r="G33" s="21">
        <v>1.4</v>
      </c>
      <c r="H33" s="22">
        <f t="shared" si="3"/>
        <v>40600</v>
      </c>
      <c r="I33" s="22">
        <f t="shared" si="4"/>
        <v>5600</v>
      </c>
      <c r="J33" s="22">
        <f t="shared" si="5"/>
        <v>2800</v>
      </c>
      <c r="K33" s="52"/>
      <c r="L33" s="52"/>
    </row>
    <row r="34" spans="1:12" x14ac:dyDescent="0.25">
      <c r="A34" s="20">
        <v>46164</v>
      </c>
      <c r="B34" s="21" t="s">
        <v>42</v>
      </c>
      <c r="C34" s="21" t="s">
        <v>75</v>
      </c>
      <c r="D34" s="21" t="s">
        <v>14</v>
      </c>
      <c r="E34" s="22">
        <v>25000</v>
      </c>
      <c r="F34" s="22">
        <v>29000</v>
      </c>
      <c r="G34" s="21">
        <v>1.6</v>
      </c>
      <c r="H34" s="22">
        <f t="shared" si="3"/>
        <v>46400</v>
      </c>
      <c r="I34" s="22">
        <f t="shared" si="4"/>
        <v>6400</v>
      </c>
      <c r="J34" s="22">
        <f t="shared" si="5"/>
        <v>3200</v>
      </c>
      <c r="K34" s="21" t="s">
        <v>39</v>
      </c>
      <c r="L34" s="30" t="s">
        <v>221</v>
      </c>
    </row>
    <row r="35" spans="1:12" x14ac:dyDescent="0.25">
      <c r="A35" s="20">
        <v>46163</v>
      </c>
      <c r="B35" s="21" t="s">
        <v>55</v>
      </c>
      <c r="C35" s="21" t="s">
        <v>75</v>
      </c>
      <c r="D35" s="21" t="s">
        <v>220</v>
      </c>
      <c r="E35" s="22">
        <v>18000</v>
      </c>
      <c r="F35" s="22">
        <v>23000</v>
      </c>
      <c r="G35" s="21">
        <v>0.8</v>
      </c>
      <c r="H35" s="22">
        <f t="shared" si="3"/>
        <v>18400</v>
      </c>
      <c r="I35" s="22">
        <f t="shared" si="4"/>
        <v>4000</v>
      </c>
      <c r="J35" s="22">
        <f t="shared" si="5"/>
        <v>2000</v>
      </c>
      <c r="K35" s="21" t="s">
        <v>39</v>
      </c>
      <c r="L35" s="30" t="s">
        <v>221</v>
      </c>
    </row>
    <row r="36" spans="1:12" x14ac:dyDescent="0.25">
      <c r="A36" s="20">
        <v>46163</v>
      </c>
      <c r="B36" s="21" t="s">
        <v>56</v>
      </c>
      <c r="C36" s="21" t="s">
        <v>75</v>
      </c>
      <c r="D36" s="21" t="s">
        <v>28</v>
      </c>
      <c r="E36" s="22">
        <v>15000</v>
      </c>
      <c r="F36" s="22">
        <v>18000</v>
      </c>
      <c r="G36" s="21">
        <v>4.5</v>
      </c>
      <c r="H36" s="22">
        <f t="shared" si="3"/>
        <v>81000</v>
      </c>
      <c r="I36" s="22">
        <f t="shared" si="4"/>
        <v>13500</v>
      </c>
      <c r="J36" s="22">
        <f t="shared" si="5"/>
        <v>6750</v>
      </c>
      <c r="K36" s="21" t="s">
        <v>39</v>
      </c>
      <c r="L36" s="30" t="s">
        <v>221</v>
      </c>
    </row>
    <row r="37" spans="1:12" x14ac:dyDescent="0.25">
      <c r="A37" s="20">
        <v>46164</v>
      </c>
      <c r="B37" s="21" t="s">
        <v>40</v>
      </c>
      <c r="C37" s="21" t="s">
        <v>75</v>
      </c>
      <c r="D37" s="21" t="s">
        <v>26</v>
      </c>
      <c r="E37" s="22">
        <v>17000</v>
      </c>
      <c r="F37" s="22">
        <v>23000</v>
      </c>
      <c r="G37" s="21">
        <f>0.9+0.9</f>
        <v>1.8</v>
      </c>
      <c r="H37" s="22">
        <f t="shared" si="3"/>
        <v>41400</v>
      </c>
      <c r="I37" s="22">
        <f t="shared" si="4"/>
        <v>10800</v>
      </c>
      <c r="J37" s="22">
        <f t="shared" si="5"/>
        <v>5400</v>
      </c>
      <c r="K37" s="51" t="s">
        <v>41</v>
      </c>
      <c r="L37" s="53" t="s">
        <v>227</v>
      </c>
    </row>
    <row r="38" spans="1:12" x14ac:dyDescent="0.25">
      <c r="A38" s="20">
        <v>46164</v>
      </c>
      <c r="B38" s="21" t="s">
        <v>40</v>
      </c>
      <c r="C38" s="21" t="s">
        <v>75</v>
      </c>
      <c r="D38" s="21" t="s">
        <v>220</v>
      </c>
      <c r="E38" s="22">
        <v>18000</v>
      </c>
      <c r="F38" s="22">
        <v>23000</v>
      </c>
      <c r="G38" s="21">
        <v>0.8</v>
      </c>
      <c r="H38" s="22">
        <f t="shared" si="3"/>
        <v>18400</v>
      </c>
      <c r="I38" s="22">
        <f t="shared" si="4"/>
        <v>4000</v>
      </c>
      <c r="J38" s="22">
        <f t="shared" si="5"/>
        <v>2000</v>
      </c>
      <c r="K38" s="52"/>
      <c r="L38" s="52"/>
    </row>
    <row r="39" spans="1:12" x14ac:dyDescent="0.25">
      <c r="A39" s="20">
        <v>46164</v>
      </c>
      <c r="B39" s="21" t="s">
        <v>228</v>
      </c>
      <c r="C39" s="21" t="s">
        <v>75</v>
      </c>
      <c r="D39" s="21" t="s">
        <v>8</v>
      </c>
      <c r="E39" s="22">
        <v>18000</v>
      </c>
      <c r="F39" s="22">
        <v>22000</v>
      </c>
      <c r="G39" s="21">
        <v>2.7</v>
      </c>
      <c r="H39" s="22">
        <f t="shared" si="3"/>
        <v>59400.000000000007</v>
      </c>
      <c r="I39" s="22">
        <f t="shared" si="4"/>
        <v>10800.000000000007</v>
      </c>
      <c r="J39" s="22">
        <f t="shared" si="5"/>
        <v>5400.0000000000036</v>
      </c>
      <c r="K39" s="21" t="s">
        <v>39</v>
      </c>
      <c r="L39" s="30" t="s">
        <v>221</v>
      </c>
    </row>
    <row r="40" spans="1:12" x14ac:dyDescent="0.25">
      <c r="A40" s="20">
        <v>46164</v>
      </c>
      <c r="B40" s="21" t="s">
        <v>57</v>
      </c>
      <c r="C40" s="21" t="s">
        <v>229</v>
      </c>
      <c r="D40" s="21" t="s">
        <v>28</v>
      </c>
      <c r="E40" s="22">
        <v>15000</v>
      </c>
      <c r="F40" s="22">
        <v>18000</v>
      </c>
      <c r="G40" s="21">
        <v>3.9</v>
      </c>
      <c r="H40" s="22">
        <f t="shared" si="3"/>
        <v>70200</v>
      </c>
      <c r="I40" s="22">
        <f t="shared" si="4"/>
        <v>11700</v>
      </c>
      <c r="J40" s="22">
        <f t="shared" si="5"/>
        <v>5850</v>
      </c>
      <c r="K40" s="21" t="s">
        <v>39</v>
      </c>
      <c r="L40" s="30" t="s">
        <v>221</v>
      </c>
    </row>
    <row r="41" spans="1:12" x14ac:dyDescent="0.25">
      <c r="A41" s="20">
        <v>46165</v>
      </c>
      <c r="B41" s="21" t="s">
        <v>58</v>
      </c>
      <c r="C41" s="21" t="s">
        <v>75</v>
      </c>
      <c r="D41" s="21" t="s">
        <v>20</v>
      </c>
      <c r="E41" s="22">
        <v>17000</v>
      </c>
      <c r="F41" s="22">
        <v>23000</v>
      </c>
      <c r="G41" s="21">
        <v>1.5</v>
      </c>
      <c r="H41" s="22">
        <f t="shared" si="3"/>
        <v>34500</v>
      </c>
      <c r="I41" s="22">
        <f t="shared" si="4"/>
        <v>9000</v>
      </c>
      <c r="J41" s="22">
        <f t="shared" si="5"/>
        <v>4500</v>
      </c>
      <c r="K41" s="21" t="s">
        <v>41</v>
      </c>
      <c r="L41" s="30" t="s">
        <v>221</v>
      </c>
    </row>
    <row r="42" spans="1:12" x14ac:dyDescent="0.25">
      <c r="A42" s="24" t="s">
        <v>223</v>
      </c>
      <c r="B42" s="25"/>
      <c r="C42" s="25"/>
      <c r="D42" s="25"/>
      <c r="E42" s="25"/>
      <c r="F42" s="26"/>
      <c r="G42" s="24">
        <f>SUM(G23:G41)</f>
        <v>45.199999999999996</v>
      </c>
      <c r="H42" s="27"/>
      <c r="I42" s="27"/>
      <c r="J42" s="28">
        <f>SUM(J23:J41)</f>
        <v>85150</v>
      </c>
      <c r="K42" s="25"/>
      <c r="L42" s="27"/>
    </row>
    <row r="43" spans="1:12" x14ac:dyDescent="0.25">
      <c r="A43" s="20">
        <v>46168</v>
      </c>
      <c r="B43" s="21" t="s">
        <v>139</v>
      </c>
      <c r="C43" s="21" t="s">
        <v>75</v>
      </c>
      <c r="D43" s="21" t="s">
        <v>14</v>
      </c>
      <c r="E43" s="22">
        <v>25000</v>
      </c>
      <c r="F43" s="22">
        <v>29000</v>
      </c>
      <c r="G43" s="31">
        <v>1.8</v>
      </c>
      <c r="H43" s="22">
        <f t="shared" ref="H43:H59" si="6">F43*G43</f>
        <v>52200</v>
      </c>
      <c r="I43" s="22">
        <f t="shared" ref="I43:I59" si="7">H43-(G43*E43)</f>
        <v>7200</v>
      </c>
      <c r="J43" s="22">
        <f t="shared" ref="J43:J59" si="8">I43/2</f>
        <v>3600</v>
      </c>
      <c r="K43" s="51" t="s">
        <v>41</v>
      </c>
      <c r="L43" s="53" t="s">
        <v>230</v>
      </c>
    </row>
    <row r="44" spans="1:12" x14ac:dyDescent="0.25">
      <c r="A44" s="20">
        <v>46168</v>
      </c>
      <c r="B44" s="21" t="s">
        <v>139</v>
      </c>
      <c r="C44" s="21" t="s">
        <v>75</v>
      </c>
      <c r="D44" s="21" t="s">
        <v>220</v>
      </c>
      <c r="E44" s="22">
        <v>18000</v>
      </c>
      <c r="F44" s="22">
        <v>23000</v>
      </c>
      <c r="G44" s="31">
        <v>0.9</v>
      </c>
      <c r="H44" s="22">
        <f t="shared" si="6"/>
        <v>20700</v>
      </c>
      <c r="I44" s="22">
        <f t="shared" si="7"/>
        <v>4500</v>
      </c>
      <c r="J44" s="22">
        <f t="shared" si="8"/>
        <v>2250</v>
      </c>
      <c r="K44" s="52"/>
      <c r="L44" s="52"/>
    </row>
    <row r="45" spans="1:12" x14ac:dyDescent="0.25">
      <c r="A45" s="20">
        <v>46169</v>
      </c>
      <c r="B45" s="21" t="s">
        <v>52</v>
      </c>
      <c r="C45" s="21" t="s">
        <v>75</v>
      </c>
      <c r="D45" s="21" t="s">
        <v>8</v>
      </c>
      <c r="E45" s="22">
        <v>18000</v>
      </c>
      <c r="F45" s="22">
        <v>22000</v>
      </c>
      <c r="G45" s="31">
        <v>3.2</v>
      </c>
      <c r="H45" s="22">
        <f t="shared" si="6"/>
        <v>70400</v>
      </c>
      <c r="I45" s="22">
        <f t="shared" si="7"/>
        <v>12800</v>
      </c>
      <c r="J45" s="22">
        <f t="shared" si="8"/>
        <v>6400</v>
      </c>
      <c r="K45" s="51" t="s">
        <v>39</v>
      </c>
      <c r="L45" s="53" t="s">
        <v>221</v>
      </c>
    </row>
    <row r="46" spans="1:12" x14ac:dyDescent="0.25">
      <c r="A46" s="20">
        <v>46169</v>
      </c>
      <c r="B46" s="21" t="s">
        <v>52</v>
      </c>
      <c r="C46" s="21" t="s">
        <v>75</v>
      </c>
      <c r="D46" s="21" t="s">
        <v>28</v>
      </c>
      <c r="E46" s="22">
        <v>15000</v>
      </c>
      <c r="F46" s="22">
        <v>18000</v>
      </c>
      <c r="G46" s="31">
        <v>4</v>
      </c>
      <c r="H46" s="22">
        <f t="shared" si="6"/>
        <v>72000</v>
      </c>
      <c r="I46" s="22">
        <f t="shared" si="7"/>
        <v>12000</v>
      </c>
      <c r="J46" s="22">
        <f t="shared" si="8"/>
        <v>6000</v>
      </c>
      <c r="K46" s="52"/>
      <c r="L46" s="52"/>
    </row>
    <row r="47" spans="1:12" x14ac:dyDescent="0.25">
      <c r="A47" s="20">
        <v>46169</v>
      </c>
      <c r="B47" s="21" t="s">
        <v>59</v>
      </c>
      <c r="C47" s="21" t="s">
        <v>75</v>
      </c>
      <c r="D47" s="21" t="s">
        <v>231</v>
      </c>
      <c r="E47" s="22">
        <v>16500</v>
      </c>
      <c r="F47" s="22">
        <v>19500</v>
      </c>
      <c r="G47" s="31">
        <v>3.5</v>
      </c>
      <c r="H47" s="22">
        <f t="shared" si="6"/>
        <v>68250</v>
      </c>
      <c r="I47" s="22">
        <f t="shared" si="7"/>
        <v>10500</v>
      </c>
      <c r="J47" s="22">
        <f t="shared" si="8"/>
        <v>5250</v>
      </c>
      <c r="K47" s="21" t="s">
        <v>39</v>
      </c>
      <c r="L47" s="30" t="s">
        <v>221</v>
      </c>
    </row>
    <row r="48" spans="1:12" x14ac:dyDescent="0.25">
      <c r="A48" s="20">
        <v>46169</v>
      </c>
      <c r="B48" s="21" t="s">
        <v>60</v>
      </c>
      <c r="C48" s="21" t="s">
        <v>75</v>
      </c>
      <c r="D48" s="21" t="s">
        <v>231</v>
      </c>
      <c r="E48" s="22">
        <v>16500</v>
      </c>
      <c r="F48" s="22">
        <v>19500</v>
      </c>
      <c r="G48" s="31">
        <v>3.8</v>
      </c>
      <c r="H48" s="22">
        <f t="shared" si="6"/>
        <v>74100</v>
      </c>
      <c r="I48" s="22">
        <f t="shared" si="7"/>
        <v>11400</v>
      </c>
      <c r="J48" s="22">
        <f t="shared" si="8"/>
        <v>5700</v>
      </c>
      <c r="K48" s="21" t="s">
        <v>41</v>
      </c>
      <c r="L48" s="30" t="s">
        <v>221</v>
      </c>
    </row>
    <row r="49" spans="1:27" x14ac:dyDescent="0.25">
      <c r="A49" s="20">
        <v>46169</v>
      </c>
      <c r="B49" s="21" t="s">
        <v>48</v>
      </c>
      <c r="C49" s="21" t="s">
        <v>75</v>
      </c>
      <c r="D49" s="21" t="s">
        <v>14</v>
      </c>
      <c r="E49" s="22">
        <v>25000</v>
      </c>
      <c r="F49" s="22">
        <v>29000</v>
      </c>
      <c r="G49" s="31">
        <v>1.6</v>
      </c>
      <c r="H49" s="22">
        <f t="shared" si="6"/>
        <v>46400</v>
      </c>
      <c r="I49" s="22">
        <f t="shared" si="7"/>
        <v>6400</v>
      </c>
      <c r="J49" s="22">
        <f t="shared" si="8"/>
        <v>3200</v>
      </c>
      <c r="K49" s="51" t="s">
        <v>39</v>
      </c>
      <c r="L49" s="53" t="s">
        <v>221</v>
      </c>
    </row>
    <row r="50" spans="1:27" x14ac:dyDescent="0.25">
      <c r="A50" s="20">
        <v>46169</v>
      </c>
      <c r="B50" s="21" t="s">
        <v>48</v>
      </c>
      <c r="C50" s="21" t="s">
        <v>75</v>
      </c>
      <c r="D50" s="21" t="s">
        <v>28</v>
      </c>
      <c r="E50" s="22">
        <v>15000</v>
      </c>
      <c r="F50" s="22">
        <v>18000</v>
      </c>
      <c r="G50" s="31">
        <v>4.2</v>
      </c>
      <c r="H50" s="22">
        <f t="shared" si="6"/>
        <v>75600</v>
      </c>
      <c r="I50" s="22">
        <f t="shared" si="7"/>
        <v>12600</v>
      </c>
      <c r="J50" s="22">
        <f t="shared" si="8"/>
        <v>6300</v>
      </c>
      <c r="K50" s="52"/>
      <c r="L50" s="52"/>
    </row>
    <row r="51" spans="1:27" x14ac:dyDescent="0.25">
      <c r="A51" s="20">
        <v>46170</v>
      </c>
      <c r="B51" s="21" t="s">
        <v>46</v>
      </c>
      <c r="C51" s="21" t="s">
        <v>75</v>
      </c>
      <c r="D51" s="21" t="s">
        <v>20</v>
      </c>
      <c r="E51" s="22">
        <v>17000</v>
      </c>
      <c r="F51" s="22">
        <v>19500</v>
      </c>
      <c r="G51" s="31">
        <v>1.5</v>
      </c>
      <c r="H51" s="22">
        <f t="shared" si="6"/>
        <v>29250</v>
      </c>
      <c r="I51" s="22">
        <f t="shared" si="7"/>
        <v>3750</v>
      </c>
      <c r="J51" s="22">
        <f t="shared" si="8"/>
        <v>1875</v>
      </c>
      <c r="K51" s="51" t="s">
        <v>39</v>
      </c>
      <c r="L51" s="53" t="s">
        <v>221</v>
      </c>
    </row>
    <row r="52" spans="1:27" x14ac:dyDescent="0.25">
      <c r="A52" s="20">
        <v>46170</v>
      </c>
      <c r="B52" s="21" t="s">
        <v>46</v>
      </c>
      <c r="C52" s="21" t="s">
        <v>75</v>
      </c>
      <c r="D52" s="21" t="s">
        <v>220</v>
      </c>
      <c r="E52" s="22">
        <v>18000</v>
      </c>
      <c r="F52" s="22">
        <v>23000</v>
      </c>
      <c r="G52" s="31">
        <v>0.9</v>
      </c>
      <c r="H52" s="22">
        <f t="shared" si="6"/>
        <v>20700</v>
      </c>
      <c r="I52" s="22">
        <f t="shared" si="7"/>
        <v>4500</v>
      </c>
      <c r="J52" s="22">
        <f t="shared" si="8"/>
        <v>2250</v>
      </c>
      <c r="K52" s="52"/>
      <c r="L52" s="52"/>
    </row>
    <row r="53" spans="1:27" x14ac:dyDescent="0.25">
      <c r="A53" s="20">
        <v>46170</v>
      </c>
      <c r="B53" s="21" t="s">
        <v>61</v>
      </c>
      <c r="C53" s="21" t="s">
        <v>75</v>
      </c>
      <c r="D53" s="21" t="s">
        <v>26</v>
      </c>
      <c r="E53" s="22">
        <v>17000</v>
      </c>
      <c r="F53" s="22">
        <v>21000</v>
      </c>
      <c r="G53" s="31">
        <f>1.1+1.2</f>
        <v>2.2999999999999998</v>
      </c>
      <c r="H53" s="22">
        <f t="shared" si="6"/>
        <v>48299.999999999993</v>
      </c>
      <c r="I53" s="22">
        <f t="shared" si="7"/>
        <v>9199.9999999999927</v>
      </c>
      <c r="J53" s="22">
        <f t="shared" si="8"/>
        <v>4599.9999999999964</v>
      </c>
      <c r="K53" s="51" t="s">
        <v>39</v>
      </c>
      <c r="L53" s="53" t="s">
        <v>221</v>
      </c>
    </row>
    <row r="54" spans="1:27" x14ac:dyDescent="0.25">
      <c r="A54" s="32">
        <v>46170</v>
      </c>
      <c r="B54" s="21" t="s">
        <v>61</v>
      </c>
      <c r="C54" s="21" t="s">
        <v>75</v>
      </c>
      <c r="D54" s="21" t="s">
        <v>28</v>
      </c>
      <c r="E54" s="33">
        <v>15000</v>
      </c>
      <c r="F54" s="33">
        <v>18000</v>
      </c>
      <c r="G54" s="34">
        <v>4.4000000000000004</v>
      </c>
      <c r="H54" s="22">
        <f t="shared" si="6"/>
        <v>79200</v>
      </c>
      <c r="I54" s="22">
        <f t="shared" si="7"/>
        <v>13200</v>
      </c>
      <c r="J54" s="22">
        <f t="shared" si="8"/>
        <v>6600</v>
      </c>
      <c r="K54" s="52"/>
      <c r="L54" s="52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x14ac:dyDescent="0.25">
      <c r="A55" s="20">
        <v>46170</v>
      </c>
      <c r="B55" s="21" t="s">
        <v>61</v>
      </c>
      <c r="C55" s="21" t="s">
        <v>75</v>
      </c>
      <c r="D55" s="21" t="s">
        <v>14</v>
      </c>
      <c r="E55" s="22">
        <v>25000</v>
      </c>
      <c r="F55" s="22">
        <v>29000</v>
      </c>
      <c r="G55" s="31">
        <f>1.6</f>
        <v>1.6</v>
      </c>
      <c r="H55" s="22">
        <f t="shared" si="6"/>
        <v>46400</v>
      </c>
      <c r="I55" s="22">
        <f t="shared" si="7"/>
        <v>6400</v>
      </c>
      <c r="J55" s="22">
        <f t="shared" si="8"/>
        <v>3200</v>
      </c>
      <c r="K55" s="52"/>
      <c r="L55" s="52"/>
    </row>
    <row r="56" spans="1:27" x14ac:dyDescent="0.25">
      <c r="A56" s="20">
        <v>46170</v>
      </c>
      <c r="B56" s="21" t="s">
        <v>232</v>
      </c>
      <c r="C56" s="21" t="s">
        <v>75</v>
      </c>
      <c r="D56" s="21" t="s">
        <v>28</v>
      </c>
      <c r="E56" s="22">
        <v>15000</v>
      </c>
      <c r="F56" s="22">
        <v>18000</v>
      </c>
      <c r="G56" s="31">
        <v>5.0999999999999996</v>
      </c>
      <c r="H56" s="22">
        <f t="shared" si="6"/>
        <v>91800</v>
      </c>
      <c r="I56" s="22">
        <f t="shared" si="7"/>
        <v>15300</v>
      </c>
      <c r="J56" s="22">
        <f t="shared" si="8"/>
        <v>7650</v>
      </c>
      <c r="K56" s="21" t="s">
        <v>41</v>
      </c>
      <c r="L56" s="30" t="s">
        <v>221</v>
      </c>
    </row>
    <row r="57" spans="1:27" x14ac:dyDescent="0.25">
      <c r="A57" s="20">
        <v>46170</v>
      </c>
      <c r="B57" s="21" t="s">
        <v>63</v>
      </c>
      <c r="C57" s="21" t="s">
        <v>75</v>
      </c>
      <c r="D57" s="21" t="s">
        <v>231</v>
      </c>
      <c r="E57" s="22">
        <v>16500</v>
      </c>
      <c r="F57" s="22">
        <v>19500</v>
      </c>
      <c r="G57" s="21">
        <v>3.6</v>
      </c>
      <c r="H57" s="22">
        <f t="shared" si="6"/>
        <v>70200</v>
      </c>
      <c r="I57" s="22">
        <f t="shared" si="7"/>
        <v>10800</v>
      </c>
      <c r="J57" s="22">
        <f t="shared" si="8"/>
        <v>5400</v>
      </c>
      <c r="K57" s="21" t="s">
        <v>39</v>
      </c>
      <c r="L57" s="30" t="s">
        <v>221</v>
      </c>
    </row>
    <row r="58" spans="1:27" x14ac:dyDescent="0.25">
      <c r="A58" s="20">
        <v>46170</v>
      </c>
      <c r="B58" s="21" t="s">
        <v>233</v>
      </c>
      <c r="C58" s="21" t="s">
        <v>75</v>
      </c>
      <c r="D58" s="21" t="s">
        <v>26</v>
      </c>
      <c r="E58" s="22">
        <v>17000</v>
      </c>
      <c r="F58" s="22">
        <v>21000</v>
      </c>
      <c r="G58" s="21">
        <v>1</v>
      </c>
      <c r="H58" s="22">
        <f t="shared" si="6"/>
        <v>21000</v>
      </c>
      <c r="I58" s="22">
        <f t="shared" si="7"/>
        <v>4000</v>
      </c>
      <c r="J58" s="22">
        <f t="shared" si="8"/>
        <v>2000</v>
      </c>
      <c r="K58" s="51" t="s">
        <v>39</v>
      </c>
      <c r="L58" s="53" t="s">
        <v>221</v>
      </c>
    </row>
    <row r="59" spans="1:27" x14ac:dyDescent="0.25">
      <c r="A59" s="20">
        <v>46170</v>
      </c>
      <c r="B59" s="21" t="s">
        <v>233</v>
      </c>
      <c r="C59" s="21" t="s">
        <v>75</v>
      </c>
      <c r="D59" s="21" t="s">
        <v>14</v>
      </c>
      <c r="E59" s="22">
        <v>25000</v>
      </c>
      <c r="F59" s="22">
        <v>29000</v>
      </c>
      <c r="G59" s="21">
        <v>1.6</v>
      </c>
      <c r="H59" s="22">
        <f t="shared" si="6"/>
        <v>46400</v>
      </c>
      <c r="I59" s="22">
        <f t="shared" si="7"/>
        <v>6400</v>
      </c>
      <c r="J59" s="22">
        <f t="shared" si="8"/>
        <v>3200</v>
      </c>
      <c r="K59" s="52"/>
      <c r="L59" s="52"/>
    </row>
    <row r="60" spans="1:27" x14ac:dyDescent="0.25">
      <c r="A60" s="36" t="s">
        <v>223</v>
      </c>
      <c r="B60" s="37"/>
      <c r="C60" s="37"/>
      <c r="D60" s="37"/>
      <c r="E60" s="38"/>
      <c r="F60" s="38"/>
      <c r="G60" s="39">
        <f>SUM(G43:G59)</f>
        <v>45.000000000000007</v>
      </c>
      <c r="H60" s="37"/>
      <c r="I60" s="37"/>
      <c r="J60" s="40">
        <f>SUM(J43:J59)</f>
        <v>75475</v>
      </c>
      <c r="K60" s="37"/>
      <c r="L60" s="37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2.75" customHeight="1" x14ac:dyDescent="0.2">
      <c r="G61" s="14">
        <f>G60+G42+G22+G5</f>
        <v>136.4</v>
      </c>
      <c r="J61" s="17">
        <f>J60+J42+J22+J5</f>
        <v>261225</v>
      </c>
    </row>
    <row r="62" spans="1:27" ht="12.75" customHeight="1" x14ac:dyDescent="0.2">
      <c r="I62" s="14" t="s">
        <v>234</v>
      </c>
      <c r="J62" s="17">
        <f>J61/G61</f>
        <v>1915.1392961876832</v>
      </c>
    </row>
  </sheetData>
  <autoFilter ref="A1:L62" xr:uid="{00000000-0009-0000-0000-000005000000}"/>
  <mergeCells count="32">
    <mergeCell ref="L2:L3"/>
    <mergeCell ref="K28:K29"/>
    <mergeCell ref="L18:L20"/>
    <mergeCell ref="L15:L17"/>
    <mergeCell ref="K37:K38"/>
    <mergeCell ref="K2:K3"/>
    <mergeCell ref="K18:K20"/>
    <mergeCell ref="K58:K59"/>
    <mergeCell ref="K43:K44"/>
    <mergeCell ref="K23:K24"/>
    <mergeCell ref="K8:K9"/>
    <mergeCell ref="K49:K50"/>
    <mergeCell ref="L58:L59"/>
    <mergeCell ref="K11:K12"/>
    <mergeCell ref="K53:K55"/>
    <mergeCell ref="L8:L9"/>
    <mergeCell ref="K25:K27"/>
    <mergeCell ref="L23:L24"/>
    <mergeCell ref="K15:K17"/>
    <mergeCell ref="L45:L46"/>
    <mergeCell ref="L51:L52"/>
    <mergeCell ref="L53:L55"/>
    <mergeCell ref="L49:L50"/>
    <mergeCell ref="L11:L12"/>
    <mergeCell ref="K32:K33"/>
    <mergeCell ref="K51:K52"/>
    <mergeCell ref="L32:L33"/>
    <mergeCell ref="L25:L27"/>
    <mergeCell ref="L28:L29"/>
    <mergeCell ref="K45:K46"/>
    <mergeCell ref="L37:L38"/>
    <mergeCell ref="L43:L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7"/>
  <sheetViews>
    <sheetView workbookViewId="0"/>
  </sheetViews>
  <sheetFormatPr baseColWidth="10" defaultColWidth="12.5703125" defaultRowHeight="15.75" customHeight="1" x14ac:dyDescent="0.2"/>
  <cols>
    <col min="1" max="1" width="13.5703125" customWidth="1"/>
    <col min="2" max="2" width="14.140625" customWidth="1"/>
    <col min="3" max="3" width="11.42578125" customWidth="1"/>
    <col min="4" max="4" width="15.7109375" customWidth="1"/>
    <col min="5" max="5" width="10.42578125" customWidth="1"/>
    <col min="6" max="6" width="17.42578125" customWidth="1"/>
    <col min="7" max="7" width="10.42578125" customWidth="1"/>
    <col min="8" max="8" width="14" customWidth="1"/>
    <col min="9" max="9" width="11.28515625" customWidth="1"/>
    <col min="10" max="10" width="13.42578125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211</v>
      </c>
      <c r="C1" s="19" t="s">
        <v>0</v>
      </c>
      <c r="D1" s="19" t="s">
        <v>212</v>
      </c>
      <c r="E1" s="19" t="s">
        <v>213</v>
      </c>
      <c r="F1" s="19" t="s">
        <v>214</v>
      </c>
      <c r="G1" s="19" t="s">
        <v>215</v>
      </c>
      <c r="H1" s="19" t="s">
        <v>216</v>
      </c>
      <c r="I1" s="19" t="s">
        <v>217</v>
      </c>
      <c r="J1" s="19" t="s">
        <v>33</v>
      </c>
      <c r="K1" s="19" t="s">
        <v>218</v>
      </c>
      <c r="L1" s="19" t="s">
        <v>219</v>
      </c>
    </row>
    <row r="2" spans="1:12" ht="15.75" customHeight="1" x14ac:dyDescent="0.25">
      <c r="A2" s="20">
        <v>46149</v>
      </c>
      <c r="B2" s="21" t="s">
        <v>75</v>
      </c>
      <c r="C2" s="21" t="s">
        <v>14</v>
      </c>
      <c r="D2" s="22">
        <v>25000</v>
      </c>
      <c r="E2" s="22">
        <v>29000</v>
      </c>
      <c r="F2" s="21">
        <f>1.8+1.8</f>
        <v>3.6</v>
      </c>
      <c r="G2" s="22">
        <f>E2*F2</f>
        <v>104400</v>
      </c>
      <c r="H2" s="22">
        <f>G2-(F2*D2)</f>
        <v>14400</v>
      </c>
      <c r="I2" s="22">
        <f>H2/2</f>
        <v>7200</v>
      </c>
      <c r="J2" s="21" t="s">
        <v>44</v>
      </c>
      <c r="K2" s="51" t="s">
        <v>39</v>
      </c>
      <c r="L2" s="53" t="s">
        <v>221</v>
      </c>
    </row>
    <row r="3" spans="1:12" ht="15.75" customHeight="1" x14ac:dyDescent="0.25">
      <c r="A3" s="20">
        <v>46149</v>
      </c>
      <c r="B3" s="21" t="s">
        <v>75</v>
      </c>
      <c r="C3" s="21" t="s">
        <v>28</v>
      </c>
      <c r="D3" s="22">
        <v>15000</v>
      </c>
      <c r="E3" s="22">
        <v>20000</v>
      </c>
      <c r="F3" s="21">
        <v>4.7</v>
      </c>
      <c r="G3" s="22">
        <f>E3*F3</f>
        <v>94000</v>
      </c>
      <c r="H3" s="22">
        <f>G3-(F3*D3)</f>
        <v>23500</v>
      </c>
      <c r="I3" s="22">
        <f>H3/2</f>
        <v>11750</v>
      </c>
      <c r="J3" s="21" t="s">
        <v>44</v>
      </c>
      <c r="K3" s="52"/>
      <c r="L3" s="52"/>
    </row>
    <row r="4" spans="1:12" ht="15.75" customHeight="1" x14ac:dyDescent="0.25">
      <c r="A4" s="20">
        <v>46149</v>
      </c>
      <c r="B4" s="21" t="s">
        <v>75</v>
      </c>
      <c r="C4" s="21" t="s">
        <v>26</v>
      </c>
      <c r="D4" s="22">
        <v>17000</v>
      </c>
      <c r="E4" s="22">
        <v>21000</v>
      </c>
      <c r="F4" s="21">
        <v>1.3</v>
      </c>
      <c r="G4" s="22">
        <f>E4*F4</f>
        <v>27300</v>
      </c>
      <c r="H4" s="22">
        <f>G4-(F4*D4)</f>
        <v>5200</v>
      </c>
      <c r="I4" s="22">
        <f>H4/2</f>
        <v>2600</v>
      </c>
      <c r="J4" s="21" t="s">
        <v>45</v>
      </c>
      <c r="K4" s="21" t="s">
        <v>39</v>
      </c>
      <c r="L4" s="23" t="s">
        <v>221</v>
      </c>
    </row>
    <row r="5" spans="1:12" ht="15.75" customHeight="1" x14ac:dyDescent="0.25">
      <c r="A5" s="24" t="s">
        <v>223</v>
      </c>
      <c r="B5" s="25"/>
      <c r="C5" s="25"/>
      <c r="D5" s="25"/>
      <c r="E5" s="26"/>
      <c r="F5" s="24">
        <f>SUM(F2:F4)</f>
        <v>9.6000000000000014</v>
      </c>
      <c r="G5" s="27"/>
      <c r="H5" s="27"/>
      <c r="I5" s="28">
        <f>SUM(I2:I4)</f>
        <v>21550</v>
      </c>
      <c r="J5" s="25"/>
      <c r="K5" s="25"/>
      <c r="L5" s="27"/>
    </row>
    <row r="6" spans="1:12" ht="15.75" customHeight="1" x14ac:dyDescent="0.25">
      <c r="A6" s="20">
        <v>46153</v>
      </c>
      <c r="B6" s="21" t="s">
        <v>75</v>
      </c>
      <c r="C6" s="21" t="s">
        <v>26</v>
      </c>
      <c r="D6" s="22">
        <v>17000</v>
      </c>
      <c r="E6" s="22">
        <v>20000</v>
      </c>
      <c r="F6" s="21">
        <v>1.1000000000000001</v>
      </c>
      <c r="G6" s="22">
        <f t="shared" ref="G6:G21" si="0">E6*F6</f>
        <v>22000</v>
      </c>
      <c r="H6" s="22">
        <f t="shared" ref="H6:H21" si="1">G6-(F6*D6)</f>
        <v>3300</v>
      </c>
      <c r="I6" s="22">
        <f t="shared" ref="I6:I21" si="2">H6/2</f>
        <v>1650</v>
      </c>
      <c r="J6" s="21" t="s">
        <v>46</v>
      </c>
      <c r="K6" s="21" t="s">
        <v>39</v>
      </c>
      <c r="L6" s="23" t="s">
        <v>221</v>
      </c>
    </row>
    <row r="7" spans="1:12" ht="15.75" customHeight="1" x14ac:dyDescent="0.25">
      <c r="A7" s="20">
        <v>46153</v>
      </c>
      <c r="B7" s="21" t="s">
        <v>75</v>
      </c>
      <c r="C7" s="21" t="s">
        <v>220</v>
      </c>
      <c r="D7" s="22">
        <v>18000</v>
      </c>
      <c r="E7" s="22">
        <v>23000</v>
      </c>
      <c r="F7" s="21">
        <v>0.9</v>
      </c>
      <c r="G7" s="22">
        <f t="shared" si="0"/>
        <v>20700</v>
      </c>
      <c r="H7" s="22">
        <f t="shared" si="1"/>
        <v>4500</v>
      </c>
      <c r="I7" s="22">
        <f t="shared" si="2"/>
        <v>2250</v>
      </c>
      <c r="J7" s="21" t="s">
        <v>43</v>
      </c>
      <c r="K7" s="21" t="s">
        <v>39</v>
      </c>
      <c r="L7" s="23" t="s">
        <v>221</v>
      </c>
    </row>
    <row r="8" spans="1:12" ht="15.75" customHeight="1" x14ac:dyDescent="0.25">
      <c r="A8" s="20">
        <v>46153</v>
      </c>
      <c r="B8" s="21" t="s">
        <v>75</v>
      </c>
      <c r="C8" s="21" t="s">
        <v>26</v>
      </c>
      <c r="D8" s="22">
        <v>17000</v>
      </c>
      <c r="E8" s="22">
        <v>22000</v>
      </c>
      <c r="F8" s="21">
        <v>1.2</v>
      </c>
      <c r="G8" s="22">
        <f t="shared" si="0"/>
        <v>26400</v>
      </c>
      <c r="H8" s="22">
        <f t="shared" si="1"/>
        <v>6000</v>
      </c>
      <c r="I8" s="22">
        <f t="shared" si="2"/>
        <v>3000</v>
      </c>
      <c r="J8" s="21" t="s">
        <v>47</v>
      </c>
      <c r="K8" s="51" t="s">
        <v>39</v>
      </c>
      <c r="L8" s="53" t="s">
        <v>221</v>
      </c>
    </row>
    <row r="9" spans="1:12" ht="15.75" customHeight="1" x14ac:dyDescent="0.25">
      <c r="A9" s="20">
        <v>46153</v>
      </c>
      <c r="B9" s="21" t="s">
        <v>75</v>
      </c>
      <c r="C9" s="21" t="s">
        <v>220</v>
      </c>
      <c r="D9" s="22">
        <v>18000</v>
      </c>
      <c r="E9" s="22">
        <v>22000</v>
      </c>
      <c r="F9" s="21">
        <v>1</v>
      </c>
      <c r="G9" s="22">
        <f t="shared" si="0"/>
        <v>22000</v>
      </c>
      <c r="H9" s="22">
        <f t="shared" si="1"/>
        <v>4000</v>
      </c>
      <c r="I9" s="22">
        <f t="shared" si="2"/>
        <v>2000</v>
      </c>
      <c r="J9" s="21" t="s">
        <v>47</v>
      </c>
      <c r="K9" s="52"/>
      <c r="L9" s="52"/>
    </row>
    <row r="10" spans="1:12" ht="15.75" customHeight="1" x14ac:dyDescent="0.25">
      <c r="A10" s="20">
        <v>46154</v>
      </c>
      <c r="B10" s="21" t="s">
        <v>75</v>
      </c>
      <c r="C10" s="21" t="s">
        <v>14</v>
      </c>
      <c r="D10" s="22">
        <v>25000</v>
      </c>
      <c r="E10" s="22">
        <v>29000</v>
      </c>
      <c r="F10" s="21">
        <v>1.6</v>
      </c>
      <c r="G10" s="22">
        <f t="shared" si="0"/>
        <v>46400</v>
      </c>
      <c r="H10" s="22">
        <f t="shared" si="1"/>
        <v>6400</v>
      </c>
      <c r="I10" s="22">
        <f t="shared" si="2"/>
        <v>3200</v>
      </c>
      <c r="J10" s="21" t="s">
        <v>48</v>
      </c>
      <c r="K10" s="21" t="s">
        <v>39</v>
      </c>
      <c r="L10" s="23" t="s">
        <v>221</v>
      </c>
    </row>
    <row r="11" spans="1:12" ht="15.75" customHeight="1" x14ac:dyDescent="0.25">
      <c r="A11" s="20">
        <v>46155</v>
      </c>
      <c r="B11" s="21" t="s">
        <v>75</v>
      </c>
      <c r="C11" s="21" t="s">
        <v>26</v>
      </c>
      <c r="D11" s="22">
        <v>17000</v>
      </c>
      <c r="E11" s="22">
        <v>23000</v>
      </c>
      <c r="F11" s="21">
        <f>0.9+0.9+0.8</f>
        <v>2.6</v>
      </c>
      <c r="G11" s="22">
        <f t="shared" si="0"/>
        <v>59800</v>
      </c>
      <c r="H11" s="22">
        <f t="shared" si="1"/>
        <v>15600</v>
      </c>
      <c r="I11" s="22">
        <f t="shared" si="2"/>
        <v>7800</v>
      </c>
      <c r="J11" s="21" t="s">
        <v>49</v>
      </c>
      <c r="K11" s="51" t="s">
        <v>39</v>
      </c>
      <c r="L11" s="53" t="s">
        <v>221</v>
      </c>
    </row>
    <row r="12" spans="1:12" ht="15.75" customHeight="1" x14ac:dyDescent="0.25">
      <c r="A12" s="20">
        <v>46155</v>
      </c>
      <c r="B12" s="21" t="s">
        <v>75</v>
      </c>
      <c r="C12" s="21" t="s">
        <v>28</v>
      </c>
      <c r="D12" s="22">
        <v>15000</v>
      </c>
      <c r="E12" s="22">
        <v>20000</v>
      </c>
      <c r="F12" s="21">
        <v>4.4000000000000004</v>
      </c>
      <c r="G12" s="22">
        <f t="shared" si="0"/>
        <v>88000</v>
      </c>
      <c r="H12" s="22">
        <f t="shared" si="1"/>
        <v>22000</v>
      </c>
      <c r="I12" s="22">
        <f t="shared" si="2"/>
        <v>11000</v>
      </c>
      <c r="J12" s="21" t="s">
        <v>49</v>
      </c>
      <c r="K12" s="52"/>
      <c r="L12" s="52"/>
    </row>
    <row r="13" spans="1:12" ht="15.75" customHeight="1" x14ac:dyDescent="0.25">
      <c r="A13" s="20">
        <v>46155</v>
      </c>
      <c r="B13" s="21" t="s">
        <v>75</v>
      </c>
      <c r="C13" s="21" t="s">
        <v>28</v>
      </c>
      <c r="D13" s="22">
        <v>15000</v>
      </c>
      <c r="E13" s="22">
        <v>18000</v>
      </c>
      <c r="F13" s="21">
        <v>4.5</v>
      </c>
      <c r="G13" s="22">
        <f t="shared" si="0"/>
        <v>81000</v>
      </c>
      <c r="H13" s="22">
        <f t="shared" si="1"/>
        <v>13500</v>
      </c>
      <c r="I13" s="22">
        <f t="shared" si="2"/>
        <v>6750</v>
      </c>
      <c r="J13" s="21" t="s">
        <v>45</v>
      </c>
      <c r="K13" s="21" t="s">
        <v>39</v>
      </c>
      <c r="L13" s="23" t="s">
        <v>224</v>
      </c>
    </row>
    <row r="14" spans="1:12" ht="15.75" customHeight="1" x14ac:dyDescent="0.25">
      <c r="A14" s="20">
        <v>46156</v>
      </c>
      <c r="B14" s="21" t="s">
        <v>75</v>
      </c>
      <c r="C14" s="21" t="s">
        <v>8</v>
      </c>
      <c r="D14" s="22">
        <v>18000</v>
      </c>
      <c r="E14" s="22">
        <v>22000</v>
      </c>
      <c r="F14" s="21">
        <v>2.9</v>
      </c>
      <c r="G14" s="22">
        <f t="shared" si="0"/>
        <v>63800</v>
      </c>
      <c r="H14" s="22">
        <f t="shared" si="1"/>
        <v>11600</v>
      </c>
      <c r="I14" s="22">
        <f t="shared" si="2"/>
        <v>5800</v>
      </c>
      <c r="J14" s="21" t="s">
        <v>38</v>
      </c>
      <c r="K14" s="29" t="s">
        <v>39</v>
      </c>
      <c r="L14" s="30" t="s">
        <v>221</v>
      </c>
    </row>
    <row r="15" spans="1:12" ht="15.75" customHeight="1" x14ac:dyDescent="0.25">
      <c r="A15" s="20">
        <v>46156</v>
      </c>
      <c r="B15" s="21" t="s">
        <v>75</v>
      </c>
      <c r="C15" s="21" t="s">
        <v>14</v>
      </c>
      <c r="D15" s="22">
        <v>25000</v>
      </c>
      <c r="E15" s="22">
        <v>29000</v>
      </c>
      <c r="F15" s="21">
        <f>1.4+1.3</f>
        <v>2.7</v>
      </c>
      <c r="G15" s="22">
        <f t="shared" si="0"/>
        <v>78300</v>
      </c>
      <c r="H15" s="22">
        <f t="shared" si="1"/>
        <v>10800</v>
      </c>
      <c r="I15" s="22">
        <f t="shared" si="2"/>
        <v>5400</v>
      </c>
      <c r="J15" s="21" t="s">
        <v>50</v>
      </c>
      <c r="K15" s="51" t="s">
        <v>39</v>
      </c>
      <c r="L15" s="53" t="s">
        <v>221</v>
      </c>
    </row>
    <row r="16" spans="1:12" ht="15.75" customHeight="1" x14ac:dyDescent="0.25">
      <c r="A16" s="20">
        <v>46156</v>
      </c>
      <c r="B16" s="21" t="s">
        <v>75</v>
      </c>
      <c r="C16" s="21" t="s">
        <v>220</v>
      </c>
      <c r="D16" s="22">
        <v>18000</v>
      </c>
      <c r="E16" s="22">
        <v>23000</v>
      </c>
      <c r="F16" s="21">
        <f>0.8+0.8</f>
        <v>1.6</v>
      </c>
      <c r="G16" s="22">
        <f t="shared" si="0"/>
        <v>36800</v>
      </c>
      <c r="H16" s="22">
        <f t="shared" si="1"/>
        <v>8000</v>
      </c>
      <c r="I16" s="22">
        <f t="shared" si="2"/>
        <v>4000</v>
      </c>
      <c r="J16" s="21" t="s">
        <v>50</v>
      </c>
      <c r="K16" s="52"/>
      <c r="L16" s="52"/>
    </row>
    <row r="17" spans="1:12" ht="15.75" customHeight="1" x14ac:dyDescent="0.25">
      <c r="A17" s="20">
        <v>46156</v>
      </c>
      <c r="B17" s="21" t="s">
        <v>75</v>
      </c>
      <c r="C17" s="21" t="s">
        <v>8</v>
      </c>
      <c r="D17" s="22">
        <v>18000</v>
      </c>
      <c r="E17" s="22">
        <v>22000</v>
      </c>
      <c r="F17" s="21">
        <v>3.2</v>
      </c>
      <c r="G17" s="22">
        <f t="shared" si="0"/>
        <v>70400</v>
      </c>
      <c r="H17" s="22">
        <f t="shared" si="1"/>
        <v>12800</v>
      </c>
      <c r="I17" s="22">
        <f t="shared" si="2"/>
        <v>6400</v>
      </c>
      <c r="J17" s="21" t="s">
        <v>50</v>
      </c>
      <c r="K17" s="52"/>
      <c r="L17" s="52"/>
    </row>
    <row r="18" spans="1:12" ht="15.75" customHeight="1" x14ac:dyDescent="0.25">
      <c r="A18" s="20">
        <v>46157</v>
      </c>
      <c r="B18" s="21" t="s">
        <v>75</v>
      </c>
      <c r="C18" s="21" t="s">
        <v>220</v>
      </c>
      <c r="D18" s="22">
        <v>18000</v>
      </c>
      <c r="E18" s="22">
        <v>23000</v>
      </c>
      <c r="F18" s="21">
        <v>0.9</v>
      </c>
      <c r="G18" s="22">
        <f t="shared" si="0"/>
        <v>20700</v>
      </c>
      <c r="H18" s="22">
        <f t="shared" si="1"/>
        <v>4500</v>
      </c>
      <c r="I18" s="22">
        <f t="shared" si="2"/>
        <v>2250</v>
      </c>
      <c r="J18" s="21" t="s">
        <v>51</v>
      </c>
      <c r="K18" s="54" t="s">
        <v>39</v>
      </c>
      <c r="L18" s="53" t="s">
        <v>224</v>
      </c>
    </row>
    <row r="19" spans="1:12" ht="15.75" customHeight="1" x14ac:dyDescent="0.25">
      <c r="A19" s="20">
        <v>45792</v>
      </c>
      <c r="B19" s="21" t="s">
        <v>75</v>
      </c>
      <c r="C19" s="21" t="s">
        <v>28</v>
      </c>
      <c r="D19" s="22">
        <v>15000</v>
      </c>
      <c r="E19" s="22">
        <v>18000</v>
      </c>
      <c r="F19" s="21">
        <v>4.3</v>
      </c>
      <c r="G19" s="22">
        <f t="shared" si="0"/>
        <v>77400</v>
      </c>
      <c r="H19" s="22">
        <f t="shared" si="1"/>
        <v>12900</v>
      </c>
      <c r="I19" s="22">
        <f t="shared" si="2"/>
        <v>6450</v>
      </c>
      <c r="J19" s="21" t="s">
        <v>51</v>
      </c>
      <c r="K19" s="52"/>
      <c r="L19" s="52"/>
    </row>
    <row r="20" spans="1:12" ht="15.75" customHeight="1" x14ac:dyDescent="0.25">
      <c r="A20" s="20">
        <v>46157</v>
      </c>
      <c r="B20" s="21" t="s">
        <v>75</v>
      </c>
      <c r="C20" s="21" t="s">
        <v>26</v>
      </c>
      <c r="D20" s="22">
        <v>17000</v>
      </c>
      <c r="E20" s="22">
        <v>23000</v>
      </c>
      <c r="F20" s="21">
        <f>1.2+0.9</f>
        <v>2.1</v>
      </c>
      <c r="G20" s="22">
        <f t="shared" si="0"/>
        <v>48300</v>
      </c>
      <c r="H20" s="22">
        <f t="shared" si="1"/>
        <v>12600</v>
      </c>
      <c r="I20" s="22">
        <f t="shared" si="2"/>
        <v>6300</v>
      </c>
      <c r="J20" s="21" t="s">
        <v>51</v>
      </c>
      <c r="K20" s="52"/>
      <c r="L20" s="52"/>
    </row>
    <row r="21" spans="1:12" ht="15.75" customHeight="1" x14ac:dyDescent="0.25">
      <c r="A21" s="20">
        <v>46158</v>
      </c>
      <c r="B21" s="21" t="s">
        <v>75</v>
      </c>
      <c r="C21" s="21" t="s">
        <v>26</v>
      </c>
      <c r="D21" s="22">
        <v>17000</v>
      </c>
      <c r="E21" s="22">
        <v>23000</v>
      </c>
      <c r="F21" s="21">
        <f>0.8+0.8</f>
        <v>1.6</v>
      </c>
      <c r="G21" s="22">
        <f t="shared" si="0"/>
        <v>36800</v>
      </c>
      <c r="H21" s="22">
        <f t="shared" si="1"/>
        <v>9600</v>
      </c>
      <c r="I21" s="22">
        <f t="shared" si="2"/>
        <v>4800</v>
      </c>
      <c r="J21" s="21" t="s">
        <v>40</v>
      </c>
      <c r="K21" s="29" t="s">
        <v>41</v>
      </c>
      <c r="L21" s="30" t="s">
        <v>225</v>
      </c>
    </row>
    <row r="22" spans="1:12" ht="15.75" customHeight="1" x14ac:dyDescent="0.25">
      <c r="A22" s="24" t="s">
        <v>223</v>
      </c>
      <c r="B22" s="25"/>
      <c r="C22" s="25"/>
      <c r="D22" s="25"/>
      <c r="E22" s="26"/>
      <c r="F22" s="24">
        <f>SUM(F6:F21)</f>
        <v>36.6</v>
      </c>
      <c r="G22" s="27"/>
      <c r="H22" s="27"/>
      <c r="I22" s="28">
        <f>SUM(I6:I21)</f>
        <v>79050</v>
      </c>
      <c r="J22" s="25"/>
      <c r="K22" s="25"/>
      <c r="L22" s="27"/>
    </row>
    <row r="23" spans="1:12" x14ac:dyDescent="0.25">
      <c r="A23" s="20">
        <v>46161</v>
      </c>
      <c r="B23" s="21" t="s">
        <v>75</v>
      </c>
      <c r="C23" s="21" t="s">
        <v>28</v>
      </c>
      <c r="D23" s="22">
        <v>15000</v>
      </c>
      <c r="E23" s="22">
        <v>18000</v>
      </c>
      <c r="F23" s="21">
        <v>5.4</v>
      </c>
      <c r="G23" s="22">
        <f t="shared" ref="G23:G41" si="3">E23*F23</f>
        <v>97200</v>
      </c>
      <c r="H23" s="22">
        <f t="shared" ref="H23:H41" si="4">G23-(F23*D23)</f>
        <v>16200</v>
      </c>
      <c r="I23" s="22">
        <f t="shared" ref="I23:I41" si="5">H23/2</f>
        <v>8100</v>
      </c>
      <c r="J23" s="21" t="s">
        <v>52</v>
      </c>
      <c r="K23" s="51" t="s">
        <v>39</v>
      </c>
      <c r="L23" s="53" t="s">
        <v>221</v>
      </c>
    </row>
    <row r="24" spans="1:12" x14ac:dyDescent="0.25">
      <c r="A24" s="20">
        <v>46161</v>
      </c>
      <c r="B24" s="21" t="s">
        <v>75</v>
      </c>
      <c r="C24" s="21" t="s">
        <v>220</v>
      </c>
      <c r="D24" s="22">
        <v>18000</v>
      </c>
      <c r="E24" s="22">
        <v>23000</v>
      </c>
      <c r="F24" s="21">
        <v>0.8</v>
      </c>
      <c r="G24" s="22">
        <f t="shared" si="3"/>
        <v>18400</v>
      </c>
      <c r="H24" s="22">
        <f t="shared" si="4"/>
        <v>4000</v>
      </c>
      <c r="I24" s="22">
        <f t="shared" si="5"/>
        <v>2000</v>
      </c>
      <c r="J24" s="21" t="s">
        <v>52</v>
      </c>
      <c r="K24" s="52"/>
      <c r="L24" s="52"/>
    </row>
    <row r="25" spans="1:12" x14ac:dyDescent="0.25">
      <c r="A25" s="20">
        <v>46161</v>
      </c>
      <c r="B25" s="21" t="s">
        <v>75</v>
      </c>
      <c r="C25" s="21" t="s">
        <v>28</v>
      </c>
      <c r="D25" s="22">
        <v>15000</v>
      </c>
      <c r="E25" s="22">
        <v>18000</v>
      </c>
      <c r="F25" s="21">
        <v>5</v>
      </c>
      <c r="G25" s="22">
        <f t="shared" si="3"/>
        <v>90000</v>
      </c>
      <c r="H25" s="22">
        <f t="shared" si="4"/>
        <v>15000</v>
      </c>
      <c r="I25" s="22">
        <f t="shared" si="5"/>
        <v>7500</v>
      </c>
      <c r="J25" s="21" t="s">
        <v>49</v>
      </c>
      <c r="K25" s="51" t="s">
        <v>39</v>
      </c>
      <c r="L25" s="53" t="s">
        <v>221</v>
      </c>
    </row>
    <row r="26" spans="1:12" x14ac:dyDescent="0.25">
      <c r="A26" s="20">
        <v>46161</v>
      </c>
      <c r="B26" s="21" t="s">
        <v>75</v>
      </c>
      <c r="C26" s="21" t="s">
        <v>220</v>
      </c>
      <c r="D26" s="22">
        <v>18000</v>
      </c>
      <c r="E26" s="22">
        <v>23000</v>
      </c>
      <c r="F26" s="21">
        <v>0.9</v>
      </c>
      <c r="G26" s="22">
        <f t="shared" si="3"/>
        <v>20700</v>
      </c>
      <c r="H26" s="22">
        <f t="shared" si="4"/>
        <v>4500</v>
      </c>
      <c r="I26" s="22">
        <f t="shared" si="5"/>
        <v>2250</v>
      </c>
      <c r="J26" s="21" t="s">
        <v>49</v>
      </c>
      <c r="K26" s="52"/>
      <c r="L26" s="52"/>
    </row>
    <row r="27" spans="1:12" x14ac:dyDescent="0.25">
      <c r="A27" s="20">
        <v>46161</v>
      </c>
      <c r="B27" s="21" t="s">
        <v>75</v>
      </c>
      <c r="C27" s="21" t="s">
        <v>26</v>
      </c>
      <c r="D27" s="22">
        <v>17000</v>
      </c>
      <c r="E27" s="22">
        <v>23000</v>
      </c>
      <c r="F27" s="21">
        <f>1.3+1.2</f>
        <v>2.5</v>
      </c>
      <c r="G27" s="22">
        <f t="shared" si="3"/>
        <v>57500</v>
      </c>
      <c r="H27" s="22">
        <f t="shared" si="4"/>
        <v>15000</v>
      </c>
      <c r="I27" s="22">
        <f t="shared" si="5"/>
        <v>7500</v>
      </c>
      <c r="J27" s="21" t="s">
        <v>49</v>
      </c>
      <c r="K27" s="52"/>
      <c r="L27" s="52"/>
    </row>
    <row r="28" spans="1:12" x14ac:dyDescent="0.25">
      <c r="A28" s="20">
        <v>46162</v>
      </c>
      <c r="B28" s="21" t="s">
        <v>75</v>
      </c>
      <c r="C28" s="21" t="s">
        <v>28</v>
      </c>
      <c r="D28" s="22">
        <v>15000</v>
      </c>
      <c r="E28" s="22">
        <v>18000</v>
      </c>
      <c r="F28" s="21">
        <v>3.6</v>
      </c>
      <c r="G28" s="22">
        <f t="shared" si="3"/>
        <v>64800</v>
      </c>
      <c r="H28" s="22">
        <f t="shared" si="4"/>
        <v>10800</v>
      </c>
      <c r="I28" s="22">
        <f t="shared" si="5"/>
        <v>5400</v>
      </c>
      <c r="J28" s="21" t="s">
        <v>226</v>
      </c>
      <c r="K28" s="51" t="s">
        <v>41</v>
      </c>
      <c r="L28" s="53" t="s">
        <v>221</v>
      </c>
    </row>
    <row r="29" spans="1:12" x14ac:dyDescent="0.25">
      <c r="A29" s="20">
        <v>46162</v>
      </c>
      <c r="B29" s="21" t="s">
        <v>75</v>
      </c>
      <c r="C29" s="21" t="s">
        <v>220</v>
      </c>
      <c r="D29" s="22">
        <v>18000</v>
      </c>
      <c r="E29" s="22">
        <v>23000</v>
      </c>
      <c r="F29" s="21">
        <v>0.8</v>
      </c>
      <c r="G29" s="22">
        <f t="shared" si="3"/>
        <v>18400</v>
      </c>
      <c r="H29" s="22">
        <f t="shared" si="4"/>
        <v>4000</v>
      </c>
      <c r="I29" s="22">
        <f t="shared" si="5"/>
        <v>2000</v>
      </c>
      <c r="J29" s="21" t="s">
        <v>226</v>
      </c>
      <c r="K29" s="52"/>
      <c r="L29" s="52"/>
    </row>
    <row r="30" spans="1:12" x14ac:dyDescent="0.25">
      <c r="A30" s="20">
        <v>46162</v>
      </c>
      <c r="B30" s="21" t="s">
        <v>75</v>
      </c>
      <c r="C30" s="21" t="s">
        <v>220</v>
      </c>
      <c r="D30" s="22">
        <v>18000</v>
      </c>
      <c r="E30" s="22">
        <v>23000</v>
      </c>
      <c r="F30" s="21">
        <v>1</v>
      </c>
      <c r="G30" s="22">
        <f t="shared" si="3"/>
        <v>23000</v>
      </c>
      <c r="H30" s="22">
        <f t="shared" si="4"/>
        <v>5000</v>
      </c>
      <c r="I30" s="22">
        <f t="shared" si="5"/>
        <v>2500</v>
      </c>
      <c r="J30" s="21" t="s">
        <v>43</v>
      </c>
      <c r="K30" s="21" t="s">
        <v>39</v>
      </c>
      <c r="L30" s="30" t="s">
        <v>221</v>
      </c>
    </row>
    <row r="31" spans="1:12" x14ac:dyDescent="0.25">
      <c r="A31" s="20">
        <v>46162</v>
      </c>
      <c r="B31" s="21" t="s">
        <v>75</v>
      </c>
      <c r="C31" s="21" t="s">
        <v>14</v>
      </c>
      <c r="D31" s="22">
        <v>25000</v>
      </c>
      <c r="E31" s="22">
        <v>29000</v>
      </c>
      <c r="F31" s="21">
        <v>1.4</v>
      </c>
      <c r="G31" s="22">
        <f t="shared" si="3"/>
        <v>40600</v>
      </c>
      <c r="H31" s="22">
        <f t="shared" si="4"/>
        <v>5600</v>
      </c>
      <c r="I31" s="22">
        <f t="shared" si="5"/>
        <v>2800</v>
      </c>
      <c r="J31" s="21" t="s">
        <v>48</v>
      </c>
      <c r="K31" s="21" t="s">
        <v>39</v>
      </c>
      <c r="L31" s="30" t="s">
        <v>221</v>
      </c>
    </row>
    <row r="32" spans="1:12" x14ac:dyDescent="0.25">
      <c r="A32" s="20">
        <v>46163</v>
      </c>
      <c r="B32" s="21" t="s">
        <v>75</v>
      </c>
      <c r="C32" s="21" t="s">
        <v>28</v>
      </c>
      <c r="D32" s="22">
        <v>15000</v>
      </c>
      <c r="E32" s="22">
        <v>18000</v>
      </c>
      <c r="F32" s="21">
        <v>4.8</v>
      </c>
      <c r="G32" s="22">
        <f t="shared" si="3"/>
        <v>86400</v>
      </c>
      <c r="H32" s="22">
        <f t="shared" si="4"/>
        <v>14400</v>
      </c>
      <c r="I32" s="22">
        <f t="shared" si="5"/>
        <v>7200</v>
      </c>
      <c r="J32" s="21" t="s">
        <v>54</v>
      </c>
      <c r="K32" s="51" t="s">
        <v>39</v>
      </c>
      <c r="L32" s="53" t="s">
        <v>221</v>
      </c>
    </row>
    <row r="33" spans="1:12" x14ac:dyDescent="0.25">
      <c r="A33" s="20">
        <v>46163</v>
      </c>
      <c r="B33" s="21" t="s">
        <v>75</v>
      </c>
      <c r="C33" s="21" t="s">
        <v>14</v>
      </c>
      <c r="D33" s="22">
        <v>25000</v>
      </c>
      <c r="E33" s="22">
        <v>29000</v>
      </c>
      <c r="F33" s="21">
        <v>1.4</v>
      </c>
      <c r="G33" s="22">
        <f t="shared" si="3"/>
        <v>40600</v>
      </c>
      <c r="H33" s="22">
        <f t="shared" si="4"/>
        <v>5600</v>
      </c>
      <c r="I33" s="22">
        <f t="shared" si="5"/>
        <v>2800</v>
      </c>
      <c r="J33" s="21" t="s">
        <v>54</v>
      </c>
      <c r="K33" s="52"/>
      <c r="L33" s="52"/>
    </row>
    <row r="34" spans="1:12" x14ac:dyDescent="0.25">
      <c r="A34" s="20">
        <v>46164</v>
      </c>
      <c r="B34" s="21" t="s">
        <v>75</v>
      </c>
      <c r="C34" s="21" t="s">
        <v>14</v>
      </c>
      <c r="D34" s="22">
        <v>25000</v>
      </c>
      <c r="E34" s="22">
        <v>29000</v>
      </c>
      <c r="F34" s="21">
        <v>1.6</v>
      </c>
      <c r="G34" s="22">
        <f t="shared" si="3"/>
        <v>46400</v>
      </c>
      <c r="H34" s="22">
        <f t="shared" si="4"/>
        <v>6400</v>
      </c>
      <c r="I34" s="22">
        <f t="shared" si="5"/>
        <v>3200</v>
      </c>
      <c r="J34" s="21" t="s">
        <v>42</v>
      </c>
      <c r="K34" s="21" t="s">
        <v>39</v>
      </c>
      <c r="L34" s="30" t="s">
        <v>221</v>
      </c>
    </row>
    <row r="35" spans="1:12" x14ac:dyDescent="0.25">
      <c r="A35" s="20">
        <v>46163</v>
      </c>
      <c r="B35" s="21" t="s">
        <v>75</v>
      </c>
      <c r="C35" s="21" t="s">
        <v>220</v>
      </c>
      <c r="D35" s="22">
        <v>18000</v>
      </c>
      <c r="E35" s="22">
        <v>23000</v>
      </c>
      <c r="F35" s="21">
        <v>0.8</v>
      </c>
      <c r="G35" s="22">
        <f t="shared" si="3"/>
        <v>18400</v>
      </c>
      <c r="H35" s="22">
        <f t="shared" si="4"/>
        <v>4000</v>
      </c>
      <c r="I35" s="22">
        <f t="shared" si="5"/>
        <v>2000</v>
      </c>
      <c r="J35" s="21" t="s">
        <v>55</v>
      </c>
      <c r="K35" s="21" t="s">
        <v>39</v>
      </c>
      <c r="L35" s="30" t="s">
        <v>221</v>
      </c>
    </row>
    <row r="36" spans="1:12" x14ac:dyDescent="0.25">
      <c r="A36" s="20">
        <v>46163</v>
      </c>
      <c r="B36" s="21" t="s">
        <v>75</v>
      </c>
      <c r="C36" s="21" t="s">
        <v>28</v>
      </c>
      <c r="D36" s="22">
        <v>15000</v>
      </c>
      <c r="E36" s="22">
        <v>18000</v>
      </c>
      <c r="F36" s="21">
        <v>4.5</v>
      </c>
      <c r="G36" s="22">
        <f t="shared" si="3"/>
        <v>81000</v>
      </c>
      <c r="H36" s="22">
        <f t="shared" si="4"/>
        <v>13500</v>
      </c>
      <c r="I36" s="22">
        <f t="shared" si="5"/>
        <v>6750</v>
      </c>
      <c r="J36" s="21" t="s">
        <v>56</v>
      </c>
      <c r="K36" s="21" t="s">
        <v>39</v>
      </c>
      <c r="L36" s="30" t="s">
        <v>221</v>
      </c>
    </row>
    <row r="37" spans="1:12" x14ac:dyDescent="0.25">
      <c r="A37" s="20">
        <v>46164</v>
      </c>
      <c r="B37" s="21" t="s">
        <v>75</v>
      </c>
      <c r="C37" s="21" t="s">
        <v>26</v>
      </c>
      <c r="D37" s="22">
        <v>17000</v>
      </c>
      <c r="E37" s="22">
        <v>23000</v>
      </c>
      <c r="F37" s="21">
        <f>0.9+0.9</f>
        <v>1.8</v>
      </c>
      <c r="G37" s="22">
        <f t="shared" si="3"/>
        <v>41400</v>
      </c>
      <c r="H37" s="22">
        <f t="shared" si="4"/>
        <v>10800</v>
      </c>
      <c r="I37" s="22">
        <f t="shared" si="5"/>
        <v>5400</v>
      </c>
      <c r="J37" s="21" t="s">
        <v>40</v>
      </c>
      <c r="K37" s="51" t="s">
        <v>41</v>
      </c>
      <c r="L37" s="53" t="s">
        <v>227</v>
      </c>
    </row>
    <row r="38" spans="1:12" x14ac:dyDescent="0.25">
      <c r="A38" s="20">
        <v>46164</v>
      </c>
      <c r="B38" s="21" t="s">
        <v>75</v>
      </c>
      <c r="C38" s="21" t="s">
        <v>220</v>
      </c>
      <c r="D38" s="22">
        <v>18000</v>
      </c>
      <c r="E38" s="22">
        <v>23000</v>
      </c>
      <c r="F38" s="21">
        <v>0.8</v>
      </c>
      <c r="G38" s="22">
        <f t="shared" si="3"/>
        <v>18400</v>
      </c>
      <c r="H38" s="22">
        <f t="shared" si="4"/>
        <v>4000</v>
      </c>
      <c r="I38" s="22">
        <f t="shared" si="5"/>
        <v>2000</v>
      </c>
      <c r="J38" s="21" t="s">
        <v>40</v>
      </c>
      <c r="K38" s="52"/>
      <c r="L38" s="52"/>
    </row>
    <row r="39" spans="1:12" x14ac:dyDescent="0.25">
      <c r="A39" s="20">
        <v>46164</v>
      </c>
      <c r="B39" s="21" t="s">
        <v>75</v>
      </c>
      <c r="C39" s="21" t="s">
        <v>8</v>
      </c>
      <c r="D39" s="22">
        <v>18000</v>
      </c>
      <c r="E39" s="22">
        <v>22000</v>
      </c>
      <c r="F39" s="21">
        <v>2.7</v>
      </c>
      <c r="G39" s="22">
        <f t="shared" si="3"/>
        <v>59400.000000000007</v>
      </c>
      <c r="H39" s="22">
        <f t="shared" si="4"/>
        <v>10800.000000000007</v>
      </c>
      <c r="I39" s="22">
        <f t="shared" si="5"/>
        <v>5400.0000000000036</v>
      </c>
      <c r="J39" s="21" t="s">
        <v>228</v>
      </c>
      <c r="K39" s="21" t="s">
        <v>39</v>
      </c>
      <c r="L39" s="30"/>
    </row>
    <row r="40" spans="1:12" x14ac:dyDescent="0.25">
      <c r="A40" s="20">
        <v>46164</v>
      </c>
      <c r="B40" s="21" t="s">
        <v>229</v>
      </c>
      <c r="C40" s="21" t="s">
        <v>28</v>
      </c>
      <c r="D40" s="22">
        <v>15000</v>
      </c>
      <c r="E40" s="22">
        <v>18000</v>
      </c>
      <c r="F40" s="21">
        <v>3.9</v>
      </c>
      <c r="G40" s="22">
        <f t="shared" si="3"/>
        <v>70200</v>
      </c>
      <c r="H40" s="22">
        <f t="shared" si="4"/>
        <v>11700</v>
      </c>
      <c r="I40" s="22">
        <f t="shared" si="5"/>
        <v>5850</v>
      </c>
      <c r="J40" s="21" t="s">
        <v>57</v>
      </c>
      <c r="K40" s="21" t="s">
        <v>39</v>
      </c>
      <c r="L40" s="30" t="s">
        <v>221</v>
      </c>
    </row>
    <row r="41" spans="1:12" x14ac:dyDescent="0.25">
      <c r="A41" s="20">
        <v>46165</v>
      </c>
      <c r="B41" s="21" t="s">
        <v>75</v>
      </c>
      <c r="C41" s="21" t="s">
        <v>20</v>
      </c>
      <c r="D41" s="22">
        <v>17000</v>
      </c>
      <c r="E41" s="22">
        <v>23000</v>
      </c>
      <c r="F41" s="21">
        <v>1.5</v>
      </c>
      <c r="G41" s="22">
        <f t="shared" si="3"/>
        <v>34500</v>
      </c>
      <c r="H41" s="22">
        <f t="shared" si="4"/>
        <v>9000</v>
      </c>
      <c r="I41" s="22">
        <f t="shared" si="5"/>
        <v>4500</v>
      </c>
      <c r="J41" s="21" t="s">
        <v>58</v>
      </c>
      <c r="K41" s="21"/>
      <c r="L41" s="30"/>
    </row>
    <row r="42" spans="1:12" x14ac:dyDescent="0.25">
      <c r="A42" s="24" t="s">
        <v>223</v>
      </c>
      <c r="B42" s="25"/>
      <c r="C42" s="25"/>
      <c r="D42" s="25"/>
      <c r="E42" s="26"/>
      <c r="F42" s="24">
        <f>SUM(F23:F41)</f>
        <v>45.199999999999996</v>
      </c>
      <c r="G42" s="27"/>
      <c r="H42" s="27"/>
      <c r="I42" s="28">
        <f>SUM(I23:I41)</f>
        <v>85150</v>
      </c>
      <c r="J42" s="25"/>
      <c r="K42" s="25"/>
      <c r="L42" s="27"/>
    </row>
    <row r="43" spans="1:12" x14ac:dyDescent="0.25">
      <c r="A43" s="20">
        <v>46168</v>
      </c>
      <c r="B43" s="21" t="s">
        <v>75</v>
      </c>
      <c r="C43" s="21" t="s">
        <v>231</v>
      </c>
      <c r="D43" s="22">
        <v>16500</v>
      </c>
      <c r="E43" s="22">
        <v>19500</v>
      </c>
      <c r="F43" s="21">
        <v>3.5</v>
      </c>
      <c r="G43" s="22">
        <f>E43*F43</f>
        <v>68250</v>
      </c>
      <c r="H43" s="22">
        <f>G43-(F43*D43)</f>
        <v>10500</v>
      </c>
      <c r="I43" s="22">
        <f>H43/2</f>
        <v>5250</v>
      </c>
      <c r="J43" s="21" t="s">
        <v>59</v>
      </c>
      <c r="K43" s="21"/>
      <c r="L43" s="30" t="s">
        <v>235</v>
      </c>
    </row>
    <row r="44" spans="1:12" x14ac:dyDescent="0.25">
      <c r="A44" s="20">
        <v>46168</v>
      </c>
      <c r="B44" s="21" t="s">
        <v>75</v>
      </c>
      <c r="C44" s="21" t="s">
        <v>231</v>
      </c>
      <c r="D44" s="22">
        <v>16500</v>
      </c>
      <c r="E44" s="22">
        <v>19500</v>
      </c>
      <c r="F44" s="21">
        <v>3.8</v>
      </c>
      <c r="G44" s="22">
        <f>E44*F44</f>
        <v>74100</v>
      </c>
      <c r="H44" s="22">
        <f>G44-(F44*D44)</f>
        <v>11400</v>
      </c>
      <c r="I44" s="22">
        <f>H44/2</f>
        <v>5700</v>
      </c>
      <c r="J44" s="21" t="s">
        <v>60</v>
      </c>
      <c r="K44" s="21"/>
      <c r="L44" s="30" t="s">
        <v>235</v>
      </c>
    </row>
    <row r="45" spans="1:12" x14ac:dyDescent="0.25">
      <c r="A45" s="20"/>
      <c r="B45" s="21" t="s">
        <v>75</v>
      </c>
      <c r="C45" s="41" t="s">
        <v>8</v>
      </c>
      <c r="D45" s="22">
        <v>18000</v>
      </c>
      <c r="E45" s="22">
        <v>22000</v>
      </c>
      <c r="F45" s="21"/>
      <c r="G45" s="21"/>
      <c r="H45" s="21"/>
      <c r="I45" s="22"/>
      <c r="J45" s="41" t="s">
        <v>52</v>
      </c>
      <c r="K45" s="29"/>
      <c r="L45" s="29"/>
    </row>
    <row r="46" spans="1:12" x14ac:dyDescent="0.25">
      <c r="A46" s="20"/>
      <c r="B46" s="21" t="s">
        <v>75</v>
      </c>
      <c r="C46" s="41" t="s">
        <v>14</v>
      </c>
      <c r="D46" s="22">
        <v>25000</v>
      </c>
      <c r="E46" s="22">
        <v>29000</v>
      </c>
      <c r="F46" s="21"/>
      <c r="G46" s="21"/>
      <c r="H46" s="21"/>
      <c r="I46" s="22"/>
      <c r="J46" s="41" t="s">
        <v>139</v>
      </c>
      <c r="K46" s="29"/>
      <c r="L46" s="29"/>
    </row>
    <row r="47" spans="1:12" x14ac:dyDescent="0.25">
      <c r="A47" s="20"/>
      <c r="B47" s="21"/>
      <c r="C47" s="21"/>
      <c r="D47" s="22"/>
      <c r="E47" s="22"/>
      <c r="F47" s="21"/>
      <c r="G47" s="21"/>
      <c r="H47" s="21"/>
      <c r="I47" s="22"/>
      <c r="J47" s="21"/>
      <c r="K47" s="29"/>
      <c r="L47" s="29"/>
    </row>
  </sheetData>
  <autoFilter ref="A1:L46" xr:uid="{00000000-0009-0000-0000-000006000000}"/>
  <mergeCells count="20">
    <mergeCell ref="K2:K3"/>
    <mergeCell ref="K18:K20"/>
    <mergeCell ref="K23:K24"/>
    <mergeCell ref="K8:K9"/>
    <mergeCell ref="L11:L12"/>
    <mergeCell ref="L2:L3"/>
    <mergeCell ref="L18:L20"/>
    <mergeCell ref="L15:L17"/>
    <mergeCell ref="K11:K12"/>
    <mergeCell ref="L8:L9"/>
    <mergeCell ref="K25:K27"/>
    <mergeCell ref="L23:L24"/>
    <mergeCell ref="K15:K17"/>
    <mergeCell ref="K32:K33"/>
    <mergeCell ref="L32:L33"/>
    <mergeCell ref="L25:L27"/>
    <mergeCell ref="L28:L29"/>
    <mergeCell ref="L37:L38"/>
    <mergeCell ref="K28:K29"/>
    <mergeCell ref="K37:K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5.28515625" customWidth="1"/>
    <col min="3" max="3" width="14.140625" customWidth="1"/>
    <col min="4" max="4" width="11.42578125" customWidth="1"/>
    <col min="5" max="5" width="15.7109375" customWidth="1"/>
    <col min="6" max="6" width="10.42578125" customWidth="1"/>
    <col min="7" max="7" width="17.42578125" customWidth="1"/>
    <col min="8" max="8" width="11.42578125" customWidth="1"/>
    <col min="9" max="9" width="14" customWidth="1"/>
    <col min="10" max="10" width="11.42578125" customWidth="1"/>
    <col min="11" max="11" width="19.85546875" customWidth="1"/>
    <col min="12" max="12" width="24.7109375" customWidth="1"/>
  </cols>
  <sheetData>
    <row r="1" spans="1:12" ht="15.75" customHeight="1" x14ac:dyDescent="0.25">
      <c r="A1" s="19" t="s">
        <v>210</v>
      </c>
      <c r="B1" s="19" t="s">
        <v>33</v>
      </c>
      <c r="C1" s="19" t="s">
        <v>211</v>
      </c>
      <c r="D1" s="19" t="s">
        <v>0</v>
      </c>
      <c r="E1" s="19" t="s">
        <v>236</v>
      </c>
      <c r="F1" s="19" t="s">
        <v>213</v>
      </c>
      <c r="G1" s="19" t="s">
        <v>214</v>
      </c>
      <c r="H1" s="19" t="s">
        <v>215</v>
      </c>
      <c r="I1" s="19" t="s">
        <v>216</v>
      </c>
      <c r="J1" s="19" t="s">
        <v>217</v>
      </c>
      <c r="K1" s="19" t="s">
        <v>218</v>
      </c>
      <c r="L1" s="19" t="s">
        <v>219</v>
      </c>
    </row>
    <row r="2" spans="1:12" ht="15.75" customHeight="1" x14ac:dyDescent="0.25">
      <c r="A2" s="20">
        <v>46174</v>
      </c>
      <c r="B2" s="42" t="s">
        <v>65</v>
      </c>
      <c r="C2" s="21" t="s">
        <v>75</v>
      </c>
      <c r="D2" s="21" t="s">
        <v>8</v>
      </c>
      <c r="E2" s="22">
        <v>18000</v>
      </c>
      <c r="F2" s="22">
        <v>22000</v>
      </c>
      <c r="G2" s="21">
        <v>2.9</v>
      </c>
      <c r="H2" s="22">
        <f t="shared" ref="H2:H28" si="0">F2*G2</f>
        <v>63800</v>
      </c>
      <c r="I2" s="22">
        <f t="shared" ref="I2:I28" si="1">H2-(G2*E2)</f>
        <v>11600</v>
      </c>
      <c r="J2" s="22">
        <f t="shared" ref="J2:J28" si="2">I2/2</f>
        <v>5800</v>
      </c>
      <c r="K2" s="51" t="s">
        <v>39</v>
      </c>
      <c r="L2" s="53" t="s">
        <v>221</v>
      </c>
    </row>
    <row r="3" spans="1:12" ht="15.75" customHeight="1" x14ac:dyDescent="0.25">
      <c r="A3" s="20">
        <v>46174</v>
      </c>
      <c r="B3" s="42" t="s">
        <v>65</v>
      </c>
      <c r="C3" s="21" t="s">
        <v>75</v>
      </c>
      <c r="D3" s="21" t="s">
        <v>28</v>
      </c>
      <c r="E3" s="22">
        <v>15000</v>
      </c>
      <c r="F3" s="22">
        <v>20000</v>
      </c>
      <c r="G3" s="21">
        <v>6.3</v>
      </c>
      <c r="H3" s="22">
        <f t="shared" si="0"/>
        <v>126000</v>
      </c>
      <c r="I3" s="22">
        <f t="shared" si="1"/>
        <v>31500</v>
      </c>
      <c r="J3" s="22">
        <f t="shared" si="2"/>
        <v>15750</v>
      </c>
      <c r="K3" s="52"/>
      <c r="L3" s="52"/>
    </row>
    <row r="4" spans="1:12" ht="15.75" customHeight="1" x14ac:dyDescent="0.25">
      <c r="A4" s="20">
        <v>46174</v>
      </c>
      <c r="B4" s="42" t="s">
        <v>66</v>
      </c>
      <c r="C4" s="21" t="s">
        <v>75</v>
      </c>
      <c r="D4" s="21" t="s">
        <v>28</v>
      </c>
      <c r="E4" s="22">
        <v>15000</v>
      </c>
      <c r="F4" s="22">
        <v>20000</v>
      </c>
      <c r="G4" s="21">
        <v>5.4</v>
      </c>
      <c r="H4" s="22">
        <f t="shared" si="0"/>
        <v>108000</v>
      </c>
      <c r="I4" s="22">
        <f t="shared" si="1"/>
        <v>27000</v>
      </c>
      <c r="J4" s="22">
        <f t="shared" si="2"/>
        <v>13500</v>
      </c>
      <c r="K4" s="29" t="s">
        <v>39</v>
      </c>
      <c r="L4" s="30" t="s">
        <v>221</v>
      </c>
    </row>
    <row r="5" spans="1:12" ht="15.75" customHeight="1" x14ac:dyDescent="0.25">
      <c r="A5" s="20">
        <v>46175</v>
      </c>
      <c r="B5" s="43" t="s">
        <v>54</v>
      </c>
      <c r="C5" s="21" t="s">
        <v>75</v>
      </c>
      <c r="D5" s="21" t="s">
        <v>20</v>
      </c>
      <c r="E5" s="22">
        <v>17000</v>
      </c>
      <c r="F5" s="22">
        <v>19500</v>
      </c>
      <c r="G5" s="44">
        <v>1.8</v>
      </c>
      <c r="H5" s="22">
        <f t="shared" si="0"/>
        <v>35100</v>
      </c>
      <c r="I5" s="22">
        <f t="shared" si="1"/>
        <v>4500</v>
      </c>
      <c r="J5" s="22">
        <f t="shared" si="2"/>
        <v>2250</v>
      </c>
      <c r="K5" s="21" t="s">
        <v>39</v>
      </c>
      <c r="L5" s="30" t="s">
        <v>221</v>
      </c>
    </row>
    <row r="6" spans="1:12" ht="15.75" customHeight="1" x14ac:dyDescent="0.25">
      <c r="A6" s="20">
        <v>46175</v>
      </c>
      <c r="B6" s="43" t="s">
        <v>67</v>
      </c>
      <c r="C6" s="21" t="s">
        <v>75</v>
      </c>
      <c r="D6" s="21" t="s">
        <v>237</v>
      </c>
      <c r="E6" s="22">
        <v>19000</v>
      </c>
      <c r="F6" s="22">
        <v>21500</v>
      </c>
      <c r="G6" s="21">
        <f>1.3+1.2</f>
        <v>2.5</v>
      </c>
      <c r="H6" s="22">
        <f t="shared" si="0"/>
        <v>53750</v>
      </c>
      <c r="I6" s="22">
        <f t="shared" si="1"/>
        <v>6250</v>
      </c>
      <c r="J6" s="22">
        <f t="shared" si="2"/>
        <v>3125</v>
      </c>
      <c r="K6" s="21" t="s">
        <v>41</v>
      </c>
      <c r="L6" s="30" t="s">
        <v>238</v>
      </c>
    </row>
    <row r="7" spans="1:12" ht="15.75" customHeight="1" x14ac:dyDescent="0.25">
      <c r="A7" s="20">
        <v>46175</v>
      </c>
      <c r="B7" s="43" t="s">
        <v>59</v>
      </c>
      <c r="C7" s="21" t="s">
        <v>75</v>
      </c>
      <c r="D7" s="21" t="s">
        <v>20</v>
      </c>
      <c r="E7" s="22">
        <v>17000</v>
      </c>
      <c r="F7" s="22">
        <v>19500</v>
      </c>
      <c r="G7" s="21">
        <v>1.3</v>
      </c>
      <c r="H7" s="22">
        <f t="shared" si="0"/>
        <v>25350</v>
      </c>
      <c r="I7" s="22">
        <f t="shared" si="1"/>
        <v>3250</v>
      </c>
      <c r="J7" s="22">
        <f t="shared" si="2"/>
        <v>1625</v>
      </c>
      <c r="K7" s="21" t="s">
        <v>39</v>
      </c>
      <c r="L7" s="23" t="s">
        <v>221</v>
      </c>
    </row>
    <row r="8" spans="1:12" ht="15.75" customHeight="1" x14ac:dyDescent="0.25">
      <c r="A8" s="20">
        <v>46176</v>
      </c>
      <c r="B8" s="43" t="s">
        <v>239</v>
      </c>
      <c r="C8" s="21" t="s">
        <v>75</v>
      </c>
      <c r="D8" s="21" t="s">
        <v>14</v>
      </c>
      <c r="E8" s="22">
        <v>25000</v>
      </c>
      <c r="F8" s="22">
        <v>29000</v>
      </c>
      <c r="G8" s="21">
        <v>1.8</v>
      </c>
      <c r="H8" s="22">
        <f t="shared" si="0"/>
        <v>52200</v>
      </c>
      <c r="I8" s="22">
        <f t="shared" si="1"/>
        <v>7200</v>
      </c>
      <c r="J8" s="22">
        <f t="shared" si="2"/>
        <v>3600</v>
      </c>
      <c r="K8" s="51" t="s">
        <v>39</v>
      </c>
      <c r="L8" s="53" t="s">
        <v>221</v>
      </c>
    </row>
    <row r="9" spans="1:12" ht="15.75" customHeight="1" x14ac:dyDescent="0.25">
      <c r="A9" s="20">
        <v>46176</v>
      </c>
      <c r="B9" s="43" t="s">
        <v>239</v>
      </c>
      <c r="C9" s="21" t="s">
        <v>75</v>
      </c>
      <c r="D9" s="21" t="s">
        <v>28</v>
      </c>
      <c r="E9" s="22">
        <v>15000</v>
      </c>
      <c r="F9" s="22">
        <v>20000</v>
      </c>
      <c r="G9" s="21">
        <v>5</v>
      </c>
      <c r="H9" s="22">
        <f t="shared" si="0"/>
        <v>100000</v>
      </c>
      <c r="I9" s="22">
        <f t="shared" si="1"/>
        <v>25000</v>
      </c>
      <c r="J9" s="22">
        <f t="shared" si="2"/>
        <v>12500</v>
      </c>
      <c r="K9" s="52"/>
      <c r="L9" s="52"/>
    </row>
    <row r="10" spans="1:12" ht="15.75" customHeight="1" x14ac:dyDescent="0.25">
      <c r="A10" s="20">
        <v>46176</v>
      </c>
      <c r="B10" s="43" t="s">
        <v>239</v>
      </c>
      <c r="C10" s="21" t="s">
        <v>75</v>
      </c>
      <c r="D10" s="21" t="s">
        <v>8</v>
      </c>
      <c r="E10" s="22">
        <v>18000</v>
      </c>
      <c r="F10" s="22">
        <v>22000</v>
      </c>
      <c r="G10" s="21">
        <v>2.2999999999999998</v>
      </c>
      <c r="H10" s="22">
        <f t="shared" si="0"/>
        <v>50599.999999999993</v>
      </c>
      <c r="I10" s="22">
        <f t="shared" si="1"/>
        <v>9199.9999999999927</v>
      </c>
      <c r="J10" s="22">
        <f t="shared" si="2"/>
        <v>4599.9999999999964</v>
      </c>
      <c r="K10" s="52"/>
      <c r="L10" s="52"/>
    </row>
    <row r="11" spans="1:12" ht="15.75" customHeight="1" x14ac:dyDescent="0.25">
      <c r="A11" s="20">
        <v>46176</v>
      </c>
      <c r="B11" s="43" t="s">
        <v>60</v>
      </c>
      <c r="C11" s="21" t="s">
        <v>75</v>
      </c>
      <c r="D11" s="21" t="s">
        <v>14</v>
      </c>
      <c r="E11" s="22">
        <v>25000</v>
      </c>
      <c r="F11" s="22">
        <v>29000</v>
      </c>
      <c r="G11" s="21">
        <v>1.7</v>
      </c>
      <c r="H11" s="22">
        <f t="shared" si="0"/>
        <v>49300</v>
      </c>
      <c r="I11" s="22">
        <f t="shared" si="1"/>
        <v>6800</v>
      </c>
      <c r="J11" s="22">
        <f t="shared" si="2"/>
        <v>3400</v>
      </c>
      <c r="K11" s="51" t="s">
        <v>41</v>
      </c>
      <c r="L11" s="53" t="s">
        <v>240</v>
      </c>
    </row>
    <row r="12" spans="1:12" ht="15.75" customHeight="1" x14ac:dyDescent="0.25">
      <c r="A12" s="20">
        <v>46176</v>
      </c>
      <c r="B12" s="43" t="s">
        <v>60</v>
      </c>
      <c r="C12" s="21" t="s">
        <v>75</v>
      </c>
      <c r="D12" s="21" t="s">
        <v>26</v>
      </c>
      <c r="E12" s="22">
        <v>17000</v>
      </c>
      <c r="F12" s="22">
        <v>21000</v>
      </c>
      <c r="G12" s="21">
        <v>1.3</v>
      </c>
      <c r="H12" s="22">
        <f t="shared" si="0"/>
        <v>27300</v>
      </c>
      <c r="I12" s="22">
        <f t="shared" si="1"/>
        <v>5200</v>
      </c>
      <c r="J12" s="22">
        <f t="shared" si="2"/>
        <v>2600</v>
      </c>
      <c r="K12" s="52"/>
      <c r="L12" s="52"/>
    </row>
    <row r="13" spans="1:12" ht="15.75" customHeight="1" x14ac:dyDescent="0.25">
      <c r="A13" s="20">
        <v>46177</v>
      </c>
      <c r="B13" s="43" t="s">
        <v>241</v>
      </c>
      <c r="C13" s="21" t="s">
        <v>75</v>
      </c>
      <c r="D13" s="21" t="s">
        <v>28</v>
      </c>
      <c r="E13" s="22">
        <v>15000</v>
      </c>
      <c r="F13" s="22">
        <v>20000</v>
      </c>
      <c r="G13" s="21">
        <v>4.8</v>
      </c>
      <c r="H13" s="22">
        <f t="shared" si="0"/>
        <v>96000</v>
      </c>
      <c r="I13" s="22">
        <f t="shared" si="1"/>
        <v>24000</v>
      </c>
      <c r="J13" s="22">
        <f t="shared" si="2"/>
        <v>12000</v>
      </c>
      <c r="K13" s="51" t="s">
        <v>39</v>
      </c>
      <c r="L13" s="53" t="s">
        <v>221</v>
      </c>
    </row>
    <row r="14" spans="1:12" ht="15.75" customHeight="1" x14ac:dyDescent="0.25">
      <c r="A14" s="20">
        <v>46177</v>
      </c>
      <c r="B14" s="43" t="s">
        <v>241</v>
      </c>
      <c r="C14" s="21" t="s">
        <v>75</v>
      </c>
      <c r="D14" s="21" t="s">
        <v>20</v>
      </c>
      <c r="E14" s="22">
        <v>17000</v>
      </c>
      <c r="F14" s="22">
        <v>19500</v>
      </c>
      <c r="G14" s="21">
        <v>1.2</v>
      </c>
      <c r="H14" s="22">
        <f t="shared" si="0"/>
        <v>23400</v>
      </c>
      <c r="I14" s="22">
        <f t="shared" si="1"/>
        <v>3000</v>
      </c>
      <c r="J14" s="22">
        <f t="shared" si="2"/>
        <v>1500</v>
      </c>
      <c r="K14" s="52"/>
      <c r="L14" s="52"/>
    </row>
    <row r="15" spans="1:12" ht="15.75" customHeight="1" x14ac:dyDescent="0.25">
      <c r="A15" s="20">
        <v>46177</v>
      </c>
      <c r="B15" s="43" t="s">
        <v>241</v>
      </c>
      <c r="C15" s="21" t="s">
        <v>75</v>
      </c>
      <c r="D15" s="21" t="s">
        <v>26</v>
      </c>
      <c r="E15" s="22">
        <v>17000</v>
      </c>
      <c r="F15" s="22">
        <v>21000</v>
      </c>
      <c r="G15" s="21">
        <f>1.2+1.3</f>
        <v>2.5</v>
      </c>
      <c r="H15" s="22">
        <f t="shared" si="0"/>
        <v>52500</v>
      </c>
      <c r="I15" s="22">
        <f t="shared" si="1"/>
        <v>10000</v>
      </c>
      <c r="J15" s="22">
        <f t="shared" si="2"/>
        <v>5000</v>
      </c>
      <c r="K15" s="52"/>
      <c r="L15" s="52"/>
    </row>
    <row r="16" spans="1:12" ht="15.75" customHeight="1" x14ac:dyDescent="0.25">
      <c r="A16" s="20">
        <v>46177</v>
      </c>
      <c r="B16" s="43" t="s">
        <v>48</v>
      </c>
      <c r="C16" s="21" t="s">
        <v>75</v>
      </c>
      <c r="D16" s="21" t="s">
        <v>14</v>
      </c>
      <c r="E16" s="22">
        <v>25000</v>
      </c>
      <c r="F16" s="22">
        <v>29000</v>
      </c>
      <c r="G16" s="21">
        <v>1.8</v>
      </c>
      <c r="H16" s="22">
        <f t="shared" si="0"/>
        <v>52200</v>
      </c>
      <c r="I16" s="22">
        <f t="shared" si="1"/>
        <v>7200</v>
      </c>
      <c r="J16" s="22">
        <f t="shared" si="2"/>
        <v>3600</v>
      </c>
      <c r="K16" s="21" t="s">
        <v>39</v>
      </c>
      <c r="L16" s="23" t="s">
        <v>221</v>
      </c>
    </row>
    <row r="17" spans="1:12" ht="15.75" customHeight="1" x14ac:dyDescent="0.25">
      <c r="A17" s="20">
        <v>46177</v>
      </c>
      <c r="B17" s="43" t="s">
        <v>69</v>
      </c>
      <c r="C17" s="21" t="s">
        <v>75</v>
      </c>
      <c r="D17" s="21" t="s">
        <v>28</v>
      </c>
      <c r="E17" s="22">
        <v>15000</v>
      </c>
      <c r="F17" s="22">
        <v>18000</v>
      </c>
      <c r="G17" s="21">
        <f>4.9+4.9</f>
        <v>9.8000000000000007</v>
      </c>
      <c r="H17" s="22">
        <f t="shared" si="0"/>
        <v>176400</v>
      </c>
      <c r="I17" s="22">
        <f t="shared" si="1"/>
        <v>29400</v>
      </c>
      <c r="J17" s="22">
        <f t="shared" si="2"/>
        <v>14700</v>
      </c>
      <c r="K17" s="51" t="s">
        <v>41</v>
      </c>
      <c r="L17" s="53" t="s">
        <v>230</v>
      </c>
    </row>
    <row r="18" spans="1:12" ht="15.75" customHeight="1" x14ac:dyDescent="0.25">
      <c r="A18" s="20">
        <v>46177</v>
      </c>
      <c r="B18" s="43" t="s">
        <v>69</v>
      </c>
      <c r="C18" s="21" t="s">
        <v>75</v>
      </c>
      <c r="D18" s="21" t="s">
        <v>8</v>
      </c>
      <c r="E18" s="22">
        <v>18000</v>
      </c>
      <c r="F18" s="22">
        <v>21000</v>
      </c>
      <c r="G18" s="21">
        <f>2.4+2.5+2.4</f>
        <v>7.3000000000000007</v>
      </c>
      <c r="H18" s="22">
        <f t="shared" si="0"/>
        <v>153300.00000000003</v>
      </c>
      <c r="I18" s="22">
        <f t="shared" si="1"/>
        <v>21900.000000000029</v>
      </c>
      <c r="J18" s="22">
        <f t="shared" si="2"/>
        <v>10950.000000000015</v>
      </c>
      <c r="K18" s="52"/>
      <c r="L18" s="52"/>
    </row>
    <row r="19" spans="1:12" ht="15.75" customHeight="1" x14ac:dyDescent="0.25">
      <c r="A19" s="20">
        <v>46177</v>
      </c>
      <c r="B19" s="43" t="s">
        <v>69</v>
      </c>
      <c r="C19" s="21" t="s">
        <v>75</v>
      </c>
      <c r="D19" s="21" t="s">
        <v>14</v>
      </c>
      <c r="E19" s="22">
        <v>25000</v>
      </c>
      <c r="F19" s="22">
        <v>27500</v>
      </c>
      <c r="G19" s="21">
        <f>1.8+1.8+1.7+1.7</f>
        <v>7</v>
      </c>
      <c r="H19" s="22">
        <f t="shared" si="0"/>
        <v>192500</v>
      </c>
      <c r="I19" s="22">
        <f t="shared" si="1"/>
        <v>17500</v>
      </c>
      <c r="J19" s="22">
        <f t="shared" si="2"/>
        <v>8750</v>
      </c>
      <c r="K19" s="52"/>
      <c r="L19" s="52"/>
    </row>
    <row r="20" spans="1:12" ht="15.75" customHeight="1" x14ac:dyDescent="0.25">
      <c r="A20" s="20">
        <v>46177</v>
      </c>
      <c r="B20" s="43" t="s">
        <v>69</v>
      </c>
      <c r="C20" s="21" t="s">
        <v>75</v>
      </c>
      <c r="D20" s="21" t="s">
        <v>26</v>
      </c>
      <c r="E20" s="22">
        <v>17000</v>
      </c>
      <c r="F20" s="22">
        <v>21000</v>
      </c>
      <c r="G20" s="21">
        <f>1.4+1.3</f>
        <v>2.7</v>
      </c>
      <c r="H20" s="22">
        <f t="shared" si="0"/>
        <v>56700.000000000007</v>
      </c>
      <c r="I20" s="22">
        <f t="shared" si="1"/>
        <v>10800.000000000007</v>
      </c>
      <c r="J20" s="22">
        <f t="shared" si="2"/>
        <v>5400.0000000000036</v>
      </c>
      <c r="K20" s="52"/>
      <c r="L20" s="52"/>
    </row>
    <row r="21" spans="1:12" ht="15.75" customHeight="1" x14ac:dyDescent="0.25">
      <c r="A21" s="20">
        <v>46177</v>
      </c>
      <c r="B21" s="43" t="s">
        <v>57</v>
      </c>
      <c r="C21" s="21" t="s">
        <v>75</v>
      </c>
      <c r="D21" s="21" t="s">
        <v>220</v>
      </c>
      <c r="E21" s="22">
        <v>18000</v>
      </c>
      <c r="F21" s="22">
        <v>23000</v>
      </c>
      <c r="G21" s="21">
        <v>1</v>
      </c>
      <c r="H21" s="22">
        <f t="shared" si="0"/>
        <v>23000</v>
      </c>
      <c r="I21" s="22">
        <f t="shared" si="1"/>
        <v>5000</v>
      </c>
      <c r="J21" s="22">
        <f t="shared" si="2"/>
        <v>2500</v>
      </c>
      <c r="K21" s="21" t="s">
        <v>39</v>
      </c>
      <c r="L21" s="23" t="s">
        <v>221</v>
      </c>
    </row>
    <row r="22" spans="1:12" ht="15.75" customHeight="1" x14ac:dyDescent="0.25">
      <c r="A22" s="20">
        <v>46178</v>
      </c>
      <c r="B22" s="43" t="s">
        <v>226</v>
      </c>
      <c r="C22" s="21" t="s">
        <v>75</v>
      </c>
      <c r="D22" s="21" t="s">
        <v>28</v>
      </c>
      <c r="E22" s="22">
        <v>15000</v>
      </c>
      <c r="F22" s="22">
        <v>20000</v>
      </c>
      <c r="G22" s="21">
        <v>4.5999999999999996</v>
      </c>
      <c r="H22" s="22">
        <f t="shared" si="0"/>
        <v>92000</v>
      </c>
      <c r="I22" s="22">
        <f t="shared" si="1"/>
        <v>23000</v>
      </c>
      <c r="J22" s="22">
        <f t="shared" si="2"/>
        <v>11500</v>
      </c>
      <c r="K22" s="51" t="s">
        <v>41</v>
      </c>
      <c r="L22" s="53" t="s">
        <v>221</v>
      </c>
    </row>
    <row r="23" spans="1:12" ht="15.75" customHeight="1" x14ac:dyDescent="0.25">
      <c r="A23" s="20">
        <v>46178</v>
      </c>
      <c r="B23" s="43" t="s">
        <v>226</v>
      </c>
      <c r="C23" s="21" t="s">
        <v>75</v>
      </c>
      <c r="D23" s="21" t="s">
        <v>220</v>
      </c>
      <c r="E23" s="22">
        <v>18000</v>
      </c>
      <c r="F23" s="22">
        <v>23000</v>
      </c>
      <c r="G23" s="21">
        <f>0.8+0.9+0.9</f>
        <v>2.6</v>
      </c>
      <c r="H23" s="22">
        <f t="shared" si="0"/>
        <v>59800</v>
      </c>
      <c r="I23" s="22">
        <f t="shared" si="1"/>
        <v>13000</v>
      </c>
      <c r="J23" s="22">
        <f t="shared" si="2"/>
        <v>6500</v>
      </c>
      <c r="K23" s="52"/>
      <c r="L23" s="52"/>
    </row>
    <row r="24" spans="1:12" ht="15.75" customHeight="1" x14ac:dyDescent="0.25">
      <c r="A24" s="20">
        <v>46178</v>
      </c>
      <c r="B24" s="43" t="s">
        <v>226</v>
      </c>
      <c r="C24" s="21" t="s">
        <v>75</v>
      </c>
      <c r="D24" s="21" t="s">
        <v>8</v>
      </c>
      <c r="E24" s="22">
        <v>18000</v>
      </c>
      <c r="F24" s="22">
        <v>22000</v>
      </c>
      <c r="G24" s="21">
        <v>2.2999999999999998</v>
      </c>
      <c r="H24" s="22">
        <f t="shared" si="0"/>
        <v>50599.999999999993</v>
      </c>
      <c r="I24" s="22">
        <f t="shared" si="1"/>
        <v>9199.9999999999927</v>
      </c>
      <c r="J24" s="22">
        <f t="shared" si="2"/>
        <v>4599.9999999999964</v>
      </c>
      <c r="K24" s="52"/>
      <c r="L24" s="52"/>
    </row>
    <row r="25" spans="1:12" x14ac:dyDescent="0.25">
      <c r="A25" s="20">
        <v>46178</v>
      </c>
      <c r="B25" s="43" t="s">
        <v>70</v>
      </c>
      <c r="C25" s="21" t="s">
        <v>75</v>
      </c>
      <c r="D25" s="21" t="s">
        <v>14</v>
      </c>
      <c r="E25" s="22">
        <v>25000</v>
      </c>
      <c r="F25" s="22">
        <v>29000</v>
      </c>
      <c r="G25" s="21">
        <v>10.4</v>
      </c>
      <c r="H25" s="22">
        <f t="shared" si="0"/>
        <v>301600</v>
      </c>
      <c r="I25" s="22">
        <f t="shared" si="1"/>
        <v>41600</v>
      </c>
      <c r="J25" s="22">
        <f t="shared" si="2"/>
        <v>20800</v>
      </c>
      <c r="K25" s="51" t="s">
        <v>39</v>
      </c>
      <c r="L25" s="53" t="s">
        <v>221</v>
      </c>
    </row>
    <row r="26" spans="1:12" x14ac:dyDescent="0.25">
      <c r="A26" s="20">
        <v>46178</v>
      </c>
      <c r="B26" s="43" t="s">
        <v>70</v>
      </c>
      <c r="C26" s="21" t="s">
        <v>75</v>
      </c>
      <c r="D26" s="21" t="s">
        <v>28</v>
      </c>
      <c r="E26" s="22">
        <v>15000</v>
      </c>
      <c r="F26" s="22">
        <v>20000</v>
      </c>
      <c r="G26" s="21">
        <v>4.5</v>
      </c>
      <c r="H26" s="22">
        <f t="shared" si="0"/>
        <v>90000</v>
      </c>
      <c r="I26" s="22">
        <f t="shared" si="1"/>
        <v>22500</v>
      </c>
      <c r="J26" s="22">
        <f t="shared" si="2"/>
        <v>11250</v>
      </c>
      <c r="K26" s="52"/>
      <c r="L26" s="52"/>
    </row>
    <row r="27" spans="1:12" x14ac:dyDescent="0.25">
      <c r="A27" s="20">
        <v>46178</v>
      </c>
      <c r="B27" s="43" t="s">
        <v>70</v>
      </c>
      <c r="C27" s="21" t="s">
        <v>75</v>
      </c>
      <c r="D27" s="21" t="s">
        <v>8</v>
      </c>
      <c r="E27" s="22">
        <v>18000</v>
      </c>
      <c r="F27" s="22">
        <v>22000</v>
      </c>
      <c r="G27" s="21">
        <v>2.2999999999999998</v>
      </c>
      <c r="H27" s="22">
        <f t="shared" si="0"/>
        <v>50599.999999999993</v>
      </c>
      <c r="I27" s="22">
        <f t="shared" si="1"/>
        <v>9199.9999999999927</v>
      </c>
      <c r="J27" s="22">
        <f t="shared" si="2"/>
        <v>4599.9999999999964</v>
      </c>
      <c r="K27" s="52"/>
      <c r="L27" s="52"/>
    </row>
    <row r="28" spans="1:12" x14ac:dyDescent="0.25">
      <c r="A28" s="20">
        <v>46178</v>
      </c>
      <c r="B28" s="43" t="s">
        <v>71</v>
      </c>
      <c r="C28" s="21" t="s">
        <v>75</v>
      </c>
      <c r="D28" s="21" t="s">
        <v>14</v>
      </c>
      <c r="E28" s="22">
        <v>25000</v>
      </c>
      <c r="F28" s="22">
        <v>29000</v>
      </c>
      <c r="G28" s="21">
        <v>7.5</v>
      </c>
      <c r="H28" s="22">
        <f t="shared" si="0"/>
        <v>217500</v>
      </c>
      <c r="I28" s="22">
        <f t="shared" si="1"/>
        <v>30000</v>
      </c>
      <c r="J28" s="22">
        <f t="shared" si="2"/>
        <v>15000</v>
      </c>
      <c r="K28" s="29" t="s">
        <v>41</v>
      </c>
      <c r="L28" s="30" t="s">
        <v>230</v>
      </c>
    </row>
    <row r="29" spans="1:12" x14ac:dyDescent="0.25">
      <c r="A29" s="24" t="s">
        <v>223</v>
      </c>
      <c r="B29" s="45"/>
      <c r="C29" s="25"/>
      <c r="D29" s="25"/>
      <c r="E29" s="25"/>
      <c r="F29" s="26"/>
      <c r="G29" s="24">
        <f>SUM(G2:G28)</f>
        <v>104.59999999999998</v>
      </c>
      <c r="H29" s="27"/>
      <c r="I29" s="27"/>
      <c r="J29" s="28">
        <f>SUM(J2:J28)</f>
        <v>207400</v>
      </c>
      <c r="K29" s="27"/>
      <c r="L29" s="24"/>
    </row>
    <row r="30" spans="1:12" x14ac:dyDescent="0.25">
      <c r="A30" s="20">
        <v>46182</v>
      </c>
      <c r="B30" s="43" t="s">
        <v>226</v>
      </c>
      <c r="C30" s="21" t="s">
        <v>75</v>
      </c>
      <c r="D30" s="21" t="s">
        <v>28</v>
      </c>
      <c r="E30" s="22">
        <v>15000</v>
      </c>
      <c r="F30" s="22">
        <v>20000</v>
      </c>
      <c r="G30" s="21">
        <f>2.5+3.3+3.8</f>
        <v>9.6</v>
      </c>
      <c r="H30" s="22">
        <f t="shared" ref="H30:H51" si="3">F30*G30</f>
        <v>192000</v>
      </c>
      <c r="I30" s="22">
        <f t="shared" ref="I30:I51" si="4">H30-(G30*E30)</f>
        <v>48000</v>
      </c>
      <c r="J30" s="22">
        <f t="shared" ref="J30:J51" si="5">I30/2</f>
        <v>24000</v>
      </c>
      <c r="K30" s="21" t="s">
        <v>41</v>
      </c>
      <c r="L30" s="30" t="s">
        <v>221</v>
      </c>
    </row>
    <row r="31" spans="1:12" x14ac:dyDescent="0.25">
      <c r="A31" s="20">
        <v>46182</v>
      </c>
      <c r="B31" s="43" t="s">
        <v>67</v>
      </c>
      <c r="C31" s="21" t="s">
        <v>75</v>
      </c>
      <c r="D31" s="21" t="s">
        <v>242</v>
      </c>
      <c r="E31" s="22">
        <v>19000</v>
      </c>
      <c r="F31" s="22">
        <v>21500</v>
      </c>
      <c r="G31" s="21">
        <f>1+1.6</f>
        <v>2.6</v>
      </c>
      <c r="H31" s="22">
        <f t="shared" si="3"/>
        <v>55900</v>
      </c>
      <c r="I31" s="22">
        <f t="shared" si="4"/>
        <v>6500</v>
      </c>
      <c r="J31" s="22">
        <f t="shared" si="5"/>
        <v>3250</v>
      </c>
      <c r="K31" s="21" t="s">
        <v>39</v>
      </c>
      <c r="L31" s="30" t="s">
        <v>221</v>
      </c>
    </row>
    <row r="32" spans="1:12" x14ac:dyDescent="0.25">
      <c r="A32" s="20">
        <v>46182</v>
      </c>
      <c r="B32" s="43" t="s">
        <v>72</v>
      </c>
      <c r="C32" s="21" t="s">
        <v>75</v>
      </c>
      <c r="D32" s="21" t="s">
        <v>220</v>
      </c>
      <c r="E32" s="22">
        <v>18000</v>
      </c>
      <c r="F32" s="22">
        <v>23000</v>
      </c>
      <c r="G32" s="21">
        <f>0.7+0.8+0.9</f>
        <v>2.4</v>
      </c>
      <c r="H32" s="22">
        <f t="shared" si="3"/>
        <v>55200</v>
      </c>
      <c r="I32" s="22">
        <f t="shared" si="4"/>
        <v>12000</v>
      </c>
      <c r="J32" s="22">
        <f t="shared" si="5"/>
        <v>6000</v>
      </c>
      <c r="K32" s="21" t="s">
        <v>39</v>
      </c>
      <c r="L32" s="23" t="s">
        <v>221</v>
      </c>
    </row>
    <row r="33" spans="1:12" x14ac:dyDescent="0.25">
      <c r="A33" s="20">
        <v>46182</v>
      </c>
      <c r="B33" s="43" t="s">
        <v>55</v>
      </c>
      <c r="C33" s="21" t="s">
        <v>75</v>
      </c>
      <c r="D33" s="21" t="s">
        <v>243</v>
      </c>
      <c r="E33" s="22">
        <v>25000</v>
      </c>
      <c r="F33" s="22">
        <v>29000</v>
      </c>
      <c r="G33" s="21">
        <f>1.5+1.4</f>
        <v>2.9</v>
      </c>
      <c r="H33" s="22">
        <f t="shared" si="3"/>
        <v>84100</v>
      </c>
      <c r="I33" s="22">
        <f t="shared" si="4"/>
        <v>11600</v>
      </c>
      <c r="J33" s="22">
        <f t="shared" si="5"/>
        <v>5800</v>
      </c>
      <c r="K33" s="21" t="s">
        <v>39</v>
      </c>
      <c r="L33" s="23" t="s">
        <v>244</v>
      </c>
    </row>
    <row r="34" spans="1:12" x14ac:dyDescent="0.25">
      <c r="A34" s="20">
        <v>46183</v>
      </c>
      <c r="B34" s="43" t="s">
        <v>73</v>
      </c>
      <c r="C34" s="21" t="s">
        <v>75</v>
      </c>
      <c r="D34" s="21" t="s">
        <v>220</v>
      </c>
      <c r="E34" s="22">
        <v>18000</v>
      </c>
      <c r="F34" s="22">
        <v>23000</v>
      </c>
      <c r="G34" s="21">
        <f>0.8+0.8</f>
        <v>1.6</v>
      </c>
      <c r="H34" s="22">
        <f t="shared" si="3"/>
        <v>36800</v>
      </c>
      <c r="I34" s="22">
        <f t="shared" si="4"/>
        <v>8000</v>
      </c>
      <c r="J34" s="22">
        <f t="shared" si="5"/>
        <v>4000</v>
      </c>
      <c r="K34" s="51" t="s">
        <v>41</v>
      </c>
      <c r="L34" s="53" t="s">
        <v>221</v>
      </c>
    </row>
    <row r="35" spans="1:12" x14ac:dyDescent="0.25">
      <c r="A35" s="20">
        <v>46183</v>
      </c>
      <c r="B35" s="43" t="s">
        <v>73</v>
      </c>
      <c r="C35" s="21" t="s">
        <v>75</v>
      </c>
      <c r="D35" s="21" t="s">
        <v>26</v>
      </c>
      <c r="E35" s="22">
        <v>17000</v>
      </c>
      <c r="F35" s="22">
        <v>23000</v>
      </c>
      <c r="G35" s="21">
        <f>1.3+1.2</f>
        <v>2.5</v>
      </c>
      <c r="H35" s="22">
        <f t="shared" si="3"/>
        <v>57500</v>
      </c>
      <c r="I35" s="22">
        <f t="shared" si="4"/>
        <v>15000</v>
      </c>
      <c r="J35" s="22">
        <f t="shared" si="5"/>
        <v>7500</v>
      </c>
      <c r="K35" s="52"/>
      <c r="L35" s="52"/>
    </row>
    <row r="36" spans="1:12" x14ac:dyDescent="0.25">
      <c r="A36" s="20">
        <v>46183</v>
      </c>
      <c r="B36" s="43" t="s">
        <v>60</v>
      </c>
      <c r="C36" s="21" t="s">
        <v>75</v>
      </c>
      <c r="D36" s="21" t="s">
        <v>28</v>
      </c>
      <c r="E36" s="22">
        <v>15000</v>
      </c>
      <c r="F36" s="22">
        <v>20000</v>
      </c>
      <c r="G36" s="21">
        <v>4.3</v>
      </c>
      <c r="H36" s="22">
        <f t="shared" si="3"/>
        <v>86000</v>
      </c>
      <c r="I36" s="22">
        <f t="shared" si="4"/>
        <v>21500</v>
      </c>
      <c r="J36" s="22">
        <f t="shared" si="5"/>
        <v>10750</v>
      </c>
      <c r="K36" s="51" t="s">
        <v>41</v>
      </c>
      <c r="L36" s="53" t="s">
        <v>245</v>
      </c>
    </row>
    <row r="37" spans="1:12" x14ac:dyDescent="0.25">
      <c r="A37" s="20">
        <v>46183</v>
      </c>
      <c r="B37" s="43" t="s">
        <v>60</v>
      </c>
      <c r="C37" s="21" t="s">
        <v>75</v>
      </c>
      <c r="D37" s="21" t="s">
        <v>231</v>
      </c>
      <c r="E37" s="22">
        <v>16500</v>
      </c>
      <c r="F37" s="22">
        <v>19500</v>
      </c>
      <c r="G37" s="21">
        <v>4.2</v>
      </c>
      <c r="H37" s="22">
        <f t="shared" si="3"/>
        <v>81900</v>
      </c>
      <c r="I37" s="22">
        <f t="shared" si="4"/>
        <v>12600</v>
      </c>
      <c r="J37" s="22">
        <f t="shared" si="5"/>
        <v>6300</v>
      </c>
      <c r="K37" s="52"/>
      <c r="L37" s="52"/>
    </row>
    <row r="38" spans="1:12" x14ac:dyDescent="0.25">
      <c r="A38" s="20">
        <v>46183</v>
      </c>
      <c r="B38" s="43" t="s">
        <v>60</v>
      </c>
      <c r="C38" s="21" t="s">
        <v>75</v>
      </c>
      <c r="D38" s="21" t="s">
        <v>20</v>
      </c>
      <c r="E38" s="22">
        <v>17000</v>
      </c>
      <c r="F38" s="22">
        <v>22000</v>
      </c>
      <c r="G38" s="21">
        <v>1.6</v>
      </c>
      <c r="H38" s="22">
        <f t="shared" si="3"/>
        <v>35200</v>
      </c>
      <c r="I38" s="22">
        <f t="shared" si="4"/>
        <v>8000</v>
      </c>
      <c r="J38" s="22">
        <f t="shared" si="5"/>
        <v>4000</v>
      </c>
      <c r="K38" s="52"/>
      <c r="L38" s="52"/>
    </row>
    <row r="39" spans="1:12" x14ac:dyDescent="0.25">
      <c r="A39" s="20">
        <v>46184</v>
      </c>
      <c r="B39" s="43" t="s">
        <v>48</v>
      </c>
      <c r="C39" s="21" t="s">
        <v>75</v>
      </c>
      <c r="D39" s="21" t="s">
        <v>243</v>
      </c>
      <c r="E39" s="22">
        <v>25000</v>
      </c>
      <c r="F39" s="22">
        <v>29000</v>
      </c>
      <c r="G39" s="21">
        <v>1.3</v>
      </c>
      <c r="H39" s="22">
        <f t="shared" si="3"/>
        <v>37700</v>
      </c>
      <c r="I39" s="22">
        <f t="shared" si="4"/>
        <v>5200</v>
      </c>
      <c r="J39" s="22">
        <f t="shared" si="5"/>
        <v>2600</v>
      </c>
      <c r="K39" s="21" t="s">
        <v>39</v>
      </c>
      <c r="L39" s="23" t="s">
        <v>221</v>
      </c>
    </row>
    <row r="40" spans="1:12" x14ac:dyDescent="0.25">
      <c r="A40" s="20">
        <v>46184</v>
      </c>
      <c r="B40" s="43" t="s">
        <v>57</v>
      </c>
      <c r="C40" s="21" t="s">
        <v>75</v>
      </c>
      <c r="D40" s="21" t="s">
        <v>246</v>
      </c>
      <c r="E40" s="22">
        <v>19000</v>
      </c>
      <c r="F40" s="22">
        <v>21500</v>
      </c>
      <c r="G40" s="21">
        <v>1.3</v>
      </c>
      <c r="H40" s="22">
        <f t="shared" si="3"/>
        <v>27950</v>
      </c>
      <c r="I40" s="22">
        <f t="shared" si="4"/>
        <v>3250</v>
      </c>
      <c r="J40" s="22">
        <f t="shared" si="5"/>
        <v>1625</v>
      </c>
      <c r="K40" s="51" t="s">
        <v>39</v>
      </c>
      <c r="L40" s="53" t="s">
        <v>221</v>
      </c>
    </row>
    <row r="41" spans="1:12" x14ac:dyDescent="0.25">
      <c r="A41" s="20">
        <v>46184</v>
      </c>
      <c r="B41" s="43" t="s">
        <v>57</v>
      </c>
      <c r="C41" s="21" t="s">
        <v>75</v>
      </c>
      <c r="D41" s="21" t="s">
        <v>220</v>
      </c>
      <c r="E41" s="22">
        <v>18000</v>
      </c>
      <c r="F41" s="22">
        <v>23000</v>
      </c>
      <c r="G41" s="21">
        <f>0.9+1+1.1+1</f>
        <v>4</v>
      </c>
      <c r="H41" s="22">
        <f t="shared" si="3"/>
        <v>92000</v>
      </c>
      <c r="I41" s="22">
        <f t="shared" si="4"/>
        <v>20000</v>
      </c>
      <c r="J41" s="22">
        <f t="shared" si="5"/>
        <v>10000</v>
      </c>
      <c r="K41" s="52"/>
      <c r="L41" s="52"/>
    </row>
    <row r="42" spans="1:12" x14ac:dyDescent="0.25">
      <c r="A42" s="20">
        <v>46184</v>
      </c>
      <c r="B42" s="43" t="s">
        <v>54</v>
      </c>
      <c r="C42" s="21" t="s">
        <v>75</v>
      </c>
      <c r="D42" s="21" t="s">
        <v>231</v>
      </c>
      <c r="E42" s="22">
        <v>16500</v>
      </c>
      <c r="F42" s="22">
        <v>19500</v>
      </c>
      <c r="G42" s="21">
        <v>3.8</v>
      </c>
      <c r="H42" s="22">
        <f t="shared" si="3"/>
        <v>74100</v>
      </c>
      <c r="I42" s="22">
        <f t="shared" si="4"/>
        <v>11400</v>
      </c>
      <c r="J42" s="22">
        <f t="shared" si="5"/>
        <v>5700</v>
      </c>
      <c r="K42" s="21" t="s">
        <v>39</v>
      </c>
      <c r="L42" s="23" t="s">
        <v>221</v>
      </c>
    </row>
    <row r="43" spans="1:12" x14ac:dyDescent="0.25">
      <c r="A43" s="20">
        <v>46184</v>
      </c>
      <c r="B43" s="43" t="s">
        <v>74</v>
      </c>
      <c r="C43" s="21" t="s">
        <v>75</v>
      </c>
      <c r="D43" s="21" t="s">
        <v>28</v>
      </c>
      <c r="E43" s="22">
        <v>15000</v>
      </c>
      <c r="F43" s="46">
        <v>20000</v>
      </c>
      <c r="G43" s="21">
        <v>3.2</v>
      </c>
      <c r="H43" s="22">
        <f t="shared" si="3"/>
        <v>64000</v>
      </c>
      <c r="I43" s="22">
        <f t="shared" si="4"/>
        <v>16000</v>
      </c>
      <c r="J43" s="22">
        <f t="shared" si="5"/>
        <v>8000</v>
      </c>
      <c r="K43" s="51" t="s">
        <v>41</v>
      </c>
      <c r="L43" s="53" t="s">
        <v>247</v>
      </c>
    </row>
    <row r="44" spans="1:12" x14ac:dyDescent="0.25">
      <c r="A44" s="20">
        <v>46184</v>
      </c>
      <c r="B44" s="43" t="s">
        <v>74</v>
      </c>
      <c r="C44" s="21" t="s">
        <v>75</v>
      </c>
      <c r="D44" s="21" t="s">
        <v>243</v>
      </c>
      <c r="E44" s="22">
        <v>25000</v>
      </c>
      <c r="F44" s="22">
        <v>29000</v>
      </c>
      <c r="G44" s="21">
        <v>1.4</v>
      </c>
      <c r="H44" s="22">
        <f t="shared" si="3"/>
        <v>40600</v>
      </c>
      <c r="I44" s="22">
        <f t="shared" si="4"/>
        <v>5600</v>
      </c>
      <c r="J44" s="22">
        <f t="shared" si="5"/>
        <v>2800</v>
      </c>
      <c r="K44" s="52"/>
      <c r="L44" s="52"/>
    </row>
    <row r="45" spans="1:12" x14ac:dyDescent="0.25">
      <c r="A45" s="20">
        <v>46184</v>
      </c>
      <c r="B45" s="43" t="s">
        <v>74</v>
      </c>
      <c r="C45" s="21" t="s">
        <v>75</v>
      </c>
      <c r="D45" s="21" t="s">
        <v>220</v>
      </c>
      <c r="E45" s="22">
        <v>18000</v>
      </c>
      <c r="F45" s="22">
        <v>23000</v>
      </c>
      <c r="G45" s="21">
        <f>0.9+0.8</f>
        <v>1.7000000000000002</v>
      </c>
      <c r="H45" s="22">
        <f t="shared" si="3"/>
        <v>39100.000000000007</v>
      </c>
      <c r="I45" s="22">
        <f t="shared" si="4"/>
        <v>8500.0000000000036</v>
      </c>
      <c r="J45" s="22">
        <f t="shared" si="5"/>
        <v>4250.0000000000018</v>
      </c>
      <c r="K45" s="52"/>
      <c r="L45" s="52"/>
    </row>
    <row r="46" spans="1:12" x14ac:dyDescent="0.25">
      <c r="A46" s="20">
        <v>46185</v>
      </c>
      <c r="B46" s="43" t="s">
        <v>46</v>
      </c>
      <c r="C46" s="21" t="s">
        <v>75</v>
      </c>
      <c r="D46" s="21" t="s">
        <v>243</v>
      </c>
      <c r="E46" s="22">
        <v>25000</v>
      </c>
      <c r="F46" s="22">
        <v>29000</v>
      </c>
      <c r="G46" s="21">
        <f>1.5+1.5</f>
        <v>3</v>
      </c>
      <c r="H46" s="22">
        <f t="shared" si="3"/>
        <v>87000</v>
      </c>
      <c r="I46" s="22">
        <f t="shared" si="4"/>
        <v>12000</v>
      </c>
      <c r="J46" s="22">
        <f t="shared" si="5"/>
        <v>6000</v>
      </c>
      <c r="K46" s="51"/>
      <c r="L46" s="53"/>
    </row>
    <row r="47" spans="1:12" x14ac:dyDescent="0.25">
      <c r="A47" s="20">
        <v>46185</v>
      </c>
      <c r="B47" s="43" t="s">
        <v>46</v>
      </c>
      <c r="C47" s="21" t="s">
        <v>75</v>
      </c>
      <c r="D47" s="21" t="s">
        <v>220</v>
      </c>
      <c r="E47" s="22">
        <v>18000</v>
      </c>
      <c r="F47" s="22">
        <v>23000</v>
      </c>
      <c r="G47" s="21">
        <f>1+1</f>
        <v>2</v>
      </c>
      <c r="H47" s="22">
        <f t="shared" si="3"/>
        <v>46000</v>
      </c>
      <c r="I47" s="22">
        <f t="shared" si="4"/>
        <v>10000</v>
      </c>
      <c r="J47" s="22">
        <f t="shared" si="5"/>
        <v>5000</v>
      </c>
      <c r="K47" s="52"/>
      <c r="L47" s="52"/>
    </row>
    <row r="48" spans="1:12" x14ac:dyDescent="0.25">
      <c r="A48" s="20">
        <v>46185</v>
      </c>
      <c r="B48" s="43" t="s">
        <v>51</v>
      </c>
      <c r="C48" s="21" t="s">
        <v>75</v>
      </c>
      <c r="D48" s="21" t="s">
        <v>28</v>
      </c>
      <c r="E48" s="22">
        <v>15000</v>
      </c>
      <c r="F48" s="22">
        <v>20000</v>
      </c>
      <c r="G48" s="21">
        <v>4.5999999999999996</v>
      </c>
      <c r="H48" s="22">
        <f t="shared" si="3"/>
        <v>92000</v>
      </c>
      <c r="I48" s="22">
        <f t="shared" si="4"/>
        <v>23000</v>
      </c>
      <c r="J48" s="22">
        <f t="shared" si="5"/>
        <v>11500</v>
      </c>
      <c r="K48" s="51"/>
      <c r="L48" s="53"/>
    </row>
    <row r="49" spans="1:12" x14ac:dyDescent="0.25">
      <c r="A49" s="20">
        <v>46185</v>
      </c>
      <c r="B49" s="43" t="s">
        <v>51</v>
      </c>
      <c r="C49" s="21" t="s">
        <v>75</v>
      </c>
      <c r="D49" s="21" t="s">
        <v>8</v>
      </c>
      <c r="E49" s="22">
        <v>18000</v>
      </c>
      <c r="F49" s="22">
        <v>22000</v>
      </c>
      <c r="G49" s="21">
        <v>2.6</v>
      </c>
      <c r="H49" s="22">
        <f t="shared" si="3"/>
        <v>57200</v>
      </c>
      <c r="I49" s="22">
        <f t="shared" si="4"/>
        <v>10400</v>
      </c>
      <c r="J49" s="22">
        <f t="shared" si="5"/>
        <v>5200</v>
      </c>
      <c r="K49" s="52"/>
      <c r="L49" s="52"/>
    </row>
    <row r="50" spans="1:12" x14ac:dyDescent="0.25">
      <c r="A50" s="20">
        <v>46185</v>
      </c>
      <c r="B50" s="43" t="s">
        <v>51</v>
      </c>
      <c r="C50" s="21" t="s">
        <v>75</v>
      </c>
      <c r="D50" s="21" t="s">
        <v>248</v>
      </c>
      <c r="E50" s="22">
        <v>14000</v>
      </c>
      <c r="F50" s="22">
        <v>16000</v>
      </c>
      <c r="G50" s="21">
        <v>1</v>
      </c>
      <c r="H50" s="22">
        <f t="shared" si="3"/>
        <v>16000</v>
      </c>
      <c r="I50" s="22">
        <f t="shared" si="4"/>
        <v>2000</v>
      </c>
      <c r="J50" s="22">
        <f t="shared" si="5"/>
        <v>1000</v>
      </c>
      <c r="K50" s="52"/>
      <c r="L50" s="52"/>
    </row>
    <row r="51" spans="1:12" x14ac:dyDescent="0.25">
      <c r="A51" s="20">
        <v>46185</v>
      </c>
      <c r="B51" s="43" t="s">
        <v>75</v>
      </c>
      <c r="C51" s="21" t="s">
        <v>75</v>
      </c>
      <c r="D51" s="21" t="s">
        <v>26</v>
      </c>
      <c r="E51" s="22">
        <v>17000</v>
      </c>
      <c r="F51" s="22">
        <v>23000</v>
      </c>
      <c r="G51" s="21">
        <v>1.2</v>
      </c>
      <c r="H51" s="22">
        <f t="shared" si="3"/>
        <v>27600</v>
      </c>
      <c r="I51" s="22">
        <f t="shared" si="4"/>
        <v>7200</v>
      </c>
      <c r="J51" s="22">
        <f t="shared" si="5"/>
        <v>3600</v>
      </c>
      <c r="K51" s="29"/>
      <c r="L51" s="30"/>
    </row>
    <row r="52" spans="1:12" x14ac:dyDescent="0.25">
      <c r="A52" s="24" t="s">
        <v>223</v>
      </c>
      <c r="B52" s="25"/>
      <c r="C52" s="25"/>
      <c r="D52" s="25"/>
      <c r="E52" s="25"/>
      <c r="F52" s="26"/>
      <c r="G52" s="24">
        <f>SUM(G30:G51)</f>
        <v>62.800000000000004</v>
      </c>
      <c r="H52" s="27"/>
      <c r="I52" s="27"/>
      <c r="J52" s="28">
        <f>SUM(J30:J51)-(E51*G51)</f>
        <v>118475</v>
      </c>
      <c r="K52" s="25"/>
      <c r="L52" s="27"/>
    </row>
    <row r="53" spans="1:12" x14ac:dyDescent="0.25">
      <c r="A53" s="20">
        <v>46189</v>
      </c>
      <c r="B53" s="43" t="s">
        <v>76</v>
      </c>
      <c r="C53" s="21" t="s">
        <v>75</v>
      </c>
      <c r="D53" s="21" t="s">
        <v>220</v>
      </c>
      <c r="E53" s="22">
        <v>18000</v>
      </c>
      <c r="F53" s="22">
        <v>23000</v>
      </c>
      <c r="G53" s="21">
        <v>0.8</v>
      </c>
      <c r="H53" s="22">
        <f t="shared" ref="H53:H70" si="6">F53*G53</f>
        <v>18400</v>
      </c>
      <c r="I53" s="22">
        <f t="shared" ref="I53:I70" si="7">H53-(G53*E53)</f>
        <v>4000</v>
      </c>
      <c r="J53" s="22">
        <f t="shared" ref="J53:J70" si="8">I53/2</f>
        <v>2000</v>
      </c>
      <c r="K53" s="51" t="s">
        <v>39</v>
      </c>
      <c r="L53" s="53" t="s">
        <v>221</v>
      </c>
    </row>
    <row r="54" spans="1:12" x14ac:dyDescent="0.25">
      <c r="A54" s="20">
        <v>46189</v>
      </c>
      <c r="B54" s="43" t="s">
        <v>76</v>
      </c>
      <c r="C54" s="21" t="s">
        <v>75</v>
      </c>
      <c r="D54" s="21" t="s">
        <v>248</v>
      </c>
      <c r="E54" s="22">
        <v>14000</v>
      </c>
      <c r="F54" s="22">
        <v>16000</v>
      </c>
      <c r="G54" s="21">
        <v>1.2150000000000001</v>
      </c>
      <c r="H54" s="22">
        <f t="shared" si="6"/>
        <v>19440</v>
      </c>
      <c r="I54" s="22">
        <f t="shared" si="7"/>
        <v>2430</v>
      </c>
      <c r="J54" s="22">
        <f t="shared" si="8"/>
        <v>1215</v>
      </c>
      <c r="K54" s="52"/>
      <c r="L54" s="52"/>
    </row>
    <row r="55" spans="1:12" x14ac:dyDescent="0.25">
      <c r="A55" s="20">
        <v>46189</v>
      </c>
      <c r="B55" s="43" t="s">
        <v>76</v>
      </c>
      <c r="C55" s="21" t="s">
        <v>75</v>
      </c>
      <c r="D55" s="21" t="s">
        <v>246</v>
      </c>
      <c r="E55" s="22">
        <v>19000</v>
      </c>
      <c r="F55" s="22">
        <v>22000</v>
      </c>
      <c r="G55" s="21">
        <v>1.125</v>
      </c>
      <c r="H55" s="22">
        <f t="shared" si="6"/>
        <v>24750</v>
      </c>
      <c r="I55" s="22">
        <f t="shared" si="7"/>
        <v>3375</v>
      </c>
      <c r="J55" s="22">
        <f t="shared" si="8"/>
        <v>1687.5</v>
      </c>
      <c r="K55" s="52"/>
      <c r="L55" s="52"/>
    </row>
    <row r="56" spans="1:12" x14ac:dyDescent="0.25">
      <c r="A56" s="20">
        <v>46189</v>
      </c>
      <c r="B56" s="43" t="s">
        <v>77</v>
      </c>
      <c r="C56" s="21" t="s">
        <v>75</v>
      </c>
      <c r="D56" s="21" t="s">
        <v>14</v>
      </c>
      <c r="E56" s="22">
        <v>25000</v>
      </c>
      <c r="F56" s="22">
        <v>29000</v>
      </c>
      <c r="G56" s="21">
        <f>1.5+1.5</f>
        <v>3</v>
      </c>
      <c r="H56" s="22">
        <f t="shared" si="6"/>
        <v>87000</v>
      </c>
      <c r="I56" s="22">
        <f t="shared" si="7"/>
        <v>12000</v>
      </c>
      <c r="J56" s="22">
        <f t="shared" si="8"/>
        <v>6000</v>
      </c>
      <c r="K56" s="51" t="s">
        <v>39</v>
      </c>
      <c r="L56" s="53" t="s">
        <v>221</v>
      </c>
    </row>
    <row r="57" spans="1:12" x14ac:dyDescent="0.25">
      <c r="A57" s="20">
        <v>46189</v>
      </c>
      <c r="B57" s="43" t="s">
        <v>77</v>
      </c>
      <c r="C57" s="21" t="s">
        <v>75</v>
      </c>
      <c r="D57" s="21" t="s">
        <v>220</v>
      </c>
      <c r="E57" s="22">
        <v>18000</v>
      </c>
      <c r="F57" s="22">
        <v>23000</v>
      </c>
      <c r="G57" s="21">
        <f>1.1+1.2</f>
        <v>2.2999999999999998</v>
      </c>
      <c r="H57" s="22">
        <f t="shared" si="6"/>
        <v>52899.999999999993</v>
      </c>
      <c r="I57" s="22">
        <f t="shared" si="7"/>
        <v>11499.999999999993</v>
      </c>
      <c r="J57" s="22">
        <f t="shared" si="8"/>
        <v>5749.9999999999964</v>
      </c>
      <c r="K57" s="52"/>
      <c r="L57" s="52"/>
    </row>
    <row r="58" spans="1:12" x14ac:dyDescent="0.25">
      <c r="A58" s="20">
        <v>46189</v>
      </c>
      <c r="B58" s="43" t="s">
        <v>151</v>
      </c>
      <c r="C58" s="21" t="s">
        <v>75</v>
      </c>
      <c r="D58" s="21" t="s">
        <v>28</v>
      </c>
      <c r="E58" s="22">
        <v>15000</v>
      </c>
      <c r="F58" s="22">
        <v>20000</v>
      </c>
      <c r="G58" s="21">
        <v>4.5</v>
      </c>
      <c r="H58" s="22">
        <f t="shared" si="6"/>
        <v>90000</v>
      </c>
      <c r="I58" s="22">
        <f t="shared" si="7"/>
        <v>22500</v>
      </c>
      <c r="J58" s="22">
        <f t="shared" si="8"/>
        <v>11250</v>
      </c>
      <c r="K58" s="29" t="s">
        <v>39</v>
      </c>
      <c r="L58" s="30" t="s">
        <v>221</v>
      </c>
    </row>
    <row r="59" spans="1:12" x14ac:dyDescent="0.25">
      <c r="A59" s="20">
        <v>46189</v>
      </c>
      <c r="B59" s="43" t="s">
        <v>52</v>
      </c>
      <c r="C59" s="21" t="s">
        <v>75</v>
      </c>
      <c r="D59" s="21" t="s">
        <v>26</v>
      </c>
      <c r="E59" s="22">
        <v>17000</v>
      </c>
      <c r="F59" s="22">
        <v>23000</v>
      </c>
      <c r="G59" s="21">
        <f>1.2+1.1+1.3+1.4</f>
        <v>5</v>
      </c>
      <c r="H59" s="22">
        <f t="shared" si="6"/>
        <v>115000</v>
      </c>
      <c r="I59" s="22">
        <f t="shared" si="7"/>
        <v>30000</v>
      </c>
      <c r="J59" s="22">
        <f t="shared" si="8"/>
        <v>15000</v>
      </c>
      <c r="K59" s="29" t="s">
        <v>41</v>
      </c>
      <c r="L59" s="30" t="s">
        <v>249</v>
      </c>
    </row>
    <row r="60" spans="1:12" x14ac:dyDescent="0.25">
      <c r="A60" s="20">
        <v>46190</v>
      </c>
      <c r="B60" s="43" t="s">
        <v>48</v>
      </c>
      <c r="C60" s="21" t="s">
        <v>75</v>
      </c>
      <c r="D60" s="21" t="s">
        <v>248</v>
      </c>
      <c r="E60" s="22">
        <v>14000</v>
      </c>
      <c r="F60" s="22">
        <v>16000</v>
      </c>
      <c r="G60" s="21">
        <v>1.26</v>
      </c>
      <c r="H60" s="22">
        <f t="shared" si="6"/>
        <v>20160</v>
      </c>
      <c r="I60" s="22">
        <f t="shared" si="7"/>
        <v>2520</v>
      </c>
      <c r="J60" s="22">
        <f t="shared" si="8"/>
        <v>1260</v>
      </c>
      <c r="K60" s="51" t="s">
        <v>39</v>
      </c>
      <c r="L60" s="53" t="s">
        <v>221</v>
      </c>
    </row>
    <row r="61" spans="1:12" x14ac:dyDescent="0.25">
      <c r="A61" s="20">
        <v>46190</v>
      </c>
      <c r="B61" s="43" t="s">
        <v>48</v>
      </c>
      <c r="C61" s="21" t="s">
        <v>75</v>
      </c>
      <c r="D61" s="21" t="s">
        <v>26</v>
      </c>
      <c r="E61" s="22">
        <v>17000</v>
      </c>
      <c r="F61" s="22">
        <v>23000</v>
      </c>
      <c r="G61" s="21">
        <v>1</v>
      </c>
      <c r="H61" s="22">
        <f t="shared" si="6"/>
        <v>23000</v>
      </c>
      <c r="I61" s="22">
        <f t="shared" si="7"/>
        <v>6000</v>
      </c>
      <c r="J61" s="22">
        <f t="shared" si="8"/>
        <v>3000</v>
      </c>
      <c r="K61" s="52"/>
      <c r="L61" s="52"/>
    </row>
    <row r="62" spans="1:12" x14ac:dyDescent="0.25">
      <c r="A62" s="20">
        <v>46190</v>
      </c>
      <c r="B62" s="43" t="s">
        <v>177</v>
      </c>
      <c r="C62" s="21" t="s">
        <v>75</v>
      </c>
      <c r="D62" s="21" t="s">
        <v>26</v>
      </c>
      <c r="E62" s="22">
        <v>17000</v>
      </c>
      <c r="F62" s="22">
        <v>23000</v>
      </c>
      <c r="G62" s="21">
        <v>1.4</v>
      </c>
      <c r="H62" s="22">
        <f t="shared" si="6"/>
        <v>32199.999999999996</v>
      </c>
      <c r="I62" s="22">
        <f t="shared" si="7"/>
        <v>8399.9999999999964</v>
      </c>
      <c r="J62" s="22">
        <f t="shared" si="8"/>
        <v>4199.9999999999982</v>
      </c>
      <c r="K62" s="29" t="s">
        <v>39</v>
      </c>
      <c r="L62" s="30" t="s">
        <v>221</v>
      </c>
    </row>
    <row r="63" spans="1:12" x14ac:dyDescent="0.25">
      <c r="A63" s="20">
        <v>46190</v>
      </c>
      <c r="B63" s="43" t="s">
        <v>42</v>
      </c>
      <c r="C63" s="21" t="s">
        <v>75</v>
      </c>
      <c r="D63" s="21" t="s">
        <v>246</v>
      </c>
      <c r="E63" s="22">
        <v>19000</v>
      </c>
      <c r="F63" s="22">
        <v>22000</v>
      </c>
      <c r="G63" s="21">
        <v>1.1499999999999999</v>
      </c>
      <c r="H63" s="22">
        <f t="shared" si="6"/>
        <v>25299.999999999996</v>
      </c>
      <c r="I63" s="22">
        <f t="shared" si="7"/>
        <v>3449.9999999999964</v>
      </c>
      <c r="J63" s="22">
        <f t="shared" si="8"/>
        <v>1724.9999999999982</v>
      </c>
      <c r="K63" s="29" t="s">
        <v>39</v>
      </c>
      <c r="L63" s="30" t="s">
        <v>221</v>
      </c>
    </row>
    <row r="64" spans="1:12" x14ac:dyDescent="0.25">
      <c r="A64" s="20">
        <v>46192</v>
      </c>
      <c r="B64" s="43" t="s">
        <v>78</v>
      </c>
      <c r="C64" s="21" t="s">
        <v>75</v>
      </c>
      <c r="D64" s="21" t="s">
        <v>28</v>
      </c>
      <c r="E64" s="22">
        <v>15000</v>
      </c>
      <c r="F64" s="22">
        <v>20000</v>
      </c>
      <c r="G64" s="21">
        <v>5.5</v>
      </c>
      <c r="H64" s="22">
        <f t="shared" si="6"/>
        <v>110000</v>
      </c>
      <c r="I64" s="22">
        <f t="shared" si="7"/>
        <v>27500</v>
      </c>
      <c r="J64" s="22">
        <f t="shared" si="8"/>
        <v>13750</v>
      </c>
      <c r="K64" s="51" t="s">
        <v>39</v>
      </c>
      <c r="L64" s="53" t="s">
        <v>221</v>
      </c>
    </row>
    <row r="65" spans="1:13" x14ac:dyDescent="0.25">
      <c r="A65" s="20">
        <v>46192</v>
      </c>
      <c r="B65" s="43" t="s">
        <v>78</v>
      </c>
      <c r="C65" s="21" t="s">
        <v>75</v>
      </c>
      <c r="D65" s="21" t="s">
        <v>14</v>
      </c>
      <c r="E65" s="22">
        <v>25000</v>
      </c>
      <c r="F65" s="22">
        <v>29000</v>
      </c>
      <c r="G65" s="21">
        <f>1.5+1.6</f>
        <v>3.1</v>
      </c>
      <c r="H65" s="22">
        <f t="shared" si="6"/>
        <v>89900</v>
      </c>
      <c r="I65" s="22">
        <f t="shared" si="7"/>
        <v>12400</v>
      </c>
      <c r="J65" s="22">
        <f t="shared" si="8"/>
        <v>6200</v>
      </c>
      <c r="K65" s="52"/>
      <c r="L65" s="52"/>
    </row>
    <row r="66" spans="1:13" x14ac:dyDescent="0.25">
      <c r="A66" s="20">
        <v>46192</v>
      </c>
      <c r="B66" s="43" t="s">
        <v>43</v>
      </c>
      <c r="C66" s="21" t="s">
        <v>75</v>
      </c>
      <c r="D66" s="21" t="s">
        <v>220</v>
      </c>
      <c r="E66" s="22">
        <v>18000</v>
      </c>
      <c r="F66" s="22">
        <v>23000</v>
      </c>
      <c r="G66" s="21">
        <v>1</v>
      </c>
      <c r="H66" s="22">
        <f t="shared" si="6"/>
        <v>23000</v>
      </c>
      <c r="I66" s="22">
        <f t="shared" si="7"/>
        <v>5000</v>
      </c>
      <c r="J66" s="22">
        <f t="shared" si="8"/>
        <v>2500</v>
      </c>
      <c r="K66" s="51"/>
      <c r="L66" s="53"/>
    </row>
    <row r="67" spans="1:13" x14ac:dyDescent="0.25">
      <c r="A67" s="20">
        <v>46192</v>
      </c>
      <c r="B67" s="43" t="s">
        <v>43</v>
      </c>
      <c r="C67" s="21" t="s">
        <v>75</v>
      </c>
      <c r="D67" s="21" t="s">
        <v>248</v>
      </c>
      <c r="E67" s="22">
        <v>14000</v>
      </c>
      <c r="F67" s="22">
        <v>16000</v>
      </c>
      <c r="G67" s="21">
        <v>1.115</v>
      </c>
      <c r="H67" s="22">
        <f t="shared" si="6"/>
        <v>17840</v>
      </c>
      <c r="I67" s="22">
        <f t="shared" si="7"/>
        <v>2230</v>
      </c>
      <c r="J67" s="22">
        <f t="shared" si="8"/>
        <v>1115</v>
      </c>
      <c r="K67" s="52"/>
      <c r="L67" s="52"/>
    </row>
    <row r="68" spans="1:13" x14ac:dyDescent="0.25">
      <c r="A68" s="20">
        <v>46192</v>
      </c>
      <c r="B68" s="43" t="s">
        <v>58</v>
      </c>
      <c r="C68" s="21" t="s">
        <v>75</v>
      </c>
      <c r="D68" s="21" t="s">
        <v>246</v>
      </c>
      <c r="E68" s="22">
        <v>19000</v>
      </c>
      <c r="F68" s="22">
        <v>22000</v>
      </c>
      <c r="G68" s="21">
        <v>1.325</v>
      </c>
      <c r="H68" s="22">
        <f t="shared" si="6"/>
        <v>29150</v>
      </c>
      <c r="I68" s="22">
        <f t="shared" si="7"/>
        <v>3975</v>
      </c>
      <c r="J68" s="22">
        <f t="shared" si="8"/>
        <v>1987.5</v>
      </c>
      <c r="K68" s="51"/>
      <c r="L68" s="53"/>
    </row>
    <row r="69" spans="1:13" x14ac:dyDescent="0.25">
      <c r="A69" s="20">
        <v>46192</v>
      </c>
      <c r="B69" s="43" t="s">
        <v>58</v>
      </c>
      <c r="C69" s="21" t="s">
        <v>75</v>
      </c>
      <c r="D69" s="21" t="s">
        <v>248</v>
      </c>
      <c r="E69" s="22">
        <v>14000</v>
      </c>
      <c r="F69" s="22">
        <v>16000</v>
      </c>
      <c r="G69" s="21">
        <v>1.355</v>
      </c>
      <c r="H69" s="22">
        <f t="shared" si="6"/>
        <v>21680</v>
      </c>
      <c r="I69" s="22">
        <f t="shared" si="7"/>
        <v>2710</v>
      </c>
      <c r="J69" s="22">
        <f t="shared" si="8"/>
        <v>1355</v>
      </c>
      <c r="K69" s="52"/>
      <c r="L69" s="52"/>
    </row>
    <row r="70" spans="1:13" x14ac:dyDescent="0.25">
      <c r="A70" s="20">
        <v>46192</v>
      </c>
      <c r="B70" s="21" t="s">
        <v>75</v>
      </c>
      <c r="C70" s="21" t="s">
        <v>75</v>
      </c>
      <c r="D70" s="21" t="s">
        <v>250</v>
      </c>
      <c r="E70" s="22">
        <v>15840</v>
      </c>
      <c r="F70" s="22">
        <v>15840</v>
      </c>
      <c r="G70" s="21">
        <v>0.98</v>
      </c>
      <c r="H70" s="22">
        <f t="shared" si="6"/>
        <v>15523.199999999999</v>
      </c>
      <c r="I70" s="22">
        <f t="shared" si="7"/>
        <v>0</v>
      </c>
      <c r="J70" s="22">
        <f t="shared" si="8"/>
        <v>0</v>
      </c>
      <c r="K70" s="29"/>
      <c r="L70" s="30"/>
    </row>
    <row r="71" spans="1:13" x14ac:dyDescent="0.25">
      <c r="A71" s="24" t="s">
        <v>223</v>
      </c>
      <c r="B71" s="25"/>
      <c r="C71" s="25"/>
      <c r="D71" s="25"/>
      <c r="E71" s="25"/>
      <c r="F71" s="26"/>
      <c r="G71" s="24">
        <f>SUM(G53:G70)</f>
        <v>37.125</v>
      </c>
      <c r="H71" s="27"/>
      <c r="I71" s="27"/>
      <c r="J71" s="28">
        <f>SUM(J53:J70)</f>
        <v>79995</v>
      </c>
      <c r="K71" s="25"/>
      <c r="L71" s="26">
        <f>J71-15840</f>
        <v>64155</v>
      </c>
      <c r="M71" s="14" t="s">
        <v>251</v>
      </c>
    </row>
    <row r="72" spans="1:13" x14ac:dyDescent="0.25">
      <c r="A72" s="20"/>
      <c r="B72" s="21"/>
      <c r="C72" s="21"/>
      <c r="D72" s="21"/>
      <c r="E72" s="22"/>
      <c r="F72" s="22"/>
      <c r="G72" s="21"/>
      <c r="H72" s="22">
        <f>F72*G72</f>
        <v>0</v>
      </c>
      <c r="I72" s="22">
        <f>H72-(G72*E72)</f>
        <v>0</v>
      </c>
      <c r="J72" s="22">
        <f>I72/2</f>
        <v>0</v>
      </c>
      <c r="K72" s="29"/>
      <c r="L72" s="30"/>
    </row>
    <row r="73" spans="1:13" x14ac:dyDescent="0.25">
      <c r="A73" s="20"/>
      <c r="B73" s="21"/>
      <c r="C73" s="21"/>
      <c r="D73" s="21"/>
      <c r="E73" s="22"/>
      <c r="F73" s="22"/>
      <c r="G73" s="21"/>
      <c r="H73" s="22">
        <f>F73*G73</f>
        <v>0</v>
      </c>
      <c r="I73" s="22">
        <f>H73-(G73*E73)</f>
        <v>0</v>
      </c>
      <c r="J73" s="22">
        <f>I73/2</f>
        <v>0</v>
      </c>
      <c r="K73" s="29"/>
      <c r="L73" s="30"/>
    </row>
    <row r="74" spans="1:13" x14ac:dyDescent="0.25">
      <c r="A74" s="20"/>
      <c r="B74" s="21"/>
      <c r="C74" s="21"/>
      <c r="D74" s="21"/>
      <c r="E74" s="22"/>
      <c r="F74" s="22"/>
      <c r="G74" s="21"/>
      <c r="H74" s="22">
        <f>F74*G74</f>
        <v>0</v>
      </c>
      <c r="I74" s="22">
        <f>H74-(G74*E74)</f>
        <v>0</v>
      </c>
      <c r="J74" s="22">
        <f>I74/2</f>
        <v>0</v>
      </c>
      <c r="K74" s="29"/>
      <c r="L74" s="30"/>
    </row>
    <row r="75" spans="1:13" x14ac:dyDescent="0.25">
      <c r="A75" s="20"/>
      <c r="B75" s="21"/>
      <c r="C75" s="21"/>
      <c r="D75" s="21"/>
      <c r="E75" s="22"/>
      <c r="F75" s="22"/>
      <c r="G75" s="21"/>
      <c r="H75" s="22">
        <f>F75*G75</f>
        <v>0</v>
      </c>
      <c r="I75" s="22">
        <f>H75-(G75*E75)</f>
        <v>0</v>
      </c>
      <c r="J75" s="22">
        <f>I75/2</f>
        <v>0</v>
      </c>
      <c r="K75" s="29"/>
      <c r="L75" s="30"/>
    </row>
    <row r="76" spans="1:13" x14ac:dyDescent="0.25">
      <c r="A76" s="24" t="s">
        <v>223</v>
      </c>
      <c r="B76" s="25"/>
      <c r="C76" s="25"/>
      <c r="D76" s="25"/>
      <c r="E76" s="25"/>
      <c r="F76" s="26"/>
      <c r="G76" s="24">
        <f>SUM(G72:G75)</f>
        <v>0</v>
      </c>
      <c r="H76" s="27"/>
      <c r="I76" s="27"/>
      <c r="J76" s="28">
        <f>SUM(J72:J75)</f>
        <v>0</v>
      </c>
      <c r="K76" s="25"/>
      <c r="L76" s="27"/>
    </row>
    <row r="77" spans="1:13" x14ac:dyDescent="0.25">
      <c r="G77" s="14">
        <f>G71+G52+G29</f>
        <v>204.52499999999998</v>
      </c>
      <c r="H77" s="22"/>
      <c r="J77" s="17">
        <f>J71+J52+J29</f>
        <v>405870</v>
      </c>
    </row>
    <row r="78" spans="1:13" x14ac:dyDescent="0.25">
      <c r="I78" s="14" t="s">
        <v>252</v>
      </c>
      <c r="J78" s="22">
        <f>J77/G77</f>
        <v>1984.4517785111848</v>
      </c>
    </row>
  </sheetData>
  <autoFilter ref="A1:L78" xr:uid="{00000000-0009-0000-0000-000007000000}"/>
  <mergeCells count="38">
    <mergeCell ref="K8:K10"/>
    <mergeCell ref="K64:K65"/>
    <mergeCell ref="K2:K3"/>
    <mergeCell ref="L48:L50"/>
    <mergeCell ref="L60:L61"/>
    <mergeCell ref="K36:K38"/>
    <mergeCell ref="L13:L15"/>
    <mergeCell ref="L53:L55"/>
    <mergeCell ref="L56:L57"/>
    <mergeCell ref="L34:L35"/>
    <mergeCell ref="K17:K20"/>
    <mergeCell ref="L11:L12"/>
    <mergeCell ref="K34:K35"/>
    <mergeCell ref="L40:L41"/>
    <mergeCell ref="L2:L3"/>
    <mergeCell ref="L43:L45"/>
    <mergeCell ref="K22:K24"/>
    <mergeCell ref="L8:L10"/>
    <mergeCell ref="L68:L69"/>
    <mergeCell ref="L22:L24"/>
    <mergeCell ref="L36:L38"/>
    <mergeCell ref="K11:K12"/>
    <mergeCell ref="K53:K55"/>
    <mergeCell ref="K56:K57"/>
    <mergeCell ref="L64:L65"/>
    <mergeCell ref="K25:K27"/>
    <mergeCell ref="K46:K47"/>
    <mergeCell ref="K40:K41"/>
    <mergeCell ref="K66:K67"/>
    <mergeCell ref="L46:L47"/>
    <mergeCell ref="L17:L20"/>
    <mergeCell ref="K43:K45"/>
    <mergeCell ref="K68:K69"/>
    <mergeCell ref="L66:L67"/>
    <mergeCell ref="K48:K50"/>
    <mergeCell ref="L25:L27"/>
    <mergeCell ref="K60:K61"/>
    <mergeCell ref="K13:K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22" customWidth="1"/>
    <col min="3" max="3" width="14.140625" customWidth="1"/>
    <col min="4" max="4" width="17.42578125" customWidth="1"/>
    <col min="5" max="5" width="13" customWidth="1"/>
    <col min="6" max="6" width="18.140625" customWidth="1"/>
    <col min="7" max="7" width="15.28515625" customWidth="1"/>
    <col min="8" max="8" width="14.42578125" customWidth="1"/>
    <col min="9" max="9" width="11.42578125" customWidth="1"/>
    <col min="10" max="10" width="14" customWidth="1"/>
    <col min="11" max="11" width="19.85546875" customWidth="1"/>
    <col min="12" max="12" width="24.7109375" customWidth="1"/>
  </cols>
  <sheetData>
    <row r="1" spans="1:12" ht="15.75" customHeight="1" x14ac:dyDescent="0.25">
      <c r="A1" s="19" t="s">
        <v>210</v>
      </c>
      <c r="B1" s="19" t="s">
        <v>33</v>
      </c>
      <c r="C1" s="19" t="s">
        <v>211</v>
      </c>
      <c r="D1" s="19" t="s">
        <v>214</v>
      </c>
      <c r="E1" s="19" t="s">
        <v>0</v>
      </c>
      <c r="F1" s="19" t="s">
        <v>253</v>
      </c>
      <c r="G1" s="19" t="s">
        <v>254</v>
      </c>
      <c r="H1" s="19" t="s">
        <v>255</v>
      </c>
      <c r="I1" s="19" t="s">
        <v>215</v>
      </c>
      <c r="J1" s="19" t="s">
        <v>216</v>
      </c>
      <c r="K1" s="19" t="s">
        <v>218</v>
      </c>
      <c r="L1" s="19" t="s">
        <v>219</v>
      </c>
    </row>
    <row r="2" spans="1:12" ht="15.75" customHeight="1" x14ac:dyDescent="0.25">
      <c r="A2" s="20"/>
      <c r="B2" s="31"/>
      <c r="C2" s="21"/>
      <c r="D2" s="21"/>
      <c r="E2" s="21"/>
      <c r="F2" s="22"/>
      <c r="G2" s="22"/>
      <c r="H2" s="22"/>
      <c r="I2" s="22">
        <f t="shared" ref="I2:I8" si="0">H2*D2</f>
        <v>0</v>
      </c>
      <c r="J2" s="22">
        <f t="shared" ref="J2:J8" si="1">I2-(D2*F2)</f>
        <v>0</v>
      </c>
      <c r="K2" s="29"/>
      <c r="L2" s="30"/>
    </row>
    <row r="3" spans="1:12" ht="15.75" customHeight="1" x14ac:dyDescent="0.25">
      <c r="A3" s="20"/>
      <c r="B3" s="31"/>
      <c r="C3" s="21"/>
      <c r="D3" s="21"/>
      <c r="E3" s="21"/>
      <c r="F3" s="22"/>
      <c r="G3" s="22"/>
      <c r="H3" s="22"/>
      <c r="I3" s="22">
        <f t="shared" si="0"/>
        <v>0</v>
      </c>
      <c r="J3" s="22">
        <f t="shared" si="1"/>
        <v>0</v>
      </c>
      <c r="K3" s="29"/>
      <c r="L3" s="30"/>
    </row>
    <row r="4" spans="1:12" ht="15.75" customHeight="1" x14ac:dyDescent="0.25">
      <c r="A4" s="20"/>
      <c r="B4" s="31"/>
      <c r="C4" s="21"/>
      <c r="D4" s="21"/>
      <c r="E4" s="21"/>
      <c r="F4" s="22"/>
      <c r="G4" s="22"/>
      <c r="H4" s="22"/>
      <c r="I4" s="22">
        <f t="shared" si="0"/>
        <v>0</v>
      </c>
      <c r="J4" s="22">
        <f t="shared" si="1"/>
        <v>0</v>
      </c>
      <c r="K4" s="29"/>
      <c r="L4" s="30"/>
    </row>
    <row r="5" spans="1:12" ht="15.75" customHeight="1" x14ac:dyDescent="0.25">
      <c r="A5" s="20"/>
      <c r="B5" s="31"/>
      <c r="C5" s="21"/>
      <c r="D5" s="21"/>
      <c r="E5" s="21"/>
      <c r="F5" s="22"/>
      <c r="G5" s="22"/>
      <c r="H5" s="22"/>
      <c r="I5" s="22">
        <f t="shared" si="0"/>
        <v>0</v>
      </c>
      <c r="J5" s="22">
        <f t="shared" si="1"/>
        <v>0</v>
      </c>
      <c r="K5" s="29"/>
      <c r="L5" s="30"/>
    </row>
    <row r="6" spans="1:12" ht="15.75" customHeight="1" x14ac:dyDescent="0.25">
      <c r="A6" s="20"/>
      <c r="B6" s="21"/>
      <c r="C6" s="21"/>
      <c r="D6" s="44"/>
      <c r="E6" s="21"/>
      <c r="F6" s="22"/>
      <c r="G6" s="22"/>
      <c r="H6" s="22"/>
      <c r="I6" s="22">
        <f t="shared" si="0"/>
        <v>0</v>
      </c>
      <c r="J6" s="22">
        <f t="shared" si="1"/>
        <v>0</v>
      </c>
      <c r="K6" s="21"/>
      <c r="L6" s="30"/>
    </row>
    <row r="7" spans="1:12" ht="15.75" customHeight="1" x14ac:dyDescent="0.25">
      <c r="A7" s="20"/>
      <c r="B7" s="21"/>
      <c r="C7" s="21"/>
      <c r="D7" s="21"/>
      <c r="E7" s="21"/>
      <c r="F7" s="22"/>
      <c r="G7" s="22"/>
      <c r="H7" s="22"/>
      <c r="I7" s="22">
        <f t="shared" si="0"/>
        <v>0</v>
      </c>
      <c r="J7" s="22">
        <f t="shared" si="1"/>
        <v>0</v>
      </c>
      <c r="K7" s="21"/>
      <c r="L7" s="30"/>
    </row>
    <row r="8" spans="1:12" ht="15.75" customHeight="1" x14ac:dyDescent="0.25">
      <c r="A8" s="20"/>
      <c r="B8" s="21"/>
      <c r="C8" s="21"/>
      <c r="D8" s="21"/>
      <c r="E8" s="21"/>
      <c r="F8" s="22"/>
      <c r="G8" s="22"/>
      <c r="H8" s="22"/>
      <c r="I8" s="22">
        <f t="shared" si="0"/>
        <v>0</v>
      </c>
      <c r="J8" s="22">
        <f t="shared" si="1"/>
        <v>0</v>
      </c>
      <c r="K8" s="21"/>
      <c r="L8" s="23"/>
    </row>
    <row r="9" spans="1:12" ht="15.75" customHeight="1" x14ac:dyDescent="0.25">
      <c r="A9" s="24" t="s">
        <v>223</v>
      </c>
      <c r="B9" s="25"/>
      <c r="C9" s="25"/>
      <c r="D9" s="24">
        <f>SUM(D2:D8)</f>
        <v>0</v>
      </c>
      <c r="E9" s="25"/>
      <c r="F9" s="25"/>
      <c r="G9" s="26"/>
      <c r="H9" s="26"/>
      <c r="I9" s="27"/>
      <c r="J9" s="27"/>
      <c r="K9" s="25"/>
      <c r="L9" s="27"/>
    </row>
    <row r="10" spans="1:12" ht="15.75" customHeight="1" x14ac:dyDescent="0.25">
      <c r="A10" s="20"/>
      <c r="B10" s="21"/>
      <c r="C10" s="21"/>
      <c r="D10" s="21"/>
      <c r="E10" s="21"/>
      <c r="F10" s="22"/>
      <c r="G10" s="22"/>
      <c r="H10" s="22"/>
      <c r="I10" s="22">
        <f t="shared" ref="I10:I16" si="2">H10*D10</f>
        <v>0</v>
      </c>
      <c r="J10" s="22">
        <f t="shared" ref="J10:J16" si="3">I10-(D10*F10)</f>
        <v>0</v>
      </c>
      <c r="K10" s="21"/>
      <c r="L10" s="30"/>
    </row>
    <row r="11" spans="1:12" ht="15.75" customHeight="1" x14ac:dyDescent="0.25">
      <c r="A11" s="20"/>
      <c r="B11" s="21"/>
      <c r="C11" s="21"/>
      <c r="D11" s="21"/>
      <c r="E11" s="21"/>
      <c r="F11" s="22"/>
      <c r="G11" s="22"/>
      <c r="H11" s="22"/>
      <c r="I11" s="22">
        <f t="shared" si="2"/>
        <v>0</v>
      </c>
      <c r="J11" s="22">
        <f t="shared" si="3"/>
        <v>0</v>
      </c>
      <c r="K11" s="21"/>
      <c r="L11" s="30"/>
    </row>
    <row r="12" spans="1:12" ht="15.75" customHeight="1" x14ac:dyDescent="0.25">
      <c r="A12" s="20"/>
      <c r="B12" s="21"/>
      <c r="C12" s="21"/>
      <c r="D12" s="21"/>
      <c r="E12" s="21"/>
      <c r="F12" s="22"/>
      <c r="G12" s="22"/>
      <c r="H12" s="22"/>
      <c r="I12" s="22">
        <f t="shared" si="2"/>
        <v>0</v>
      </c>
      <c r="J12" s="22">
        <f t="shared" si="3"/>
        <v>0</v>
      </c>
      <c r="K12" s="21"/>
      <c r="L12" s="23"/>
    </row>
    <row r="13" spans="1:12" ht="15.75" customHeight="1" x14ac:dyDescent="0.25">
      <c r="A13" s="20"/>
      <c r="B13" s="21"/>
      <c r="C13" s="21"/>
      <c r="D13" s="21"/>
      <c r="E13" s="21"/>
      <c r="F13" s="22"/>
      <c r="G13" s="22"/>
      <c r="H13" s="22"/>
      <c r="I13" s="22">
        <f t="shared" si="2"/>
        <v>0</v>
      </c>
      <c r="J13" s="22">
        <f t="shared" si="3"/>
        <v>0</v>
      </c>
      <c r="K13" s="21"/>
      <c r="L13" s="23"/>
    </row>
    <row r="14" spans="1:12" ht="15.75" customHeight="1" x14ac:dyDescent="0.25">
      <c r="A14" s="20"/>
      <c r="B14" s="21"/>
      <c r="C14" s="21"/>
      <c r="D14" s="21"/>
      <c r="E14" s="21"/>
      <c r="F14" s="22"/>
      <c r="G14" s="22"/>
      <c r="H14" s="22"/>
      <c r="I14" s="22">
        <f t="shared" si="2"/>
        <v>0</v>
      </c>
      <c r="J14" s="22">
        <f t="shared" si="3"/>
        <v>0</v>
      </c>
      <c r="K14" s="21"/>
      <c r="L14" s="23"/>
    </row>
    <row r="15" spans="1:12" ht="15.75" customHeight="1" x14ac:dyDescent="0.25">
      <c r="A15" s="20"/>
      <c r="B15" s="21"/>
      <c r="C15" s="21"/>
      <c r="D15" s="21"/>
      <c r="E15" s="21"/>
      <c r="F15" s="22"/>
      <c r="G15" s="22"/>
      <c r="H15" s="22"/>
      <c r="I15" s="22">
        <f t="shared" si="2"/>
        <v>0</v>
      </c>
      <c r="J15" s="22">
        <f t="shared" si="3"/>
        <v>0</v>
      </c>
      <c r="K15" s="21"/>
      <c r="L15" s="23"/>
    </row>
    <row r="16" spans="1:12" ht="15.75" customHeight="1" x14ac:dyDescent="0.25">
      <c r="A16" s="20"/>
      <c r="B16" s="21"/>
      <c r="C16" s="21"/>
      <c r="D16" s="21"/>
      <c r="E16" s="21"/>
      <c r="F16" s="22"/>
      <c r="G16" s="22"/>
      <c r="H16" s="22"/>
      <c r="I16" s="22">
        <f t="shared" si="2"/>
        <v>0</v>
      </c>
      <c r="J16" s="22">
        <f t="shared" si="3"/>
        <v>0</v>
      </c>
      <c r="K16" s="29"/>
      <c r="L16" s="30"/>
    </row>
    <row r="17" spans="1:13" ht="15.75" customHeight="1" x14ac:dyDescent="0.25">
      <c r="A17" s="24" t="s">
        <v>223</v>
      </c>
      <c r="B17" s="25"/>
      <c r="C17" s="25"/>
      <c r="D17" s="24">
        <f>SUM(D10:D16)</f>
        <v>0</v>
      </c>
      <c r="E17" s="25"/>
      <c r="F17" s="25"/>
      <c r="G17" s="26"/>
      <c r="H17" s="26"/>
      <c r="I17" s="27"/>
      <c r="J17" s="27"/>
      <c r="K17" s="25"/>
      <c r="L17" s="27"/>
    </row>
    <row r="18" spans="1:13" ht="15.75" customHeight="1" x14ac:dyDescent="0.25">
      <c r="A18" s="20"/>
      <c r="B18" s="21"/>
      <c r="C18" s="21"/>
      <c r="D18" s="21"/>
      <c r="E18" s="21"/>
      <c r="F18" s="22"/>
      <c r="G18" s="22"/>
      <c r="H18" s="22"/>
      <c r="I18" s="22">
        <f t="shared" ref="I18:I24" si="4">H18*D18</f>
        <v>0</v>
      </c>
      <c r="J18" s="22">
        <f t="shared" ref="J18:J24" si="5">I18-(D18*F18)</f>
        <v>0</v>
      </c>
      <c r="K18" s="51"/>
      <c r="L18" s="53"/>
    </row>
    <row r="19" spans="1:13" ht="15.75" customHeight="1" x14ac:dyDescent="0.25">
      <c r="A19" s="20"/>
      <c r="B19" s="21"/>
      <c r="C19" s="21"/>
      <c r="D19" s="21"/>
      <c r="E19" s="21"/>
      <c r="F19" s="22"/>
      <c r="G19" s="22"/>
      <c r="H19" s="22"/>
      <c r="I19" s="22">
        <f t="shared" si="4"/>
        <v>0</v>
      </c>
      <c r="J19" s="22">
        <f t="shared" si="5"/>
        <v>0</v>
      </c>
      <c r="K19" s="52"/>
      <c r="L19" s="52"/>
    </row>
    <row r="20" spans="1:13" ht="15.75" customHeight="1" x14ac:dyDescent="0.25">
      <c r="A20" s="20"/>
      <c r="B20" s="21"/>
      <c r="C20" s="21"/>
      <c r="D20" s="21"/>
      <c r="E20" s="21"/>
      <c r="F20" s="22"/>
      <c r="G20" s="22"/>
      <c r="H20" s="22"/>
      <c r="I20" s="22">
        <f t="shared" si="4"/>
        <v>0</v>
      </c>
      <c r="J20" s="22">
        <f t="shared" si="5"/>
        <v>0</v>
      </c>
      <c r="K20" s="52"/>
      <c r="L20" s="52"/>
    </row>
    <row r="21" spans="1:13" ht="15.75" customHeight="1" x14ac:dyDescent="0.25">
      <c r="A21" s="20"/>
      <c r="B21" s="21"/>
      <c r="C21" s="21"/>
      <c r="D21" s="21"/>
      <c r="E21" s="21"/>
      <c r="F21" s="22"/>
      <c r="G21" s="22"/>
      <c r="H21" s="22"/>
      <c r="I21" s="22">
        <f t="shared" si="4"/>
        <v>0</v>
      </c>
      <c r="J21" s="22">
        <f t="shared" si="5"/>
        <v>0</v>
      </c>
      <c r="K21" s="51"/>
      <c r="L21" s="53"/>
    </row>
    <row r="22" spans="1:13" ht="15.75" customHeight="1" x14ac:dyDescent="0.25">
      <c r="A22" s="20"/>
      <c r="B22" s="21"/>
      <c r="C22" s="21"/>
      <c r="D22" s="21"/>
      <c r="E22" s="21"/>
      <c r="F22" s="22"/>
      <c r="G22" s="22"/>
      <c r="H22" s="22"/>
      <c r="I22" s="22">
        <f t="shared" si="4"/>
        <v>0</v>
      </c>
      <c r="J22" s="22">
        <f t="shared" si="5"/>
        <v>0</v>
      </c>
      <c r="K22" s="52"/>
      <c r="L22" s="52"/>
    </row>
    <row r="23" spans="1:13" ht="15.75" customHeight="1" x14ac:dyDescent="0.25">
      <c r="A23" s="20"/>
      <c r="B23" s="21"/>
      <c r="C23" s="21"/>
      <c r="D23" s="21"/>
      <c r="E23" s="21"/>
      <c r="F23" s="22"/>
      <c r="G23" s="22"/>
      <c r="H23" s="22"/>
      <c r="I23" s="22">
        <f t="shared" si="4"/>
        <v>0</v>
      </c>
      <c r="J23" s="22">
        <f t="shared" si="5"/>
        <v>0</v>
      </c>
      <c r="K23" s="29"/>
      <c r="L23" s="30"/>
    </row>
    <row r="24" spans="1:13" ht="15.75" customHeight="1" x14ac:dyDescent="0.25">
      <c r="A24" s="20"/>
      <c r="B24" s="21"/>
      <c r="C24" s="21"/>
      <c r="D24" s="21"/>
      <c r="E24" s="21"/>
      <c r="F24" s="22"/>
      <c r="G24" s="22"/>
      <c r="H24" s="22"/>
      <c r="I24" s="22">
        <f t="shared" si="4"/>
        <v>0</v>
      </c>
      <c r="J24" s="22">
        <f t="shared" si="5"/>
        <v>0</v>
      </c>
      <c r="K24" s="29"/>
      <c r="L24" s="30"/>
    </row>
    <row r="25" spans="1:13" x14ac:dyDescent="0.25">
      <c r="A25" s="24" t="s">
        <v>223</v>
      </c>
      <c r="B25" s="25"/>
      <c r="C25" s="25"/>
      <c r="D25" s="24">
        <f>SUM(D18:D24)</f>
        <v>0</v>
      </c>
      <c r="E25" s="25"/>
      <c r="F25" s="25"/>
      <c r="G25" s="26"/>
      <c r="H25" s="26"/>
      <c r="I25" s="27"/>
      <c r="J25" s="27"/>
      <c r="K25" s="25"/>
      <c r="L25" s="27"/>
      <c r="M25" s="14" t="s">
        <v>251</v>
      </c>
    </row>
    <row r="26" spans="1:13" x14ac:dyDescent="0.25">
      <c r="A26" s="20">
        <v>46196</v>
      </c>
      <c r="B26" s="21" t="s">
        <v>77</v>
      </c>
      <c r="C26" s="21" t="s">
        <v>75</v>
      </c>
      <c r="D26" s="21">
        <f>1.5+1.3+1.2+1.8</f>
        <v>5.8</v>
      </c>
      <c r="E26" s="21" t="s">
        <v>14</v>
      </c>
      <c r="F26" s="22">
        <v>27000</v>
      </c>
      <c r="G26" s="22">
        <f t="shared" ref="G26:G41" si="6">F26*D26</f>
        <v>156600</v>
      </c>
      <c r="H26" s="22">
        <v>29000</v>
      </c>
      <c r="I26" s="22">
        <f t="shared" ref="I26:I41" si="7">H26*D26</f>
        <v>168200</v>
      </c>
      <c r="J26" s="22">
        <f t="shared" ref="J26:J41" si="8">I26-(D26*F26)</f>
        <v>11600</v>
      </c>
      <c r="K26" s="29" t="s">
        <v>39</v>
      </c>
      <c r="L26" s="30" t="s">
        <v>221</v>
      </c>
    </row>
    <row r="27" spans="1:13" x14ac:dyDescent="0.25">
      <c r="A27" s="20">
        <v>46196</v>
      </c>
      <c r="B27" s="21" t="s">
        <v>42</v>
      </c>
      <c r="C27" s="21" t="s">
        <v>75</v>
      </c>
      <c r="D27" s="21">
        <f>1.3+1.5</f>
        <v>2.8</v>
      </c>
      <c r="E27" s="21" t="s">
        <v>28</v>
      </c>
      <c r="F27" s="22">
        <v>17000</v>
      </c>
      <c r="G27" s="22">
        <f t="shared" si="6"/>
        <v>47600</v>
      </c>
      <c r="H27" s="22">
        <v>20000</v>
      </c>
      <c r="I27" s="22">
        <f t="shared" si="7"/>
        <v>56000</v>
      </c>
      <c r="J27" s="22">
        <f t="shared" si="8"/>
        <v>8400</v>
      </c>
      <c r="K27" s="55" t="s">
        <v>39</v>
      </c>
      <c r="L27" s="53" t="s">
        <v>221</v>
      </c>
    </row>
    <row r="28" spans="1:13" x14ac:dyDescent="0.25">
      <c r="A28" s="20">
        <v>46196</v>
      </c>
      <c r="B28" s="21" t="s">
        <v>42</v>
      </c>
      <c r="C28" s="21" t="s">
        <v>75</v>
      </c>
      <c r="D28" s="21">
        <v>1.2</v>
      </c>
      <c r="E28" s="21" t="s">
        <v>256</v>
      </c>
      <c r="F28" s="22">
        <v>19000</v>
      </c>
      <c r="G28" s="22">
        <f t="shared" si="6"/>
        <v>22800</v>
      </c>
      <c r="H28" s="22">
        <v>22000</v>
      </c>
      <c r="I28" s="22">
        <f t="shared" si="7"/>
        <v>26400</v>
      </c>
      <c r="J28" s="22">
        <f t="shared" si="8"/>
        <v>3600</v>
      </c>
      <c r="K28" s="52"/>
      <c r="L28" s="52"/>
    </row>
    <row r="29" spans="1:13" x14ac:dyDescent="0.25">
      <c r="A29" s="20">
        <v>46196</v>
      </c>
      <c r="B29" s="21" t="s">
        <v>48</v>
      </c>
      <c r="C29" s="21" t="s">
        <v>75</v>
      </c>
      <c r="D29" s="21">
        <v>1.3</v>
      </c>
      <c r="E29" s="21" t="s">
        <v>14</v>
      </c>
      <c r="F29" s="22">
        <v>27000</v>
      </c>
      <c r="G29" s="22">
        <f t="shared" si="6"/>
        <v>35100</v>
      </c>
      <c r="H29" s="22">
        <v>29000</v>
      </c>
      <c r="I29" s="22">
        <f t="shared" si="7"/>
        <v>37700</v>
      </c>
      <c r="J29" s="22">
        <f t="shared" si="8"/>
        <v>2600</v>
      </c>
      <c r="K29" s="29" t="s">
        <v>39</v>
      </c>
      <c r="L29" s="30" t="s">
        <v>221</v>
      </c>
    </row>
    <row r="30" spans="1:13" x14ac:dyDescent="0.25">
      <c r="A30" s="20">
        <v>46196</v>
      </c>
      <c r="B30" s="21" t="s">
        <v>40</v>
      </c>
      <c r="C30" s="21" t="s">
        <v>75</v>
      </c>
      <c r="D30" s="21">
        <v>1</v>
      </c>
      <c r="E30" s="21" t="s">
        <v>26</v>
      </c>
      <c r="F30" s="22">
        <v>19000</v>
      </c>
      <c r="G30" s="22">
        <f t="shared" si="6"/>
        <v>19000</v>
      </c>
      <c r="H30" s="22">
        <v>23000</v>
      </c>
      <c r="I30" s="22">
        <f t="shared" si="7"/>
        <v>23000</v>
      </c>
      <c r="J30" s="22">
        <f t="shared" si="8"/>
        <v>4000</v>
      </c>
      <c r="K30" s="55" t="s">
        <v>41</v>
      </c>
      <c r="L30" s="53" t="s">
        <v>257</v>
      </c>
    </row>
    <row r="31" spans="1:13" x14ac:dyDescent="0.25">
      <c r="A31" s="20">
        <v>46196</v>
      </c>
      <c r="B31" s="21" t="s">
        <v>40</v>
      </c>
      <c r="C31" s="21" t="s">
        <v>75</v>
      </c>
      <c r="D31" s="21">
        <v>1.8</v>
      </c>
      <c r="E31" s="21" t="s">
        <v>237</v>
      </c>
      <c r="F31" s="22">
        <v>19000</v>
      </c>
      <c r="G31" s="22">
        <f t="shared" si="6"/>
        <v>34200</v>
      </c>
      <c r="H31" s="22">
        <v>22000</v>
      </c>
      <c r="I31" s="22">
        <f t="shared" si="7"/>
        <v>39600</v>
      </c>
      <c r="J31" s="22">
        <f t="shared" si="8"/>
        <v>5400</v>
      </c>
      <c r="K31" s="52"/>
      <c r="L31" s="52"/>
    </row>
    <row r="32" spans="1:13" x14ac:dyDescent="0.25">
      <c r="A32" s="20">
        <v>46196</v>
      </c>
      <c r="B32" s="21" t="s">
        <v>50</v>
      </c>
      <c r="C32" s="21" t="s">
        <v>75</v>
      </c>
      <c r="D32" s="21">
        <f>0.8+0.9</f>
        <v>1.7000000000000002</v>
      </c>
      <c r="E32" s="21" t="s">
        <v>220</v>
      </c>
      <c r="F32" s="22">
        <v>21000</v>
      </c>
      <c r="G32" s="22">
        <f t="shared" si="6"/>
        <v>35700.000000000007</v>
      </c>
      <c r="H32" s="22">
        <v>23000</v>
      </c>
      <c r="I32" s="22">
        <f t="shared" si="7"/>
        <v>39100.000000000007</v>
      </c>
      <c r="J32" s="22">
        <f t="shared" si="8"/>
        <v>3400</v>
      </c>
      <c r="K32" s="51" t="s">
        <v>258</v>
      </c>
      <c r="L32" s="53" t="s">
        <v>221</v>
      </c>
    </row>
    <row r="33" spans="1:27" x14ac:dyDescent="0.25">
      <c r="A33" s="20">
        <v>46196</v>
      </c>
      <c r="B33" s="21" t="s">
        <v>50</v>
      </c>
      <c r="C33" s="21" t="s">
        <v>75</v>
      </c>
      <c r="D33" s="21">
        <v>1.5</v>
      </c>
      <c r="E33" s="21" t="s">
        <v>14</v>
      </c>
      <c r="F33" s="22">
        <v>27000</v>
      </c>
      <c r="G33" s="22">
        <f t="shared" si="6"/>
        <v>40500</v>
      </c>
      <c r="H33" s="22">
        <v>29000</v>
      </c>
      <c r="I33" s="22">
        <f t="shared" si="7"/>
        <v>43500</v>
      </c>
      <c r="J33" s="22">
        <f t="shared" si="8"/>
        <v>3000</v>
      </c>
      <c r="K33" s="52"/>
      <c r="L33" s="52"/>
    </row>
    <row r="34" spans="1:27" x14ac:dyDescent="0.25">
      <c r="A34" s="20">
        <v>46196</v>
      </c>
      <c r="B34" s="21" t="s">
        <v>50</v>
      </c>
      <c r="C34" s="21" t="s">
        <v>75</v>
      </c>
      <c r="D34" s="21">
        <f>1.3+1.2</f>
        <v>2.5</v>
      </c>
      <c r="E34" s="21" t="s">
        <v>256</v>
      </c>
      <c r="F34" s="22">
        <v>19000</v>
      </c>
      <c r="G34" s="22">
        <f t="shared" si="6"/>
        <v>47500</v>
      </c>
      <c r="H34" s="22">
        <v>22000</v>
      </c>
      <c r="I34" s="22">
        <f t="shared" si="7"/>
        <v>55000</v>
      </c>
      <c r="J34" s="22">
        <f t="shared" si="8"/>
        <v>7500</v>
      </c>
      <c r="K34" s="52"/>
      <c r="L34" s="52"/>
    </row>
    <row r="35" spans="1:27" x14ac:dyDescent="0.25">
      <c r="A35" s="20">
        <v>46196</v>
      </c>
      <c r="B35" s="21" t="s">
        <v>79</v>
      </c>
      <c r="C35" s="21" t="s">
        <v>75</v>
      </c>
      <c r="D35" s="21">
        <f>0.8+0.7</f>
        <v>1.5</v>
      </c>
      <c r="E35" s="21" t="s">
        <v>220</v>
      </c>
      <c r="F35" s="22">
        <v>21000</v>
      </c>
      <c r="G35" s="22">
        <f t="shared" si="6"/>
        <v>31500</v>
      </c>
      <c r="H35" s="22">
        <v>23000</v>
      </c>
      <c r="I35" s="22">
        <f t="shared" si="7"/>
        <v>34500</v>
      </c>
      <c r="J35" s="22">
        <f t="shared" si="8"/>
        <v>3000</v>
      </c>
      <c r="K35" s="51" t="s">
        <v>39</v>
      </c>
      <c r="L35" s="53" t="s">
        <v>221</v>
      </c>
    </row>
    <row r="36" spans="1:27" x14ac:dyDescent="0.25">
      <c r="A36" s="20">
        <v>46196</v>
      </c>
      <c r="B36" s="21" t="s">
        <v>79</v>
      </c>
      <c r="C36" s="21" t="s">
        <v>75</v>
      </c>
      <c r="D36" s="21">
        <v>1.5</v>
      </c>
      <c r="E36" s="21" t="s">
        <v>26</v>
      </c>
      <c r="F36" s="22">
        <v>19000</v>
      </c>
      <c r="G36" s="22">
        <f t="shared" si="6"/>
        <v>28500</v>
      </c>
      <c r="H36" s="22">
        <v>23000</v>
      </c>
      <c r="I36" s="22">
        <f t="shared" si="7"/>
        <v>34500</v>
      </c>
      <c r="J36" s="22">
        <f t="shared" si="8"/>
        <v>6000</v>
      </c>
      <c r="K36" s="52"/>
      <c r="L36" s="52"/>
    </row>
    <row r="37" spans="1:27" x14ac:dyDescent="0.25">
      <c r="A37" s="20">
        <v>46196</v>
      </c>
      <c r="B37" s="21" t="s">
        <v>79</v>
      </c>
      <c r="C37" s="21" t="s">
        <v>75</v>
      </c>
      <c r="D37" s="21">
        <v>1.3</v>
      </c>
      <c r="E37" s="21" t="s">
        <v>14</v>
      </c>
      <c r="F37" s="22">
        <v>27000</v>
      </c>
      <c r="G37" s="22">
        <f t="shared" si="6"/>
        <v>35100</v>
      </c>
      <c r="H37" s="22">
        <v>29000</v>
      </c>
      <c r="I37" s="22">
        <f t="shared" si="7"/>
        <v>37700</v>
      </c>
      <c r="J37" s="22">
        <f t="shared" si="8"/>
        <v>2600</v>
      </c>
      <c r="K37" s="52"/>
      <c r="L37" s="52"/>
    </row>
    <row r="38" spans="1:27" x14ac:dyDescent="0.25">
      <c r="A38" s="20">
        <v>46197</v>
      </c>
      <c r="B38" s="21" t="s">
        <v>38</v>
      </c>
      <c r="C38" s="21" t="s">
        <v>75</v>
      </c>
      <c r="D38" s="21">
        <v>1.1000000000000001</v>
      </c>
      <c r="E38" s="21" t="s">
        <v>220</v>
      </c>
      <c r="F38" s="22">
        <v>21000</v>
      </c>
      <c r="G38" s="22">
        <f t="shared" si="6"/>
        <v>23100.000000000004</v>
      </c>
      <c r="H38" s="22">
        <v>23000</v>
      </c>
      <c r="I38" s="22">
        <f t="shared" si="7"/>
        <v>25300.000000000004</v>
      </c>
      <c r="J38" s="22">
        <f t="shared" si="8"/>
        <v>2200</v>
      </c>
      <c r="K38" s="29" t="s">
        <v>39</v>
      </c>
      <c r="L38" s="30" t="s">
        <v>221</v>
      </c>
    </row>
    <row r="39" spans="1:27" x14ac:dyDescent="0.25">
      <c r="A39" s="20">
        <v>46198</v>
      </c>
      <c r="B39" s="21" t="s">
        <v>80</v>
      </c>
      <c r="C39" s="21" t="s">
        <v>75</v>
      </c>
      <c r="D39" s="21">
        <v>1.4</v>
      </c>
      <c r="E39" s="21" t="s">
        <v>26</v>
      </c>
      <c r="F39" s="22">
        <v>19000</v>
      </c>
      <c r="G39" s="22">
        <f t="shared" si="6"/>
        <v>26600</v>
      </c>
      <c r="H39" s="22">
        <v>23000</v>
      </c>
      <c r="I39" s="22">
        <f t="shared" si="7"/>
        <v>32199.999999999996</v>
      </c>
      <c r="J39" s="22">
        <f t="shared" si="8"/>
        <v>5599.9999999999964</v>
      </c>
      <c r="K39" s="51" t="s">
        <v>39</v>
      </c>
      <c r="L39" s="53" t="s">
        <v>221</v>
      </c>
    </row>
    <row r="40" spans="1:27" x14ac:dyDescent="0.25">
      <c r="A40" s="20">
        <v>46198</v>
      </c>
      <c r="B40" s="21" t="s">
        <v>80</v>
      </c>
      <c r="C40" s="21" t="s">
        <v>75</v>
      </c>
      <c r="D40" s="21">
        <v>1.3</v>
      </c>
      <c r="E40" s="21" t="s">
        <v>14</v>
      </c>
      <c r="F40" s="22">
        <v>27000</v>
      </c>
      <c r="G40" s="22">
        <f t="shared" si="6"/>
        <v>35100</v>
      </c>
      <c r="H40" s="22">
        <v>29000</v>
      </c>
      <c r="I40" s="22">
        <f t="shared" si="7"/>
        <v>37700</v>
      </c>
      <c r="J40" s="22">
        <f t="shared" si="8"/>
        <v>2600</v>
      </c>
      <c r="K40" s="52"/>
      <c r="L40" s="52"/>
    </row>
    <row r="41" spans="1:27" x14ac:dyDescent="0.25">
      <c r="A41" s="20">
        <v>46198</v>
      </c>
      <c r="B41" s="21" t="s">
        <v>80</v>
      </c>
      <c r="C41" s="21" t="s">
        <v>75</v>
      </c>
      <c r="D41" s="21">
        <f>0.8+0.9</f>
        <v>1.7000000000000002</v>
      </c>
      <c r="E41" s="21" t="s">
        <v>220</v>
      </c>
      <c r="F41" s="22">
        <v>21000</v>
      </c>
      <c r="G41" s="22">
        <f t="shared" si="6"/>
        <v>35700.000000000007</v>
      </c>
      <c r="H41" s="22">
        <v>23000</v>
      </c>
      <c r="I41" s="22">
        <f t="shared" si="7"/>
        <v>39100.000000000007</v>
      </c>
      <c r="J41" s="22">
        <f t="shared" si="8"/>
        <v>3400</v>
      </c>
      <c r="K41" s="52"/>
      <c r="L41" s="52"/>
    </row>
    <row r="42" spans="1:27" x14ac:dyDescent="0.25">
      <c r="A42" s="24" t="s">
        <v>223</v>
      </c>
      <c r="B42" s="25"/>
      <c r="C42" s="25"/>
      <c r="D42" s="24">
        <f>SUM(D26:D41)</f>
        <v>29.400000000000002</v>
      </c>
      <c r="E42" s="25"/>
      <c r="F42" s="25"/>
      <c r="G42" s="26">
        <f>SUM(G26:G41)</f>
        <v>654600</v>
      </c>
      <c r="H42" s="26"/>
      <c r="I42" s="27"/>
      <c r="J42" s="26">
        <f>SUM(J26:J41)</f>
        <v>74900</v>
      </c>
      <c r="K42" s="25"/>
      <c r="L42" s="27"/>
    </row>
    <row r="43" spans="1:27" x14ac:dyDescent="0.25">
      <c r="A43" s="32">
        <v>46202</v>
      </c>
      <c r="B43" s="21" t="s">
        <v>81</v>
      </c>
      <c r="C43" s="21" t="s">
        <v>75</v>
      </c>
      <c r="D43" s="47">
        <f>1.8+1.8</f>
        <v>3.6</v>
      </c>
      <c r="E43" s="21" t="s">
        <v>237</v>
      </c>
      <c r="F43" s="33">
        <v>19000</v>
      </c>
      <c r="G43" s="33">
        <f t="shared" ref="G43:G48" si="9">F43*D43</f>
        <v>68400</v>
      </c>
      <c r="H43" s="33">
        <v>22000</v>
      </c>
      <c r="I43" s="33">
        <f t="shared" ref="I43:I48" si="10">H43*D43</f>
        <v>79200</v>
      </c>
      <c r="J43" s="33">
        <f t="shared" ref="J43:J48" si="11">I43-(D43*F43)</f>
        <v>10800</v>
      </c>
      <c r="K43" s="21" t="s">
        <v>39</v>
      </c>
      <c r="L43" s="23" t="s">
        <v>221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x14ac:dyDescent="0.25">
      <c r="A44" s="32">
        <v>46202</v>
      </c>
      <c r="B44" s="21" t="s">
        <v>61</v>
      </c>
      <c r="C44" s="21" t="s">
        <v>75</v>
      </c>
      <c r="D44" s="47">
        <v>4</v>
      </c>
      <c r="E44" s="21" t="s">
        <v>28</v>
      </c>
      <c r="F44" s="33">
        <v>17000</v>
      </c>
      <c r="G44" s="33">
        <f t="shared" si="9"/>
        <v>68000</v>
      </c>
      <c r="H44" s="33">
        <v>20000</v>
      </c>
      <c r="I44" s="33">
        <f t="shared" si="10"/>
        <v>80000</v>
      </c>
      <c r="J44" s="33">
        <f t="shared" si="11"/>
        <v>12000</v>
      </c>
      <c r="K44" s="55" t="s">
        <v>39</v>
      </c>
      <c r="L44" s="53" t="s">
        <v>221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x14ac:dyDescent="0.25">
      <c r="A45" s="32">
        <v>46202</v>
      </c>
      <c r="B45" s="21" t="s">
        <v>61</v>
      </c>
      <c r="C45" s="21" t="s">
        <v>75</v>
      </c>
      <c r="D45" s="47">
        <v>1.5</v>
      </c>
      <c r="E45" s="21" t="s">
        <v>14</v>
      </c>
      <c r="F45" s="33">
        <v>27000</v>
      </c>
      <c r="G45" s="33">
        <f t="shared" si="9"/>
        <v>40500</v>
      </c>
      <c r="H45" s="33">
        <v>29000</v>
      </c>
      <c r="I45" s="33">
        <f t="shared" si="10"/>
        <v>43500</v>
      </c>
      <c r="J45" s="33">
        <f t="shared" si="11"/>
        <v>3000</v>
      </c>
      <c r="K45" s="52"/>
      <c r="L45" s="52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x14ac:dyDescent="0.25">
      <c r="A46" s="32">
        <v>46203</v>
      </c>
      <c r="B46" s="21" t="s">
        <v>42</v>
      </c>
      <c r="C46" s="21" t="s">
        <v>75</v>
      </c>
      <c r="D46" s="47">
        <v>1</v>
      </c>
      <c r="E46" s="21" t="s">
        <v>256</v>
      </c>
      <c r="F46" s="33">
        <v>19000</v>
      </c>
      <c r="G46" s="33">
        <f t="shared" si="9"/>
        <v>19000</v>
      </c>
      <c r="H46" s="33">
        <v>22000</v>
      </c>
      <c r="I46" s="33">
        <f t="shared" si="10"/>
        <v>22000</v>
      </c>
      <c r="J46" s="33">
        <f t="shared" si="11"/>
        <v>3000</v>
      </c>
      <c r="K46" s="21" t="s">
        <v>259</v>
      </c>
      <c r="L46" s="23" t="s">
        <v>221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x14ac:dyDescent="0.25">
      <c r="A47" s="32">
        <v>46203</v>
      </c>
      <c r="B47" s="21" t="s">
        <v>108</v>
      </c>
      <c r="C47" s="21" t="s">
        <v>75</v>
      </c>
      <c r="D47" s="47">
        <f>1.1+1.8+1.5+1.5</f>
        <v>5.9</v>
      </c>
      <c r="E47" s="21" t="s">
        <v>14</v>
      </c>
      <c r="F47" s="33">
        <v>27000</v>
      </c>
      <c r="G47" s="33">
        <f t="shared" si="9"/>
        <v>159300</v>
      </c>
      <c r="H47" s="33">
        <v>29000</v>
      </c>
      <c r="I47" s="33">
        <f t="shared" si="10"/>
        <v>171100</v>
      </c>
      <c r="J47" s="33">
        <f t="shared" si="11"/>
        <v>11800</v>
      </c>
      <c r="K47" s="21" t="s">
        <v>259</v>
      </c>
      <c r="L47" s="23" t="s">
        <v>221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x14ac:dyDescent="0.25">
      <c r="A48" s="32">
        <v>46203</v>
      </c>
      <c r="B48" s="21" t="s">
        <v>58</v>
      </c>
      <c r="C48" s="21" t="s">
        <v>75</v>
      </c>
      <c r="D48" s="47">
        <v>1</v>
      </c>
      <c r="E48" s="21" t="s">
        <v>220</v>
      </c>
      <c r="F48" s="33">
        <v>21000</v>
      </c>
      <c r="G48" s="33">
        <f t="shared" si="9"/>
        <v>21000</v>
      </c>
      <c r="H48" s="33">
        <v>23000</v>
      </c>
      <c r="I48" s="33">
        <f t="shared" si="10"/>
        <v>23000</v>
      </c>
      <c r="J48" s="33">
        <f t="shared" si="11"/>
        <v>2000</v>
      </c>
      <c r="K48" s="21" t="s">
        <v>259</v>
      </c>
      <c r="L48" s="23" t="s">
        <v>221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x14ac:dyDescent="0.25">
      <c r="A49" s="24" t="s">
        <v>223</v>
      </c>
      <c r="B49" s="37"/>
      <c r="C49" s="37"/>
      <c r="D49" s="39">
        <f>SUM(D43:D48)</f>
        <v>17</v>
      </c>
      <c r="E49" s="37"/>
      <c r="F49" s="37"/>
      <c r="G49" s="48">
        <f>SUM(G43:G48)</f>
        <v>376200</v>
      </c>
      <c r="H49" s="38"/>
      <c r="I49" s="37"/>
      <c r="J49" s="48">
        <f>SUM(J43:J48)</f>
        <v>42600</v>
      </c>
      <c r="K49" s="37"/>
      <c r="L49" s="37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2.75" customHeight="1" x14ac:dyDescent="0.2">
      <c r="G50" s="45"/>
    </row>
    <row r="51" spans="1:27" ht="12.75" customHeight="1" x14ac:dyDescent="0.2">
      <c r="G51" s="45"/>
    </row>
    <row r="52" spans="1:27" ht="12.75" customHeight="1" x14ac:dyDescent="0.2">
      <c r="G52" s="45"/>
    </row>
    <row r="53" spans="1:27" ht="12.75" customHeight="1" x14ac:dyDescent="0.2">
      <c r="G53" s="45"/>
    </row>
    <row r="54" spans="1:27" ht="12.75" customHeight="1" x14ac:dyDescent="0.2">
      <c r="G54" s="45"/>
    </row>
    <row r="55" spans="1:27" ht="12.75" customHeight="1" x14ac:dyDescent="0.2">
      <c r="G55" s="45"/>
    </row>
    <row r="56" spans="1:27" ht="12.75" customHeight="1" x14ac:dyDescent="0.2">
      <c r="G56" s="45"/>
    </row>
    <row r="57" spans="1:27" ht="12.75" customHeight="1" x14ac:dyDescent="0.2">
      <c r="G57" s="45"/>
    </row>
    <row r="58" spans="1:27" ht="12.75" customHeight="1" x14ac:dyDescent="0.2">
      <c r="G58" s="45"/>
    </row>
    <row r="59" spans="1:27" ht="12.75" customHeight="1" x14ac:dyDescent="0.2">
      <c r="G59" s="45"/>
    </row>
    <row r="60" spans="1:27" ht="12.75" customHeight="1" x14ac:dyDescent="0.2">
      <c r="G60" s="45"/>
    </row>
    <row r="61" spans="1:27" ht="12.75" customHeight="1" x14ac:dyDescent="0.2">
      <c r="G61" s="45"/>
    </row>
    <row r="62" spans="1:27" ht="12.75" customHeight="1" x14ac:dyDescent="0.2">
      <c r="G62" s="45"/>
    </row>
    <row r="63" spans="1:27" ht="12.75" customHeight="1" x14ac:dyDescent="0.2">
      <c r="G63" s="45"/>
    </row>
    <row r="64" spans="1:27" ht="12.75" customHeight="1" x14ac:dyDescent="0.2">
      <c r="G64" s="45"/>
    </row>
    <row r="65" spans="7:7" ht="12.75" customHeight="1" x14ac:dyDescent="0.2">
      <c r="G65" s="45"/>
    </row>
    <row r="66" spans="7:7" ht="12.75" customHeight="1" x14ac:dyDescent="0.2">
      <c r="G66" s="45"/>
    </row>
    <row r="67" spans="7:7" ht="12.75" customHeight="1" x14ac:dyDescent="0.2">
      <c r="G67" s="45"/>
    </row>
    <row r="68" spans="7:7" ht="12.75" customHeight="1" x14ac:dyDescent="0.2">
      <c r="G68" s="45"/>
    </row>
    <row r="69" spans="7:7" ht="12.75" customHeight="1" x14ac:dyDescent="0.2">
      <c r="G69" s="45"/>
    </row>
    <row r="70" spans="7:7" ht="12.75" customHeight="1" x14ac:dyDescent="0.2">
      <c r="G70" s="45"/>
    </row>
    <row r="71" spans="7:7" ht="12.75" customHeight="1" x14ac:dyDescent="0.2">
      <c r="G71" s="45"/>
    </row>
    <row r="72" spans="7:7" ht="12.75" customHeight="1" x14ac:dyDescent="0.2">
      <c r="G72" s="45"/>
    </row>
    <row r="73" spans="7:7" ht="12.75" customHeight="1" x14ac:dyDescent="0.2">
      <c r="G73" s="45"/>
    </row>
    <row r="74" spans="7:7" ht="12.75" customHeight="1" x14ac:dyDescent="0.2">
      <c r="G74" s="45"/>
    </row>
    <row r="75" spans="7:7" ht="12.75" customHeight="1" x14ac:dyDescent="0.2">
      <c r="G75" s="45"/>
    </row>
    <row r="76" spans="7:7" ht="12.75" customHeight="1" x14ac:dyDescent="0.2">
      <c r="G76" s="45"/>
    </row>
    <row r="77" spans="7:7" ht="12.75" customHeight="1" x14ac:dyDescent="0.2">
      <c r="G77" s="45"/>
    </row>
    <row r="78" spans="7:7" ht="12.75" customHeight="1" x14ac:dyDescent="0.2">
      <c r="G78" s="45"/>
    </row>
    <row r="79" spans="7:7" ht="12.75" customHeight="1" x14ac:dyDescent="0.2">
      <c r="G79" s="45"/>
    </row>
    <row r="80" spans="7:7" ht="12.75" customHeight="1" x14ac:dyDescent="0.2">
      <c r="G80" s="45"/>
    </row>
    <row r="81" spans="7:7" ht="12.75" customHeight="1" x14ac:dyDescent="0.2">
      <c r="G81" s="45"/>
    </row>
    <row r="82" spans="7:7" ht="12.75" customHeight="1" x14ac:dyDescent="0.2">
      <c r="G82" s="45"/>
    </row>
    <row r="83" spans="7:7" ht="12.75" customHeight="1" x14ac:dyDescent="0.2">
      <c r="G83" s="45"/>
    </row>
    <row r="84" spans="7:7" ht="12.75" customHeight="1" x14ac:dyDescent="0.2">
      <c r="G84" s="45"/>
    </row>
    <row r="85" spans="7:7" ht="12.75" customHeight="1" x14ac:dyDescent="0.2">
      <c r="G85" s="45"/>
    </row>
    <row r="86" spans="7:7" ht="12.75" customHeight="1" x14ac:dyDescent="0.2">
      <c r="G86" s="45"/>
    </row>
    <row r="87" spans="7:7" ht="12.75" customHeight="1" x14ac:dyDescent="0.2">
      <c r="G87" s="45"/>
    </row>
    <row r="88" spans="7:7" ht="12.75" customHeight="1" x14ac:dyDescent="0.2">
      <c r="G88" s="45"/>
    </row>
    <row r="89" spans="7:7" ht="12.75" customHeight="1" x14ac:dyDescent="0.2">
      <c r="G89" s="45"/>
    </row>
    <row r="90" spans="7:7" ht="12.75" customHeight="1" x14ac:dyDescent="0.2">
      <c r="G90" s="45"/>
    </row>
    <row r="91" spans="7:7" ht="12.75" customHeight="1" x14ac:dyDescent="0.2">
      <c r="G91" s="45"/>
    </row>
    <row r="92" spans="7:7" ht="12.75" customHeight="1" x14ac:dyDescent="0.2">
      <c r="G92" s="45"/>
    </row>
    <row r="93" spans="7:7" ht="12.75" customHeight="1" x14ac:dyDescent="0.2">
      <c r="G93" s="45"/>
    </row>
    <row r="94" spans="7:7" ht="12.75" customHeight="1" x14ac:dyDescent="0.2">
      <c r="G94" s="45"/>
    </row>
    <row r="95" spans="7:7" ht="12.75" customHeight="1" x14ac:dyDescent="0.2">
      <c r="G95" s="45"/>
    </row>
    <row r="96" spans="7:7" ht="12.75" customHeight="1" x14ac:dyDescent="0.2">
      <c r="G96" s="45"/>
    </row>
    <row r="97" spans="7:7" ht="12.75" customHeight="1" x14ac:dyDescent="0.2">
      <c r="G97" s="45"/>
    </row>
    <row r="98" spans="7:7" ht="12.75" customHeight="1" x14ac:dyDescent="0.2">
      <c r="G98" s="45"/>
    </row>
    <row r="99" spans="7:7" ht="12.75" customHeight="1" x14ac:dyDescent="0.2">
      <c r="G99" s="45"/>
    </row>
    <row r="100" spans="7:7" ht="12.75" customHeight="1" x14ac:dyDescent="0.2">
      <c r="G100" s="45"/>
    </row>
    <row r="101" spans="7:7" ht="12.75" customHeight="1" x14ac:dyDescent="0.2">
      <c r="G101" s="45"/>
    </row>
    <row r="102" spans="7:7" ht="12.75" customHeight="1" x14ac:dyDescent="0.2">
      <c r="G102" s="45"/>
    </row>
    <row r="103" spans="7:7" ht="12.75" customHeight="1" x14ac:dyDescent="0.2">
      <c r="G103" s="45"/>
    </row>
    <row r="104" spans="7:7" ht="12.75" customHeight="1" x14ac:dyDescent="0.2">
      <c r="G104" s="45"/>
    </row>
    <row r="105" spans="7:7" ht="12.75" customHeight="1" x14ac:dyDescent="0.2">
      <c r="G105" s="45"/>
    </row>
    <row r="106" spans="7:7" ht="12.75" customHeight="1" x14ac:dyDescent="0.2">
      <c r="G106" s="45"/>
    </row>
    <row r="107" spans="7:7" ht="12.75" customHeight="1" x14ac:dyDescent="0.2">
      <c r="G107" s="45"/>
    </row>
    <row r="108" spans="7:7" ht="12.75" customHeight="1" x14ac:dyDescent="0.2">
      <c r="G108" s="45"/>
    </row>
    <row r="109" spans="7:7" ht="12.75" customHeight="1" x14ac:dyDescent="0.2">
      <c r="G109" s="45"/>
    </row>
    <row r="110" spans="7:7" ht="12.75" customHeight="1" x14ac:dyDescent="0.2">
      <c r="G110" s="45"/>
    </row>
    <row r="111" spans="7:7" ht="12.75" customHeight="1" x14ac:dyDescent="0.2">
      <c r="G111" s="45"/>
    </row>
    <row r="112" spans="7:7" ht="12.75" customHeight="1" x14ac:dyDescent="0.2">
      <c r="G112" s="45"/>
    </row>
    <row r="113" spans="7:7" ht="12.75" customHeight="1" x14ac:dyDescent="0.2">
      <c r="G113" s="45"/>
    </row>
    <row r="114" spans="7:7" ht="12.75" customHeight="1" x14ac:dyDescent="0.2">
      <c r="G114" s="45"/>
    </row>
    <row r="115" spans="7:7" ht="12.75" customHeight="1" x14ac:dyDescent="0.2">
      <c r="G115" s="45"/>
    </row>
    <row r="116" spans="7:7" ht="12.75" customHeight="1" x14ac:dyDescent="0.2">
      <c r="G116" s="45"/>
    </row>
    <row r="117" spans="7:7" ht="12.75" customHeight="1" x14ac:dyDescent="0.2">
      <c r="G117" s="45"/>
    </row>
    <row r="118" spans="7:7" ht="12.75" customHeight="1" x14ac:dyDescent="0.2">
      <c r="G118" s="45"/>
    </row>
    <row r="119" spans="7:7" ht="12.75" customHeight="1" x14ac:dyDescent="0.2">
      <c r="G119" s="45"/>
    </row>
    <row r="120" spans="7:7" ht="12.75" customHeight="1" x14ac:dyDescent="0.2">
      <c r="G120" s="45"/>
    </row>
    <row r="121" spans="7:7" ht="12.75" customHeight="1" x14ac:dyDescent="0.2">
      <c r="G121" s="45"/>
    </row>
    <row r="122" spans="7:7" ht="12.75" customHeight="1" x14ac:dyDescent="0.2">
      <c r="G122" s="45"/>
    </row>
    <row r="123" spans="7:7" ht="12.75" customHeight="1" x14ac:dyDescent="0.2">
      <c r="G123" s="45"/>
    </row>
    <row r="124" spans="7:7" ht="12.75" customHeight="1" x14ac:dyDescent="0.2">
      <c r="G124" s="45"/>
    </row>
    <row r="125" spans="7:7" ht="12.75" customHeight="1" x14ac:dyDescent="0.2">
      <c r="G125" s="45"/>
    </row>
    <row r="126" spans="7:7" ht="12.75" customHeight="1" x14ac:dyDescent="0.2">
      <c r="G126" s="45"/>
    </row>
    <row r="127" spans="7:7" ht="12.75" customHeight="1" x14ac:dyDescent="0.2">
      <c r="G127" s="45"/>
    </row>
    <row r="128" spans="7:7" ht="12.75" customHeight="1" x14ac:dyDescent="0.2">
      <c r="G128" s="45"/>
    </row>
    <row r="129" spans="7:7" ht="12.75" customHeight="1" x14ac:dyDescent="0.2">
      <c r="G129" s="45"/>
    </row>
    <row r="130" spans="7:7" ht="12.75" customHeight="1" x14ac:dyDescent="0.2">
      <c r="G130" s="45"/>
    </row>
    <row r="131" spans="7:7" ht="12.75" customHeight="1" x14ac:dyDescent="0.2">
      <c r="G131" s="45"/>
    </row>
    <row r="132" spans="7:7" ht="12.75" customHeight="1" x14ac:dyDescent="0.2">
      <c r="G132" s="45"/>
    </row>
    <row r="133" spans="7:7" ht="12.75" customHeight="1" x14ac:dyDescent="0.2">
      <c r="G133" s="45"/>
    </row>
    <row r="134" spans="7:7" ht="12.75" customHeight="1" x14ac:dyDescent="0.2">
      <c r="G134" s="45"/>
    </row>
    <row r="135" spans="7:7" ht="12.75" customHeight="1" x14ac:dyDescent="0.2">
      <c r="G135" s="45"/>
    </row>
    <row r="136" spans="7:7" ht="12.75" customHeight="1" x14ac:dyDescent="0.2">
      <c r="G136" s="45"/>
    </row>
    <row r="137" spans="7:7" ht="12.75" customHeight="1" x14ac:dyDescent="0.2">
      <c r="G137" s="45"/>
    </row>
    <row r="138" spans="7:7" ht="12.75" customHeight="1" x14ac:dyDescent="0.2">
      <c r="G138" s="45"/>
    </row>
    <row r="139" spans="7:7" ht="12.75" customHeight="1" x14ac:dyDescent="0.2">
      <c r="G139" s="45"/>
    </row>
    <row r="140" spans="7:7" ht="12.75" customHeight="1" x14ac:dyDescent="0.2">
      <c r="G140" s="45"/>
    </row>
    <row r="141" spans="7:7" ht="12.75" customHeight="1" x14ac:dyDescent="0.2">
      <c r="G141" s="45"/>
    </row>
    <row r="142" spans="7:7" ht="12.75" customHeight="1" x14ac:dyDescent="0.2">
      <c r="G142" s="45"/>
    </row>
    <row r="143" spans="7:7" ht="12.75" customHeight="1" x14ac:dyDescent="0.2">
      <c r="G143" s="45"/>
    </row>
    <row r="144" spans="7:7" ht="12.75" customHeight="1" x14ac:dyDescent="0.2">
      <c r="G144" s="45"/>
    </row>
    <row r="145" spans="7:7" ht="12.75" customHeight="1" x14ac:dyDescent="0.2">
      <c r="G145" s="45"/>
    </row>
    <row r="146" spans="7:7" ht="12.75" customHeight="1" x14ac:dyDescent="0.2">
      <c r="G146" s="45"/>
    </row>
    <row r="147" spans="7:7" ht="12.75" customHeight="1" x14ac:dyDescent="0.2">
      <c r="G147" s="45"/>
    </row>
    <row r="148" spans="7:7" ht="12.75" customHeight="1" x14ac:dyDescent="0.2">
      <c r="G148" s="45"/>
    </row>
    <row r="149" spans="7:7" ht="12.75" customHeight="1" x14ac:dyDescent="0.2">
      <c r="G149" s="45"/>
    </row>
    <row r="150" spans="7:7" ht="12.75" customHeight="1" x14ac:dyDescent="0.2">
      <c r="G150" s="45"/>
    </row>
    <row r="151" spans="7:7" ht="12.75" customHeight="1" x14ac:dyDescent="0.2">
      <c r="G151" s="45"/>
    </row>
    <row r="152" spans="7:7" ht="12.75" customHeight="1" x14ac:dyDescent="0.2">
      <c r="G152" s="45"/>
    </row>
    <row r="153" spans="7:7" ht="12.75" customHeight="1" x14ac:dyDescent="0.2">
      <c r="G153" s="45"/>
    </row>
    <row r="154" spans="7:7" ht="12.75" customHeight="1" x14ac:dyDescent="0.2">
      <c r="G154" s="45"/>
    </row>
    <row r="155" spans="7:7" ht="12.75" customHeight="1" x14ac:dyDescent="0.2">
      <c r="G155" s="45"/>
    </row>
    <row r="156" spans="7:7" ht="12.75" customHeight="1" x14ac:dyDescent="0.2">
      <c r="G156" s="45"/>
    </row>
    <row r="157" spans="7:7" ht="12.75" customHeight="1" x14ac:dyDescent="0.2">
      <c r="G157" s="45"/>
    </row>
    <row r="158" spans="7:7" ht="12.75" customHeight="1" x14ac:dyDescent="0.2">
      <c r="G158" s="45"/>
    </row>
    <row r="159" spans="7:7" ht="12.75" customHeight="1" x14ac:dyDescent="0.2">
      <c r="G159" s="45"/>
    </row>
    <row r="160" spans="7:7" ht="12.75" customHeight="1" x14ac:dyDescent="0.2">
      <c r="G160" s="45"/>
    </row>
    <row r="161" spans="7:7" ht="12.75" customHeight="1" x14ac:dyDescent="0.2">
      <c r="G161" s="45"/>
    </row>
    <row r="162" spans="7:7" ht="12.75" customHeight="1" x14ac:dyDescent="0.2">
      <c r="G162" s="45"/>
    </row>
    <row r="163" spans="7:7" ht="12.75" customHeight="1" x14ac:dyDescent="0.2">
      <c r="G163" s="45"/>
    </row>
    <row r="164" spans="7:7" ht="12.75" customHeight="1" x14ac:dyDescent="0.2">
      <c r="G164" s="45"/>
    </row>
    <row r="165" spans="7:7" ht="12.75" customHeight="1" x14ac:dyDescent="0.2">
      <c r="G165" s="45"/>
    </row>
    <row r="166" spans="7:7" ht="12.75" customHeight="1" x14ac:dyDescent="0.2">
      <c r="G166" s="45"/>
    </row>
    <row r="167" spans="7:7" ht="12.75" customHeight="1" x14ac:dyDescent="0.2">
      <c r="G167" s="45"/>
    </row>
    <row r="168" spans="7:7" ht="12.75" customHeight="1" x14ac:dyDescent="0.2">
      <c r="G168" s="45"/>
    </row>
    <row r="169" spans="7:7" ht="12.75" customHeight="1" x14ac:dyDescent="0.2">
      <c r="G169" s="45"/>
    </row>
    <row r="170" spans="7:7" ht="12.75" customHeight="1" x14ac:dyDescent="0.2">
      <c r="G170" s="45"/>
    </row>
    <row r="171" spans="7:7" ht="12.75" customHeight="1" x14ac:dyDescent="0.2">
      <c r="G171" s="45"/>
    </row>
    <row r="172" spans="7:7" ht="12.75" customHeight="1" x14ac:dyDescent="0.2">
      <c r="G172" s="45"/>
    </row>
    <row r="173" spans="7:7" ht="12.75" customHeight="1" x14ac:dyDescent="0.2">
      <c r="G173" s="45"/>
    </row>
    <row r="174" spans="7:7" ht="12.75" customHeight="1" x14ac:dyDescent="0.2">
      <c r="G174" s="45"/>
    </row>
    <row r="175" spans="7:7" ht="12.75" customHeight="1" x14ac:dyDescent="0.2">
      <c r="G175" s="45"/>
    </row>
    <row r="176" spans="7:7" ht="12.75" customHeight="1" x14ac:dyDescent="0.2">
      <c r="G176" s="45"/>
    </row>
    <row r="177" spans="7:7" ht="12.75" customHeight="1" x14ac:dyDescent="0.2">
      <c r="G177" s="45"/>
    </row>
    <row r="178" spans="7:7" ht="12.75" customHeight="1" x14ac:dyDescent="0.2">
      <c r="G178" s="45"/>
    </row>
    <row r="179" spans="7:7" ht="12.75" customHeight="1" x14ac:dyDescent="0.2">
      <c r="G179" s="45"/>
    </row>
    <row r="180" spans="7:7" ht="12.75" customHeight="1" x14ac:dyDescent="0.2">
      <c r="G180" s="45"/>
    </row>
    <row r="181" spans="7:7" ht="12.75" customHeight="1" x14ac:dyDescent="0.2">
      <c r="G181" s="45"/>
    </row>
    <row r="182" spans="7:7" ht="12.75" customHeight="1" x14ac:dyDescent="0.2">
      <c r="G182" s="45"/>
    </row>
    <row r="183" spans="7:7" ht="12.75" customHeight="1" x14ac:dyDescent="0.2">
      <c r="G183" s="45"/>
    </row>
    <row r="184" spans="7:7" ht="12.75" customHeight="1" x14ac:dyDescent="0.2">
      <c r="G184" s="45"/>
    </row>
    <row r="185" spans="7:7" ht="12.75" customHeight="1" x14ac:dyDescent="0.2">
      <c r="G185" s="45"/>
    </row>
    <row r="186" spans="7:7" ht="12.75" customHeight="1" x14ac:dyDescent="0.2">
      <c r="G186" s="45"/>
    </row>
    <row r="187" spans="7:7" ht="12.75" customHeight="1" x14ac:dyDescent="0.2">
      <c r="G187" s="45"/>
    </row>
    <row r="188" spans="7:7" ht="12.75" customHeight="1" x14ac:dyDescent="0.2">
      <c r="G188" s="45"/>
    </row>
    <row r="189" spans="7:7" ht="12.75" customHeight="1" x14ac:dyDescent="0.2">
      <c r="G189" s="45"/>
    </row>
    <row r="190" spans="7:7" ht="12.75" customHeight="1" x14ac:dyDescent="0.2">
      <c r="G190" s="45"/>
    </row>
    <row r="191" spans="7:7" ht="12.75" customHeight="1" x14ac:dyDescent="0.2">
      <c r="G191" s="45"/>
    </row>
    <row r="192" spans="7:7" ht="12.75" customHeight="1" x14ac:dyDescent="0.2">
      <c r="G192" s="45"/>
    </row>
    <row r="193" spans="7:7" ht="12.75" customHeight="1" x14ac:dyDescent="0.2">
      <c r="G193" s="45"/>
    </row>
    <row r="194" spans="7:7" ht="12.75" customHeight="1" x14ac:dyDescent="0.2">
      <c r="G194" s="45"/>
    </row>
    <row r="195" spans="7:7" ht="12.75" customHeight="1" x14ac:dyDescent="0.2">
      <c r="G195" s="45"/>
    </row>
    <row r="196" spans="7:7" ht="12.75" customHeight="1" x14ac:dyDescent="0.2">
      <c r="G196" s="45"/>
    </row>
    <row r="197" spans="7:7" ht="12.75" customHeight="1" x14ac:dyDescent="0.2">
      <c r="G197" s="45"/>
    </row>
    <row r="198" spans="7:7" ht="12.75" customHeight="1" x14ac:dyDescent="0.2">
      <c r="G198" s="45"/>
    </row>
    <row r="199" spans="7:7" ht="12.75" customHeight="1" x14ac:dyDescent="0.2">
      <c r="G199" s="45"/>
    </row>
    <row r="200" spans="7:7" ht="12.75" customHeight="1" x14ac:dyDescent="0.2">
      <c r="G200" s="45"/>
    </row>
    <row r="201" spans="7:7" ht="12.75" customHeight="1" x14ac:dyDescent="0.2">
      <c r="G201" s="45"/>
    </row>
    <row r="202" spans="7:7" ht="12.75" customHeight="1" x14ac:dyDescent="0.2">
      <c r="G202" s="45"/>
    </row>
    <row r="203" spans="7:7" ht="12.75" customHeight="1" x14ac:dyDescent="0.2">
      <c r="G203" s="45"/>
    </row>
    <row r="204" spans="7:7" ht="12.75" customHeight="1" x14ac:dyDescent="0.2">
      <c r="G204" s="45"/>
    </row>
    <row r="205" spans="7:7" ht="12.75" customHeight="1" x14ac:dyDescent="0.2">
      <c r="G205" s="45"/>
    </row>
    <row r="206" spans="7:7" ht="12.75" customHeight="1" x14ac:dyDescent="0.2">
      <c r="G206" s="45"/>
    </row>
    <row r="207" spans="7:7" ht="12.75" customHeight="1" x14ac:dyDescent="0.2">
      <c r="G207" s="45"/>
    </row>
    <row r="208" spans="7:7" ht="12.75" customHeight="1" x14ac:dyDescent="0.2">
      <c r="G208" s="45"/>
    </row>
    <row r="209" spans="7:7" ht="12.75" customHeight="1" x14ac:dyDescent="0.2">
      <c r="G209" s="45"/>
    </row>
    <row r="210" spans="7:7" ht="12.75" customHeight="1" x14ac:dyDescent="0.2">
      <c r="G210" s="45"/>
    </row>
    <row r="211" spans="7:7" ht="12.75" customHeight="1" x14ac:dyDescent="0.2">
      <c r="G211" s="45"/>
    </row>
    <row r="212" spans="7:7" ht="12.75" customHeight="1" x14ac:dyDescent="0.2">
      <c r="G212" s="45"/>
    </row>
    <row r="213" spans="7:7" ht="12.75" customHeight="1" x14ac:dyDescent="0.2">
      <c r="G213" s="45"/>
    </row>
    <row r="214" spans="7:7" ht="12.75" customHeight="1" x14ac:dyDescent="0.2">
      <c r="G214" s="45"/>
    </row>
    <row r="215" spans="7:7" ht="12.75" customHeight="1" x14ac:dyDescent="0.2">
      <c r="G215" s="45"/>
    </row>
    <row r="216" spans="7:7" ht="12.75" customHeight="1" x14ac:dyDescent="0.2">
      <c r="G216" s="45"/>
    </row>
    <row r="217" spans="7:7" ht="12.75" customHeight="1" x14ac:dyDescent="0.2">
      <c r="G217" s="45"/>
    </row>
    <row r="218" spans="7:7" ht="12.75" customHeight="1" x14ac:dyDescent="0.2">
      <c r="G218" s="45"/>
    </row>
    <row r="219" spans="7:7" ht="12.75" customHeight="1" x14ac:dyDescent="0.2">
      <c r="G219" s="45"/>
    </row>
    <row r="220" spans="7:7" ht="12.75" customHeight="1" x14ac:dyDescent="0.2">
      <c r="G220" s="45"/>
    </row>
    <row r="221" spans="7:7" ht="12.75" customHeight="1" x14ac:dyDescent="0.2">
      <c r="G221" s="45"/>
    </row>
    <row r="222" spans="7:7" ht="12.75" customHeight="1" x14ac:dyDescent="0.2">
      <c r="G222" s="45"/>
    </row>
    <row r="223" spans="7:7" ht="12.75" customHeight="1" x14ac:dyDescent="0.2">
      <c r="G223" s="45"/>
    </row>
    <row r="224" spans="7:7" ht="12.75" customHeight="1" x14ac:dyDescent="0.2">
      <c r="G224" s="45"/>
    </row>
    <row r="225" spans="7:7" ht="12.75" customHeight="1" x14ac:dyDescent="0.2">
      <c r="G225" s="45"/>
    </row>
    <row r="226" spans="7:7" ht="12.75" customHeight="1" x14ac:dyDescent="0.2">
      <c r="G226" s="45"/>
    </row>
    <row r="227" spans="7:7" ht="12.75" customHeight="1" x14ac:dyDescent="0.2">
      <c r="G227" s="45"/>
    </row>
    <row r="228" spans="7:7" ht="12.75" customHeight="1" x14ac:dyDescent="0.2">
      <c r="G228" s="45"/>
    </row>
    <row r="229" spans="7:7" ht="12.75" customHeight="1" x14ac:dyDescent="0.2">
      <c r="G229" s="45"/>
    </row>
    <row r="230" spans="7:7" ht="12.75" customHeight="1" x14ac:dyDescent="0.2">
      <c r="G230" s="45"/>
    </row>
    <row r="231" spans="7:7" ht="12.75" customHeight="1" x14ac:dyDescent="0.2">
      <c r="G231" s="45"/>
    </row>
    <row r="232" spans="7:7" ht="12.75" customHeight="1" x14ac:dyDescent="0.2">
      <c r="G232" s="45"/>
    </row>
    <row r="233" spans="7:7" ht="12.75" customHeight="1" x14ac:dyDescent="0.2">
      <c r="G233" s="45"/>
    </row>
    <row r="234" spans="7:7" ht="12.75" customHeight="1" x14ac:dyDescent="0.2">
      <c r="G234" s="45"/>
    </row>
    <row r="235" spans="7:7" ht="12.75" customHeight="1" x14ac:dyDescent="0.2">
      <c r="G235" s="45"/>
    </row>
    <row r="236" spans="7:7" ht="12.75" customHeight="1" x14ac:dyDescent="0.2">
      <c r="G236" s="45"/>
    </row>
    <row r="237" spans="7:7" ht="12.75" customHeight="1" x14ac:dyDescent="0.2">
      <c r="G237" s="45"/>
    </row>
    <row r="238" spans="7:7" ht="12.75" customHeight="1" x14ac:dyDescent="0.2">
      <c r="G238" s="45"/>
    </row>
    <row r="239" spans="7:7" ht="12.75" customHeight="1" x14ac:dyDescent="0.2">
      <c r="G239" s="45"/>
    </row>
    <row r="240" spans="7:7" ht="12.75" customHeight="1" x14ac:dyDescent="0.2">
      <c r="G240" s="45"/>
    </row>
    <row r="241" spans="7:7" ht="12.75" customHeight="1" x14ac:dyDescent="0.2">
      <c r="G241" s="45"/>
    </row>
    <row r="242" spans="7:7" ht="12.75" customHeight="1" x14ac:dyDescent="0.2">
      <c r="G242" s="45"/>
    </row>
    <row r="243" spans="7:7" ht="12.75" customHeight="1" x14ac:dyDescent="0.2">
      <c r="G243" s="45"/>
    </row>
    <row r="244" spans="7:7" ht="12.75" customHeight="1" x14ac:dyDescent="0.2">
      <c r="G244" s="45"/>
    </row>
    <row r="245" spans="7:7" ht="12.75" customHeight="1" x14ac:dyDescent="0.2">
      <c r="G245" s="45"/>
    </row>
    <row r="246" spans="7:7" ht="12.75" customHeight="1" x14ac:dyDescent="0.2">
      <c r="G246" s="45"/>
    </row>
    <row r="247" spans="7:7" ht="12.75" customHeight="1" x14ac:dyDescent="0.2">
      <c r="G247" s="45"/>
    </row>
    <row r="248" spans="7:7" ht="12.75" customHeight="1" x14ac:dyDescent="0.2">
      <c r="G248" s="45"/>
    </row>
    <row r="249" spans="7:7" ht="12.75" customHeight="1" x14ac:dyDescent="0.2">
      <c r="G249" s="45"/>
    </row>
    <row r="250" spans="7:7" ht="12.75" customHeight="1" x14ac:dyDescent="0.2">
      <c r="G250" s="45"/>
    </row>
    <row r="251" spans="7:7" ht="12.75" customHeight="1" x14ac:dyDescent="0.2">
      <c r="G251" s="45"/>
    </row>
    <row r="252" spans="7:7" ht="12.75" customHeight="1" x14ac:dyDescent="0.2">
      <c r="G252" s="45"/>
    </row>
    <row r="253" spans="7:7" ht="12.75" customHeight="1" x14ac:dyDescent="0.2">
      <c r="G253" s="45"/>
    </row>
    <row r="254" spans="7:7" ht="12.75" customHeight="1" x14ac:dyDescent="0.2">
      <c r="G254" s="45"/>
    </row>
    <row r="255" spans="7:7" ht="12.75" customHeight="1" x14ac:dyDescent="0.2">
      <c r="G255" s="45"/>
    </row>
    <row r="256" spans="7:7" ht="12.75" customHeight="1" x14ac:dyDescent="0.2">
      <c r="G256" s="45"/>
    </row>
    <row r="257" spans="7:7" ht="12.75" customHeight="1" x14ac:dyDescent="0.2">
      <c r="G257" s="45"/>
    </row>
    <row r="258" spans="7:7" ht="12.75" customHeight="1" x14ac:dyDescent="0.2">
      <c r="G258" s="45"/>
    </row>
    <row r="259" spans="7:7" ht="12.75" customHeight="1" x14ac:dyDescent="0.2">
      <c r="G259" s="45"/>
    </row>
    <row r="260" spans="7:7" ht="12.75" customHeight="1" x14ac:dyDescent="0.2">
      <c r="G260" s="45"/>
    </row>
    <row r="261" spans="7:7" ht="12.75" customHeight="1" x14ac:dyDescent="0.2">
      <c r="G261" s="45"/>
    </row>
    <row r="262" spans="7:7" ht="12.75" customHeight="1" x14ac:dyDescent="0.2">
      <c r="G262" s="45"/>
    </row>
    <row r="263" spans="7:7" ht="12.75" customHeight="1" x14ac:dyDescent="0.2">
      <c r="G263" s="45"/>
    </row>
    <row r="264" spans="7:7" ht="12.75" customHeight="1" x14ac:dyDescent="0.2">
      <c r="G264" s="45"/>
    </row>
    <row r="265" spans="7:7" ht="12.75" customHeight="1" x14ac:dyDescent="0.2">
      <c r="G265" s="45"/>
    </row>
    <row r="266" spans="7:7" ht="12.75" customHeight="1" x14ac:dyDescent="0.2">
      <c r="G266" s="45"/>
    </row>
    <row r="267" spans="7:7" ht="12.75" customHeight="1" x14ac:dyDescent="0.2">
      <c r="G267" s="45"/>
    </row>
    <row r="268" spans="7:7" ht="12.75" customHeight="1" x14ac:dyDescent="0.2">
      <c r="G268" s="45"/>
    </row>
    <row r="269" spans="7:7" ht="12.75" customHeight="1" x14ac:dyDescent="0.2">
      <c r="G269" s="45"/>
    </row>
    <row r="270" spans="7:7" ht="12.75" customHeight="1" x14ac:dyDescent="0.2">
      <c r="G270" s="45"/>
    </row>
    <row r="271" spans="7:7" ht="12.75" customHeight="1" x14ac:dyDescent="0.2">
      <c r="G271" s="45"/>
    </row>
    <row r="272" spans="7:7" ht="12.75" customHeight="1" x14ac:dyDescent="0.2">
      <c r="G272" s="45"/>
    </row>
    <row r="273" spans="7:7" ht="12.75" customHeight="1" x14ac:dyDescent="0.2">
      <c r="G273" s="45"/>
    </row>
    <row r="274" spans="7:7" ht="12.75" customHeight="1" x14ac:dyDescent="0.2">
      <c r="G274" s="45"/>
    </row>
    <row r="275" spans="7:7" ht="12.75" customHeight="1" x14ac:dyDescent="0.2">
      <c r="G275" s="45"/>
    </row>
    <row r="276" spans="7:7" ht="12.75" customHeight="1" x14ac:dyDescent="0.2">
      <c r="G276" s="45"/>
    </row>
    <row r="277" spans="7:7" ht="12.75" customHeight="1" x14ac:dyDescent="0.2">
      <c r="G277" s="45"/>
    </row>
    <row r="278" spans="7:7" ht="12.75" customHeight="1" x14ac:dyDescent="0.2">
      <c r="G278" s="45"/>
    </row>
    <row r="279" spans="7:7" ht="12.75" customHeight="1" x14ac:dyDescent="0.2">
      <c r="G279" s="45"/>
    </row>
    <row r="280" spans="7:7" ht="12.75" customHeight="1" x14ac:dyDescent="0.2">
      <c r="G280" s="45"/>
    </row>
    <row r="281" spans="7:7" ht="12.75" customHeight="1" x14ac:dyDescent="0.2">
      <c r="G281" s="45"/>
    </row>
    <row r="282" spans="7:7" ht="12.75" customHeight="1" x14ac:dyDescent="0.2">
      <c r="G282" s="45"/>
    </row>
    <row r="283" spans="7:7" ht="12.75" customHeight="1" x14ac:dyDescent="0.2">
      <c r="G283" s="45"/>
    </row>
    <row r="284" spans="7:7" ht="12.75" customHeight="1" x14ac:dyDescent="0.2">
      <c r="G284" s="45"/>
    </row>
    <row r="285" spans="7:7" ht="12.75" customHeight="1" x14ac:dyDescent="0.2">
      <c r="G285" s="45"/>
    </row>
    <row r="286" spans="7:7" ht="12.75" customHeight="1" x14ac:dyDescent="0.2">
      <c r="G286" s="45"/>
    </row>
    <row r="287" spans="7:7" ht="12.75" customHeight="1" x14ac:dyDescent="0.2">
      <c r="G287" s="45"/>
    </row>
    <row r="288" spans="7:7" ht="12.75" customHeight="1" x14ac:dyDescent="0.2">
      <c r="G288" s="45"/>
    </row>
    <row r="289" spans="7:7" ht="12.75" customHeight="1" x14ac:dyDescent="0.2">
      <c r="G289" s="45"/>
    </row>
    <row r="290" spans="7:7" ht="12.75" customHeight="1" x14ac:dyDescent="0.2">
      <c r="G290" s="45"/>
    </row>
    <row r="291" spans="7:7" ht="12.75" customHeight="1" x14ac:dyDescent="0.2">
      <c r="G291" s="45"/>
    </row>
    <row r="292" spans="7:7" ht="12.75" customHeight="1" x14ac:dyDescent="0.2">
      <c r="G292" s="45"/>
    </row>
    <row r="293" spans="7:7" ht="12.75" customHeight="1" x14ac:dyDescent="0.2">
      <c r="G293" s="45"/>
    </row>
    <row r="294" spans="7:7" ht="12.75" customHeight="1" x14ac:dyDescent="0.2">
      <c r="G294" s="45"/>
    </row>
    <row r="295" spans="7:7" ht="12.75" customHeight="1" x14ac:dyDescent="0.2">
      <c r="G295" s="45"/>
    </row>
    <row r="296" spans="7:7" ht="12.75" customHeight="1" x14ac:dyDescent="0.2">
      <c r="G296" s="45"/>
    </row>
    <row r="297" spans="7:7" ht="12.75" customHeight="1" x14ac:dyDescent="0.2">
      <c r="G297" s="45"/>
    </row>
    <row r="298" spans="7:7" ht="12.75" customHeight="1" x14ac:dyDescent="0.2">
      <c r="G298" s="45"/>
    </row>
    <row r="299" spans="7:7" ht="12.75" customHeight="1" x14ac:dyDescent="0.2">
      <c r="G299" s="45"/>
    </row>
    <row r="300" spans="7:7" ht="12.75" customHeight="1" x14ac:dyDescent="0.2">
      <c r="G300" s="45"/>
    </row>
    <row r="301" spans="7:7" ht="12.75" customHeight="1" x14ac:dyDescent="0.2">
      <c r="G301" s="45"/>
    </row>
    <row r="302" spans="7:7" ht="12.75" customHeight="1" x14ac:dyDescent="0.2">
      <c r="G302" s="45"/>
    </row>
    <row r="303" spans="7:7" ht="12.75" customHeight="1" x14ac:dyDescent="0.2">
      <c r="G303" s="45"/>
    </row>
    <row r="304" spans="7:7" ht="12.75" customHeight="1" x14ac:dyDescent="0.2">
      <c r="G304" s="45"/>
    </row>
    <row r="305" spans="7:7" ht="12.75" customHeight="1" x14ac:dyDescent="0.2">
      <c r="G305" s="45"/>
    </row>
    <row r="306" spans="7:7" ht="12.75" customHeight="1" x14ac:dyDescent="0.2">
      <c r="G306" s="45"/>
    </row>
    <row r="307" spans="7:7" ht="12.75" customHeight="1" x14ac:dyDescent="0.2">
      <c r="G307" s="45"/>
    </row>
    <row r="308" spans="7:7" ht="12.75" customHeight="1" x14ac:dyDescent="0.2">
      <c r="G308" s="45"/>
    </row>
    <row r="309" spans="7:7" ht="12.75" customHeight="1" x14ac:dyDescent="0.2">
      <c r="G309" s="45"/>
    </row>
    <row r="310" spans="7:7" ht="12.75" customHeight="1" x14ac:dyDescent="0.2">
      <c r="G310" s="45"/>
    </row>
    <row r="311" spans="7:7" ht="12.75" customHeight="1" x14ac:dyDescent="0.2">
      <c r="G311" s="45"/>
    </row>
    <row r="312" spans="7:7" ht="12.75" customHeight="1" x14ac:dyDescent="0.2">
      <c r="G312" s="45"/>
    </row>
    <row r="313" spans="7:7" ht="12.75" customHeight="1" x14ac:dyDescent="0.2">
      <c r="G313" s="45"/>
    </row>
    <row r="314" spans="7:7" ht="12.75" customHeight="1" x14ac:dyDescent="0.2">
      <c r="G314" s="45"/>
    </row>
    <row r="315" spans="7:7" ht="12.75" customHeight="1" x14ac:dyDescent="0.2">
      <c r="G315" s="45"/>
    </row>
    <row r="316" spans="7:7" ht="12.75" customHeight="1" x14ac:dyDescent="0.2">
      <c r="G316" s="45"/>
    </row>
    <row r="317" spans="7:7" ht="12.75" customHeight="1" x14ac:dyDescent="0.2">
      <c r="G317" s="45"/>
    </row>
    <row r="318" spans="7:7" ht="12.75" customHeight="1" x14ac:dyDescent="0.2">
      <c r="G318" s="45"/>
    </row>
    <row r="319" spans="7:7" ht="12.75" customHeight="1" x14ac:dyDescent="0.2">
      <c r="G319" s="45"/>
    </row>
    <row r="320" spans="7:7" ht="12.75" customHeight="1" x14ac:dyDescent="0.2">
      <c r="G320" s="45"/>
    </row>
    <row r="321" spans="7:7" ht="12.75" customHeight="1" x14ac:dyDescent="0.2">
      <c r="G321" s="45"/>
    </row>
    <row r="322" spans="7:7" ht="12.75" customHeight="1" x14ac:dyDescent="0.2">
      <c r="G322" s="45"/>
    </row>
    <row r="323" spans="7:7" ht="12.75" customHeight="1" x14ac:dyDescent="0.2">
      <c r="G323" s="45"/>
    </row>
    <row r="324" spans="7:7" ht="12.75" customHeight="1" x14ac:dyDescent="0.2">
      <c r="G324" s="45"/>
    </row>
    <row r="325" spans="7:7" ht="12.75" customHeight="1" x14ac:dyDescent="0.2">
      <c r="G325" s="45"/>
    </row>
    <row r="326" spans="7:7" ht="12.75" customHeight="1" x14ac:dyDescent="0.2">
      <c r="G326" s="45"/>
    </row>
    <row r="327" spans="7:7" ht="12.75" customHeight="1" x14ac:dyDescent="0.2">
      <c r="G327" s="45"/>
    </row>
    <row r="328" spans="7:7" ht="12.75" customHeight="1" x14ac:dyDescent="0.2">
      <c r="G328" s="45"/>
    </row>
    <row r="329" spans="7:7" ht="12.75" customHeight="1" x14ac:dyDescent="0.2">
      <c r="G329" s="45"/>
    </row>
    <row r="330" spans="7:7" ht="12.75" customHeight="1" x14ac:dyDescent="0.2">
      <c r="G330" s="45"/>
    </row>
    <row r="331" spans="7:7" ht="12.75" customHeight="1" x14ac:dyDescent="0.2">
      <c r="G331" s="45"/>
    </row>
    <row r="332" spans="7:7" ht="12.75" customHeight="1" x14ac:dyDescent="0.2">
      <c r="G332" s="45"/>
    </row>
    <row r="333" spans="7:7" ht="12.75" customHeight="1" x14ac:dyDescent="0.2">
      <c r="G333" s="45"/>
    </row>
    <row r="334" spans="7:7" ht="12.75" customHeight="1" x14ac:dyDescent="0.2">
      <c r="G334" s="45"/>
    </row>
    <row r="335" spans="7:7" ht="12.75" customHeight="1" x14ac:dyDescent="0.2">
      <c r="G335" s="45"/>
    </row>
    <row r="336" spans="7:7" ht="12.75" customHeight="1" x14ac:dyDescent="0.2">
      <c r="G336" s="45"/>
    </row>
    <row r="337" spans="7:7" ht="12.75" customHeight="1" x14ac:dyDescent="0.2">
      <c r="G337" s="45"/>
    </row>
    <row r="338" spans="7:7" ht="12.75" customHeight="1" x14ac:dyDescent="0.2">
      <c r="G338" s="45"/>
    </row>
    <row r="339" spans="7:7" ht="12.75" customHeight="1" x14ac:dyDescent="0.2">
      <c r="G339" s="45"/>
    </row>
    <row r="340" spans="7:7" ht="12.75" customHeight="1" x14ac:dyDescent="0.2">
      <c r="G340" s="45"/>
    </row>
    <row r="341" spans="7:7" ht="12.75" customHeight="1" x14ac:dyDescent="0.2">
      <c r="G341" s="45"/>
    </row>
    <row r="342" spans="7:7" ht="12.75" customHeight="1" x14ac:dyDescent="0.2">
      <c r="G342" s="45"/>
    </row>
    <row r="343" spans="7:7" ht="12.75" customHeight="1" x14ac:dyDescent="0.2">
      <c r="G343" s="45"/>
    </row>
    <row r="344" spans="7:7" ht="12.75" customHeight="1" x14ac:dyDescent="0.2">
      <c r="G344" s="45"/>
    </row>
    <row r="345" spans="7:7" ht="12.75" customHeight="1" x14ac:dyDescent="0.2">
      <c r="G345" s="45"/>
    </row>
    <row r="346" spans="7:7" ht="12.75" customHeight="1" x14ac:dyDescent="0.2">
      <c r="G346" s="45"/>
    </row>
    <row r="347" spans="7:7" ht="12.75" customHeight="1" x14ac:dyDescent="0.2">
      <c r="G347" s="45"/>
    </row>
    <row r="348" spans="7:7" ht="12.75" customHeight="1" x14ac:dyDescent="0.2">
      <c r="G348" s="45"/>
    </row>
    <row r="349" spans="7:7" ht="12.75" customHeight="1" x14ac:dyDescent="0.2">
      <c r="G349" s="45"/>
    </row>
    <row r="350" spans="7:7" ht="12.75" customHeight="1" x14ac:dyDescent="0.2">
      <c r="G350" s="45"/>
    </row>
    <row r="351" spans="7:7" ht="12.75" customHeight="1" x14ac:dyDescent="0.2">
      <c r="G351" s="45"/>
    </row>
    <row r="352" spans="7:7" ht="12.75" customHeight="1" x14ac:dyDescent="0.2">
      <c r="G352" s="45"/>
    </row>
    <row r="353" spans="7:7" ht="12.75" customHeight="1" x14ac:dyDescent="0.2">
      <c r="G353" s="45"/>
    </row>
    <row r="354" spans="7:7" ht="12.75" customHeight="1" x14ac:dyDescent="0.2">
      <c r="G354" s="45"/>
    </row>
    <row r="355" spans="7:7" ht="12.75" customHeight="1" x14ac:dyDescent="0.2">
      <c r="G355" s="45"/>
    </row>
    <row r="356" spans="7:7" ht="12.75" customHeight="1" x14ac:dyDescent="0.2">
      <c r="G356" s="45"/>
    </row>
    <row r="357" spans="7:7" ht="12.75" customHeight="1" x14ac:dyDescent="0.2">
      <c r="G357" s="45"/>
    </row>
    <row r="358" spans="7:7" ht="12.75" customHeight="1" x14ac:dyDescent="0.2">
      <c r="G358" s="45"/>
    </row>
    <row r="359" spans="7:7" ht="12.75" customHeight="1" x14ac:dyDescent="0.2">
      <c r="G359" s="45"/>
    </row>
    <row r="360" spans="7:7" ht="12.75" customHeight="1" x14ac:dyDescent="0.2">
      <c r="G360" s="45"/>
    </row>
    <row r="361" spans="7:7" ht="12.75" customHeight="1" x14ac:dyDescent="0.2">
      <c r="G361" s="45"/>
    </row>
    <row r="362" spans="7:7" ht="12.75" customHeight="1" x14ac:dyDescent="0.2">
      <c r="G362" s="45"/>
    </row>
    <row r="363" spans="7:7" ht="12.75" customHeight="1" x14ac:dyDescent="0.2">
      <c r="G363" s="45"/>
    </row>
    <row r="364" spans="7:7" ht="12.75" customHeight="1" x14ac:dyDescent="0.2">
      <c r="G364" s="45"/>
    </row>
    <row r="365" spans="7:7" ht="12.75" customHeight="1" x14ac:dyDescent="0.2">
      <c r="G365" s="45"/>
    </row>
    <row r="366" spans="7:7" ht="12.75" customHeight="1" x14ac:dyDescent="0.2">
      <c r="G366" s="45"/>
    </row>
    <row r="367" spans="7:7" ht="12.75" customHeight="1" x14ac:dyDescent="0.2">
      <c r="G367" s="45"/>
    </row>
    <row r="368" spans="7:7" ht="12.75" customHeight="1" x14ac:dyDescent="0.2">
      <c r="G368" s="45"/>
    </row>
    <row r="369" spans="7:7" ht="12.75" customHeight="1" x14ac:dyDescent="0.2">
      <c r="G369" s="45"/>
    </row>
    <row r="370" spans="7:7" ht="12.75" customHeight="1" x14ac:dyDescent="0.2">
      <c r="G370" s="45"/>
    </row>
    <row r="371" spans="7:7" ht="12.75" customHeight="1" x14ac:dyDescent="0.2">
      <c r="G371" s="45"/>
    </row>
    <row r="372" spans="7:7" ht="12.75" customHeight="1" x14ac:dyDescent="0.2">
      <c r="G372" s="45"/>
    </row>
    <row r="373" spans="7:7" ht="12.75" customHeight="1" x14ac:dyDescent="0.2">
      <c r="G373" s="45"/>
    </row>
    <row r="374" spans="7:7" ht="12.75" customHeight="1" x14ac:dyDescent="0.2">
      <c r="G374" s="45"/>
    </row>
    <row r="375" spans="7:7" ht="12.75" customHeight="1" x14ac:dyDescent="0.2">
      <c r="G375" s="45"/>
    </row>
    <row r="376" spans="7:7" ht="12.75" customHeight="1" x14ac:dyDescent="0.2">
      <c r="G376" s="45"/>
    </row>
    <row r="377" spans="7:7" ht="12.75" customHeight="1" x14ac:dyDescent="0.2">
      <c r="G377" s="45"/>
    </row>
    <row r="378" spans="7:7" ht="12.75" customHeight="1" x14ac:dyDescent="0.2">
      <c r="G378" s="45"/>
    </row>
    <row r="379" spans="7:7" ht="12.75" customHeight="1" x14ac:dyDescent="0.2">
      <c r="G379" s="45"/>
    </row>
    <row r="380" spans="7:7" ht="12.75" customHeight="1" x14ac:dyDescent="0.2">
      <c r="G380" s="45"/>
    </row>
    <row r="381" spans="7:7" ht="12.75" customHeight="1" x14ac:dyDescent="0.2">
      <c r="G381" s="45"/>
    </row>
    <row r="382" spans="7:7" ht="12.75" customHeight="1" x14ac:dyDescent="0.2">
      <c r="G382" s="45"/>
    </row>
    <row r="383" spans="7:7" ht="12.75" customHeight="1" x14ac:dyDescent="0.2">
      <c r="G383" s="45"/>
    </row>
    <row r="384" spans="7:7" ht="12.75" customHeight="1" x14ac:dyDescent="0.2">
      <c r="G384" s="45"/>
    </row>
    <row r="385" spans="7:7" ht="12.75" customHeight="1" x14ac:dyDescent="0.2">
      <c r="G385" s="45"/>
    </row>
    <row r="386" spans="7:7" ht="12.75" customHeight="1" x14ac:dyDescent="0.2">
      <c r="G386" s="45"/>
    </row>
    <row r="387" spans="7:7" ht="12.75" customHeight="1" x14ac:dyDescent="0.2">
      <c r="G387" s="45"/>
    </row>
    <row r="388" spans="7:7" ht="12.75" customHeight="1" x14ac:dyDescent="0.2">
      <c r="G388" s="45"/>
    </row>
    <row r="389" spans="7:7" ht="12.75" customHeight="1" x14ac:dyDescent="0.2">
      <c r="G389" s="45"/>
    </row>
    <row r="390" spans="7:7" ht="12.75" customHeight="1" x14ac:dyDescent="0.2">
      <c r="G390" s="45"/>
    </row>
    <row r="391" spans="7:7" ht="12.75" customHeight="1" x14ac:dyDescent="0.2">
      <c r="G391" s="45"/>
    </row>
    <row r="392" spans="7:7" ht="12.75" customHeight="1" x14ac:dyDescent="0.2">
      <c r="G392" s="45"/>
    </row>
    <row r="393" spans="7:7" ht="12.75" customHeight="1" x14ac:dyDescent="0.2">
      <c r="G393" s="45"/>
    </row>
    <row r="394" spans="7:7" ht="12.75" customHeight="1" x14ac:dyDescent="0.2">
      <c r="G394" s="45"/>
    </row>
    <row r="395" spans="7:7" ht="12.75" customHeight="1" x14ac:dyDescent="0.2">
      <c r="G395" s="45"/>
    </row>
    <row r="396" spans="7:7" ht="12.75" customHeight="1" x14ac:dyDescent="0.2">
      <c r="G396" s="45"/>
    </row>
    <row r="397" spans="7:7" ht="12.75" customHeight="1" x14ac:dyDescent="0.2">
      <c r="G397" s="45"/>
    </row>
    <row r="398" spans="7:7" ht="12.75" customHeight="1" x14ac:dyDescent="0.2">
      <c r="G398" s="45"/>
    </row>
    <row r="399" spans="7:7" ht="12.75" customHeight="1" x14ac:dyDescent="0.2">
      <c r="G399" s="45"/>
    </row>
    <row r="400" spans="7:7" ht="12.75" customHeight="1" x14ac:dyDescent="0.2">
      <c r="G400" s="45"/>
    </row>
    <row r="401" spans="7:7" ht="12.75" customHeight="1" x14ac:dyDescent="0.2">
      <c r="G401" s="45"/>
    </row>
    <row r="402" spans="7:7" ht="12.75" customHeight="1" x14ac:dyDescent="0.2">
      <c r="G402" s="45"/>
    </row>
    <row r="403" spans="7:7" ht="12.75" customHeight="1" x14ac:dyDescent="0.2">
      <c r="G403" s="45"/>
    </row>
    <row r="404" spans="7:7" ht="12.75" customHeight="1" x14ac:dyDescent="0.2">
      <c r="G404" s="45"/>
    </row>
    <row r="405" spans="7:7" ht="12.75" customHeight="1" x14ac:dyDescent="0.2">
      <c r="G405" s="45"/>
    </row>
    <row r="406" spans="7:7" ht="12.75" customHeight="1" x14ac:dyDescent="0.2">
      <c r="G406" s="45"/>
    </row>
    <row r="407" spans="7:7" ht="12.75" customHeight="1" x14ac:dyDescent="0.2">
      <c r="G407" s="45"/>
    </row>
    <row r="408" spans="7:7" ht="12.75" customHeight="1" x14ac:dyDescent="0.2">
      <c r="G408" s="45"/>
    </row>
    <row r="409" spans="7:7" ht="12.75" customHeight="1" x14ac:dyDescent="0.2">
      <c r="G409" s="45"/>
    </row>
    <row r="410" spans="7:7" ht="12.75" customHeight="1" x14ac:dyDescent="0.2">
      <c r="G410" s="45"/>
    </row>
    <row r="411" spans="7:7" ht="12.75" customHeight="1" x14ac:dyDescent="0.2">
      <c r="G411" s="45"/>
    </row>
    <row r="412" spans="7:7" ht="12.75" customHeight="1" x14ac:dyDescent="0.2">
      <c r="G412" s="45"/>
    </row>
    <row r="413" spans="7:7" ht="12.75" customHeight="1" x14ac:dyDescent="0.2">
      <c r="G413" s="45"/>
    </row>
    <row r="414" spans="7:7" ht="12.75" customHeight="1" x14ac:dyDescent="0.2">
      <c r="G414" s="45"/>
    </row>
    <row r="415" spans="7:7" ht="12.75" customHeight="1" x14ac:dyDescent="0.2">
      <c r="G415" s="45"/>
    </row>
    <row r="416" spans="7:7" ht="12.75" customHeight="1" x14ac:dyDescent="0.2">
      <c r="G416" s="45"/>
    </row>
    <row r="417" spans="7:7" ht="12.75" customHeight="1" x14ac:dyDescent="0.2">
      <c r="G417" s="45"/>
    </row>
    <row r="418" spans="7:7" ht="12.75" customHeight="1" x14ac:dyDescent="0.2">
      <c r="G418" s="45"/>
    </row>
    <row r="419" spans="7:7" ht="12.75" customHeight="1" x14ac:dyDescent="0.2">
      <c r="G419" s="45"/>
    </row>
    <row r="420" spans="7:7" ht="12.75" customHeight="1" x14ac:dyDescent="0.2">
      <c r="G420" s="45"/>
    </row>
    <row r="421" spans="7:7" ht="12.75" customHeight="1" x14ac:dyDescent="0.2">
      <c r="G421" s="45"/>
    </row>
    <row r="422" spans="7:7" ht="12.75" customHeight="1" x14ac:dyDescent="0.2">
      <c r="G422" s="45"/>
    </row>
    <row r="423" spans="7:7" ht="12.75" customHeight="1" x14ac:dyDescent="0.2">
      <c r="G423" s="45"/>
    </row>
    <row r="424" spans="7:7" ht="12.75" customHeight="1" x14ac:dyDescent="0.2">
      <c r="G424" s="45"/>
    </row>
    <row r="425" spans="7:7" ht="12.75" customHeight="1" x14ac:dyDescent="0.2">
      <c r="G425" s="45"/>
    </row>
    <row r="426" spans="7:7" ht="12.75" customHeight="1" x14ac:dyDescent="0.2">
      <c r="G426" s="45"/>
    </row>
    <row r="427" spans="7:7" ht="12.75" customHeight="1" x14ac:dyDescent="0.2">
      <c r="G427" s="45"/>
    </row>
    <row r="428" spans="7:7" ht="12.75" customHeight="1" x14ac:dyDescent="0.2">
      <c r="G428" s="45"/>
    </row>
    <row r="429" spans="7:7" ht="12.75" customHeight="1" x14ac:dyDescent="0.2">
      <c r="G429" s="45"/>
    </row>
    <row r="430" spans="7:7" ht="12.75" customHeight="1" x14ac:dyDescent="0.2">
      <c r="G430" s="45"/>
    </row>
    <row r="431" spans="7:7" ht="12.75" customHeight="1" x14ac:dyDescent="0.2">
      <c r="G431" s="45"/>
    </row>
    <row r="432" spans="7:7" ht="12.75" customHeight="1" x14ac:dyDescent="0.2">
      <c r="G432" s="45"/>
    </row>
    <row r="433" spans="7:7" ht="12.75" customHeight="1" x14ac:dyDescent="0.2">
      <c r="G433" s="45"/>
    </row>
    <row r="434" spans="7:7" ht="12.75" customHeight="1" x14ac:dyDescent="0.2">
      <c r="G434" s="45"/>
    </row>
    <row r="435" spans="7:7" ht="12.75" customHeight="1" x14ac:dyDescent="0.2">
      <c r="G435" s="45"/>
    </row>
    <row r="436" spans="7:7" ht="12.75" customHeight="1" x14ac:dyDescent="0.2">
      <c r="G436" s="45"/>
    </row>
    <row r="437" spans="7:7" ht="12.75" customHeight="1" x14ac:dyDescent="0.2">
      <c r="G437" s="45"/>
    </row>
    <row r="438" spans="7:7" ht="12.75" customHeight="1" x14ac:dyDescent="0.2">
      <c r="G438" s="45"/>
    </row>
    <row r="439" spans="7:7" ht="12.75" customHeight="1" x14ac:dyDescent="0.2">
      <c r="G439" s="45"/>
    </row>
    <row r="440" spans="7:7" ht="12.75" customHeight="1" x14ac:dyDescent="0.2">
      <c r="G440" s="45"/>
    </row>
    <row r="441" spans="7:7" ht="12.75" customHeight="1" x14ac:dyDescent="0.2">
      <c r="G441" s="45"/>
    </row>
    <row r="442" spans="7:7" ht="12.75" customHeight="1" x14ac:dyDescent="0.2">
      <c r="G442" s="45"/>
    </row>
    <row r="443" spans="7:7" ht="12.75" customHeight="1" x14ac:dyDescent="0.2">
      <c r="G443" s="45"/>
    </row>
    <row r="444" spans="7:7" ht="12.75" customHeight="1" x14ac:dyDescent="0.2">
      <c r="G444" s="45"/>
    </row>
    <row r="445" spans="7:7" ht="12.75" customHeight="1" x14ac:dyDescent="0.2">
      <c r="G445" s="45"/>
    </row>
    <row r="446" spans="7:7" ht="12.75" customHeight="1" x14ac:dyDescent="0.2">
      <c r="G446" s="45"/>
    </row>
    <row r="447" spans="7:7" ht="12.75" customHeight="1" x14ac:dyDescent="0.2">
      <c r="G447" s="45"/>
    </row>
    <row r="448" spans="7:7" ht="12.75" customHeight="1" x14ac:dyDescent="0.2">
      <c r="G448" s="45"/>
    </row>
    <row r="449" spans="7:7" ht="12.75" customHeight="1" x14ac:dyDescent="0.2">
      <c r="G449" s="45"/>
    </row>
    <row r="450" spans="7:7" ht="12.75" customHeight="1" x14ac:dyDescent="0.2">
      <c r="G450" s="45"/>
    </row>
    <row r="451" spans="7:7" ht="12.75" customHeight="1" x14ac:dyDescent="0.2">
      <c r="G451" s="45"/>
    </row>
    <row r="452" spans="7:7" ht="12.75" customHeight="1" x14ac:dyDescent="0.2">
      <c r="G452" s="45"/>
    </row>
    <row r="453" spans="7:7" ht="12.75" customHeight="1" x14ac:dyDescent="0.2">
      <c r="G453" s="45"/>
    </row>
    <row r="454" spans="7:7" ht="12.75" customHeight="1" x14ac:dyDescent="0.2">
      <c r="G454" s="45"/>
    </row>
    <row r="455" spans="7:7" ht="12.75" customHeight="1" x14ac:dyDescent="0.2">
      <c r="G455" s="45"/>
    </row>
    <row r="456" spans="7:7" ht="12.75" customHeight="1" x14ac:dyDescent="0.2">
      <c r="G456" s="45"/>
    </row>
    <row r="457" spans="7:7" ht="12.75" customHeight="1" x14ac:dyDescent="0.2">
      <c r="G457" s="45"/>
    </row>
    <row r="458" spans="7:7" ht="12.75" customHeight="1" x14ac:dyDescent="0.2">
      <c r="G458" s="45"/>
    </row>
    <row r="459" spans="7:7" ht="12.75" customHeight="1" x14ac:dyDescent="0.2">
      <c r="G459" s="45"/>
    </row>
    <row r="460" spans="7:7" ht="12.75" customHeight="1" x14ac:dyDescent="0.2">
      <c r="G460" s="45"/>
    </row>
    <row r="461" spans="7:7" ht="12.75" customHeight="1" x14ac:dyDescent="0.2">
      <c r="G461" s="45"/>
    </row>
    <row r="462" spans="7:7" ht="12.75" customHeight="1" x14ac:dyDescent="0.2">
      <c r="G462" s="45"/>
    </row>
    <row r="463" spans="7:7" ht="12.75" customHeight="1" x14ac:dyDescent="0.2">
      <c r="G463" s="45"/>
    </row>
    <row r="464" spans="7:7" ht="12.75" customHeight="1" x14ac:dyDescent="0.2">
      <c r="G464" s="45"/>
    </row>
    <row r="465" spans="7:7" ht="12.75" customHeight="1" x14ac:dyDescent="0.2">
      <c r="G465" s="45"/>
    </row>
    <row r="466" spans="7:7" ht="12.75" customHeight="1" x14ac:dyDescent="0.2">
      <c r="G466" s="45"/>
    </row>
    <row r="467" spans="7:7" ht="12.75" customHeight="1" x14ac:dyDescent="0.2">
      <c r="G467" s="45"/>
    </row>
    <row r="468" spans="7:7" ht="12.75" customHeight="1" x14ac:dyDescent="0.2">
      <c r="G468" s="45"/>
    </row>
    <row r="469" spans="7:7" ht="12.75" customHeight="1" x14ac:dyDescent="0.2">
      <c r="G469" s="45"/>
    </row>
    <row r="470" spans="7:7" ht="12.75" customHeight="1" x14ac:dyDescent="0.2">
      <c r="G470" s="45"/>
    </row>
    <row r="471" spans="7:7" ht="12.75" customHeight="1" x14ac:dyDescent="0.2">
      <c r="G471" s="45"/>
    </row>
    <row r="472" spans="7:7" ht="12.75" customHeight="1" x14ac:dyDescent="0.2">
      <c r="G472" s="45"/>
    </row>
    <row r="473" spans="7:7" ht="12.75" customHeight="1" x14ac:dyDescent="0.2">
      <c r="G473" s="45"/>
    </row>
    <row r="474" spans="7:7" ht="12.75" customHeight="1" x14ac:dyDescent="0.2">
      <c r="G474" s="45"/>
    </row>
    <row r="475" spans="7:7" ht="12.75" customHeight="1" x14ac:dyDescent="0.2">
      <c r="G475" s="45"/>
    </row>
    <row r="476" spans="7:7" ht="12.75" customHeight="1" x14ac:dyDescent="0.2">
      <c r="G476" s="45"/>
    </row>
    <row r="477" spans="7:7" ht="12.75" customHeight="1" x14ac:dyDescent="0.2">
      <c r="G477" s="45"/>
    </row>
    <row r="478" spans="7:7" ht="12.75" customHeight="1" x14ac:dyDescent="0.2">
      <c r="G478" s="45"/>
    </row>
    <row r="479" spans="7:7" ht="12.75" customHeight="1" x14ac:dyDescent="0.2">
      <c r="G479" s="45"/>
    </row>
    <row r="480" spans="7:7" ht="12.75" customHeight="1" x14ac:dyDescent="0.2">
      <c r="G480" s="45"/>
    </row>
    <row r="481" spans="7:7" ht="12.75" customHeight="1" x14ac:dyDescent="0.2">
      <c r="G481" s="45"/>
    </row>
    <row r="482" spans="7:7" ht="12.75" customHeight="1" x14ac:dyDescent="0.2">
      <c r="G482" s="45"/>
    </row>
    <row r="483" spans="7:7" ht="12.75" customHeight="1" x14ac:dyDescent="0.2">
      <c r="G483" s="45"/>
    </row>
    <row r="484" spans="7:7" ht="12.75" customHeight="1" x14ac:dyDescent="0.2">
      <c r="G484" s="45"/>
    </row>
    <row r="485" spans="7:7" ht="12.75" customHeight="1" x14ac:dyDescent="0.2">
      <c r="G485" s="45"/>
    </row>
    <row r="486" spans="7:7" ht="12.75" customHeight="1" x14ac:dyDescent="0.2">
      <c r="G486" s="45"/>
    </row>
    <row r="487" spans="7:7" ht="12.75" customHeight="1" x14ac:dyDescent="0.2">
      <c r="G487" s="45"/>
    </row>
    <row r="488" spans="7:7" ht="12.75" customHeight="1" x14ac:dyDescent="0.2">
      <c r="G488" s="45"/>
    </row>
    <row r="489" spans="7:7" ht="12.75" customHeight="1" x14ac:dyDescent="0.2">
      <c r="G489" s="45"/>
    </row>
    <row r="490" spans="7:7" ht="12.75" customHeight="1" x14ac:dyDescent="0.2">
      <c r="G490" s="45"/>
    </row>
    <row r="491" spans="7:7" ht="12.75" customHeight="1" x14ac:dyDescent="0.2">
      <c r="G491" s="45"/>
    </row>
    <row r="492" spans="7:7" ht="12.75" customHeight="1" x14ac:dyDescent="0.2">
      <c r="G492" s="45"/>
    </row>
    <row r="493" spans="7:7" ht="12.75" customHeight="1" x14ac:dyDescent="0.2">
      <c r="G493" s="45"/>
    </row>
    <row r="494" spans="7:7" ht="12.75" customHeight="1" x14ac:dyDescent="0.2">
      <c r="G494" s="45"/>
    </row>
    <row r="495" spans="7:7" ht="12.75" customHeight="1" x14ac:dyDescent="0.2">
      <c r="G495" s="45"/>
    </row>
    <row r="496" spans="7:7" ht="12.75" customHeight="1" x14ac:dyDescent="0.2">
      <c r="G496" s="45"/>
    </row>
    <row r="497" spans="7:7" ht="12.75" customHeight="1" x14ac:dyDescent="0.2">
      <c r="G497" s="45"/>
    </row>
    <row r="498" spans="7:7" ht="12.75" customHeight="1" x14ac:dyDescent="0.2">
      <c r="G498" s="45"/>
    </row>
    <row r="499" spans="7:7" ht="12.75" customHeight="1" x14ac:dyDescent="0.2">
      <c r="G499" s="45"/>
    </row>
    <row r="500" spans="7:7" ht="12.75" customHeight="1" x14ac:dyDescent="0.2">
      <c r="G500" s="45"/>
    </row>
    <row r="501" spans="7:7" ht="12.75" customHeight="1" x14ac:dyDescent="0.2">
      <c r="G501" s="45"/>
    </row>
    <row r="502" spans="7:7" ht="12.75" customHeight="1" x14ac:dyDescent="0.2">
      <c r="G502" s="45"/>
    </row>
    <row r="503" spans="7:7" ht="12.75" customHeight="1" x14ac:dyDescent="0.2">
      <c r="G503" s="45"/>
    </row>
    <row r="504" spans="7:7" ht="12.75" customHeight="1" x14ac:dyDescent="0.2">
      <c r="G504" s="45"/>
    </row>
    <row r="505" spans="7:7" ht="12.75" customHeight="1" x14ac:dyDescent="0.2">
      <c r="G505" s="45"/>
    </row>
    <row r="506" spans="7:7" ht="12.75" customHeight="1" x14ac:dyDescent="0.2">
      <c r="G506" s="45"/>
    </row>
    <row r="507" spans="7:7" ht="12.75" customHeight="1" x14ac:dyDescent="0.2">
      <c r="G507" s="45"/>
    </row>
    <row r="508" spans="7:7" ht="12.75" customHeight="1" x14ac:dyDescent="0.2">
      <c r="G508" s="45"/>
    </row>
    <row r="509" spans="7:7" ht="12.75" customHeight="1" x14ac:dyDescent="0.2">
      <c r="G509" s="45"/>
    </row>
    <row r="510" spans="7:7" ht="12.75" customHeight="1" x14ac:dyDescent="0.2">
      <c r="G510" s="45"/>
    </row>
    <row r="511" spans="7:7" ht="12.75" customHeight="1" x14ac:dyDescent="0.2">
      <c r="G511" s="45"/>
    </row>
    <row r="512" spans="7:7" ht="12.75" customHeight="1" x14ac:dyDescent="0.2">
      <c r="G512" s="45"/>
    </row>
    <row r="513" spans="7:7" ht="12.75" customHeight="1" x14ac:dyDescent="0.2">
      <c r="G513" s="45"/>
    </row>
    <row r="514" spans="7:7" ht="12.75" customHeight="1" x14ac:dyDescent="0.2">
      <c r="G514" s="45"/>
    </row>
    <row r="515" spans="7:7" ht="12.75" customHeight="1" x14ac:dyDescent="0.2">
      <c r="G515" s="45"/>
    </row>
    <row r="516" spans="7:7" ht="12.75" customHeight="1" x14ac:dyDescent="0.2">
      <c r="G516" s="45"/>
    </row>
    <row r="517" spans="7:7" ht="12.75" customHeight="1" x14ac:dyDescent="0.2">
      <c r="G517" s="45"/>
    </row>
    <row r="518" spans="7:7" ht="12.75" customHeight="1" x14ac:dyDescent="0.2">
      <c r="G518" s="45"/>
    </row>
    <row r="519" spans="7:7" ht="12.75" customHeight="1" x14ac:dyDescent="0.2">
      <c r="G519" s="45"/>
    </row>
    <row r="520" spans="7:7" ht="12.75" customHeight="1" x14ac:dyDescent="0.2">
      <c r="G520" s="45"/>
    </row>
    <row r="521" spans="7:7" ht="12.75" customHeight="1" x14ac:dyDescent="0.2">
      <c r="G521" s="45"/>
    </row>
    <row r="522" spans="7:7" ht="12.75" customHeight="1" x14ac:dyDescent="0.2">
      <c r="G522" s="45"/>
    </row>
    <row r="523" spans="7:7" ht="12.75" customHeight="1" x14ac:dyDescent="0.2">
      <c r="G523" s="45"/>
    </row>
    <row r="524" spans="7:7" ht="12.75" customHeight="1" x14ac:dyDescent="0.2">
      <c r="G524" s="45"/>
    </row>
    <row r="525" spans="7:7" ht="12.75" customHeight="1" x14ac:dyDescent="0.2">
      <c r="G525" s="45"/>
    </row>
    <row r="526" spans="7:7" ht="12.75" customHeight="1" x14ac:dyDescent="0.2">
      <c r="G526" s="45"/>
    </row>
    <row r="527" spans="7:7" ht="12.75" customHeight="1" x14ac:dyDescent="0.2">
      <c r="G527" s="45"/>
    </row>
    <row r="528" spans="7:7" ht="12.75" customHeight="1" x14ac:dyDescent="0.2">
      <c r="G528" s="45"/>
    </row>
    <row r="529" spans="7:7" ht="12.75" customHeight="1" x14ac:dyDescent="0.2">
      <c r="G529" s="45"/>
    </row>
    <row r="530" spans="7:7" ht="12.75" customHeight="1" x14ac:dyDescent="0.2">
      <c r="G530" s="45"/>
    </row>
    <row r="531" spans="7:7" ht="12.75" customHeight="1" x14ac:dyDescent="0.2">
      <c r="G531" s="45"/>
    </row>
    <row r="532" spans="7:7" ht="12.75" customHeight="1" x14ac:dyDescent="0.2">
      <c r="G532" s="45"/>
    </row>
    <row r="533" spans="7:7" ht="12.75" customHeight="1" x14ac:dyDescent="0.2">
      <c r="G533" s="45"/>
    </row>
    <row r="534" spans="7:7" ht="12.75" customHeight="1" x14ac:dyDescent="0.2">
      <c r="G534" s="45"/>
    </row>
    <row r="535" spans="7:7" ht="12.75" customHeight="1" x14ac:dyDescent="0.2">
      <c r="G535" s="45"/>
    </row>
    <row r="536" spans="7:7" ht="12.75" customHeight="1" x14ac:dyDescent="0.2">
      <c r="G536" s="45"/>
    </row>
    <row r="537" spans="7:7" ht="12.75" customHeight="1" x14ac:dyDescent="0.2">
      <c r="G537" s="45"/>
    </row>
    <row r="538" spans="7:7" ht="12.75" customHeight="1" x14ac:dyDescent="0.2">
      <c r="G538" s="45"/>
    </row>
    <row r="539" spans="7:7" ht="12.75" customHeight="1" x14ac:dyDescent="0.2">
      <c r="G539" s="45"/>
    </row>
    <row r="540" spans="7:7" ht="12.75" customHeight="1" x14ac:dyDescent="0.2">
      <c r="G540" s="45"/>
    </row>
    <row r="541" spans="7:7" ht="12.75" customHeight="1" x14ac:dyDescent="0.2">
      <c r="G541" s="45"/>
    </row>
    <row r="542" spans="7:7" ht="12.75" customHeight="1" x14ac:dyDescent="0.2">
      <c r="G542" s="45"/>
    </row>
    <row r="543" spans="7:7" ht="12.75" customHeight="1" x14ac:dyDescent="0.2">
      <c r="G543" s="45"/>
    </row>
    <row r="544" spans="7:7" ht="12.75" customHeight="1" x14ac:dyDescent="0.2">
      <c r="G544" s="45"/>
    </row>
    <row r="545" spans="7:7" ht="12.75" customHeight="1" x14ac:dyDescent="0.2">
      <c r="G545" s="45"/>
    </row>
    <row r="546" spans="7:7" ht="12.75" customHeight="1" x14ac:dyDescent="0.2">
      <c r="G546" s="45"/>
    </row>
    <row r="547" spans="7:7" ht="12.75" customHeight="1" x14ac:dyDescent="0.2">
      <c r="G547" s="45"/>
    </row>
    <row r="548" spans="7:7" ht="12.75" customHeight="1" x14ac:dyDescent="0.2">
      <c r="G548" s="45"/>
    </row>
    <row r="549" spans="7:7" ht="12.75" customHeight="1" x14ac:dyDescent="0.2">
      <c r="G549" s="45"/>
    </row>
    <row r="550" spans="7:7" ht="12.75" customHeight="1" x14ac:dyDescent="0.2">
      <c r="G550" s="45"/>
    </row>
    <row r="551" spans="7:7" ht="12.75" customHeight="1" x14ac:dyDescent="0.2">
      <c r="G551" s="45"/>
    </row>
    <row r="552" spans="7:7" ht="12.75" customHeight="1" x14ac:dyDescent="0.2">
      <c r="G552" s="45"/>
    </row>
    <row r="553" spans="7:7" ht="12.75" customHeight="1" x14ac:dyDescent="0.2">
      <c r="G553" s="45"/>
    </row>
    <row r="554" spans="7:7" ht="12.75" customHeight="1" x14ac:dyDescent="0.2">
      <c r="G554" s="45"/>
    </row>
    <row r="555" spans="7:7" ht="12.75" customHeight="1" x14ac:dyDescent="0.2">
      <c r="G555" s="45"/>
    </row>
    <row r="556" spans="7:7" ht="12.75" customHeight="1" x14ac:dyDescent="0.2">
      <c r="G556" s="45"/>
    </row>
    <row r="557" spans="7:7" ht="12.75" customHeight="1" x14ac:dyDescent="0.2">
      <c r="G557" s="45"/>
    </row>
    <row r="558" spans="7:7" ht="12.75" customHeight="1" x14ac:dyDescent="0.2">
      <c r="G558" s="45"/>
    </row>
    <row r="559" spans="7:7" ht="12.75" customHeight="1" x14ac:dyDescent="0.2">
      <c r="G559" s="45"/>
    </row>
    <row r="560" spans="7:7" ht="12.75" customHeight="1" x14ac:dyDescent="0.2">
      <c r="G560" s="45"/>
    </row>
    <row r="561" spans="7:7" ht="12.75" customHeight="1" x14ac:dyDescent="0.2">
      <c r="G561" s="45"/>
    </row>
    <row r="562" spans="7:7" ht="12.75" customHeight="1" x14ac:dyDescent="0.2">
      <c r="G562" s="45"/>
    </row>
    <row r="563" spans="7:7" ht="12.75" customHeight="1" x14ac:dyDescent="0.2">
      <c r="G563" s="45"/>
    </row>
    <row r="564" spans="7:7" ht="12.75" customHeight="1" x14ac:dyDescent="0.2">
      <c r="G564" s="45"/>
    </row>
    <row r="565" spans="7:7" ht="12.75" customHeight="1" x14ac:dyDescent="0.2">
      <c r="G565" s="45"/>
    </row>
    <row r="566" spans="7:7" ht="12.75" customHeight="1" x14ac:dyDescent="0.2">
      <c r="G566" s="45"/>
    </row>
    <row r="567" spans="7:7" ht="12.75" customHeight="1" x14ac:dyDescent="0.2">
      <c r="G567" s="45"/>
    </row>
    <row r="568" spans="7:7" ht="12.75" customHeight="1" x14ac:dyDescent="0.2">
      <c r="G568" s="45"/>
    </row>
    <row r="569" spans="7:7" ht="12.75" customHeight="1" x14ac:dyDescent="0.2">
      <c r="G569" s="45"/>
    </row>
    <row r="570" spans="7:7" ht="12.75" customHeight="1" x14ac:dyDescent="0.2">
      <c r="G570" s="45"/>
    </row>
    <row r="571" spans="7:7" ht="12.75" customHeight="1" x14ac:dyDescent="0.2">
      <c r="G571" s="45"/>
    </row>
    <row r="572" spans="7:7" ht="12.75" customHeight="1" x14ac:dyDescent="0.2">
      <c r="G572" s="45"/>
    </row>
    <row r="573" spans="7:7" ht="12.75" customHeight="1" x14ac:dyDescent="0.2">
      <c r="G573" s="45"/>
    </row>
    <row r="574" spans="7:7" ht="12.75" customHeight="1" x14ac:dyDescent="0.2">
      <c r="G574" s="45"/>
    </row>
    <row r="575" spans="7:7" ht="12.75" customHeight="1" x14ac:dyDescent="0.2">
      <c r="G575" s="45"/>
    </row>
    <row r="576" spans="7:7" ht="12.75" customHeight="1" x14ac:dyDescent="0.2">
      <c r="G576" s="45"/>
    </row>
    <row r="577" spans="7:7" ht="12.75" customHeight="1" x14ac:dyDescent="0.2">
      <c r="G577" s="45"/>
    </row>
    <row r="578" spans="7:7" ht="12.75" customHeight="1" x14ac:dyDescent="0.2">
      <c r="G578" s="45"/>
    </row>
    <row r="579" spans="7:7" ht="12.75" customHeight="1" x14ac:dyDescent="0.2">
      <c r="G579" s="45"/>
    </row>
    <row r="580" spans="7:7" ht="12.75" customHeight="1" x14ac:dyDescent="0.2">
      <c r="G580" s="45"/>
    </row>
    <row r="581" spans="7:7" ht="12.75" customHeight="1" x14ac:dyDescent="0.2">
      <c r="G581" s="45"/>
    </row>
    <row r="582" spans="7:7" ht="12.75" customHeight="1" x14ac:dyDescent="0.2">
      <c r="G582" s="45"/>
    </row>
    <row r="583" spans="7:7" ht="12.75" customHeight="1" x14ac:dyDescent="0.2">
      <c r="G583" s="45"/>
    </row>
    <row r="584" spans="7:7" ht="12.75" customHeight="1" x14ac:dyDescent="0.2">
      <c r="G584" s="45"/>
    </row>
    <row r="585" spans="7:7" ht="12.75" customHeight="1" x14ac:dyDescent="0.2">
      <c r="G585" s="45"/>
    </row>
    <row r="586" spans="7:7" ht="12.75" customHeight="1" x14ac:dyDescent="0.2">
      <c r="G586" s="45"/>
    </row>
    <row r="587" spans="7:7" ht="12.75" customHeight="1" x14ac:dyDescent="0.2">
      <c r="G587" s="45"/>
    </row>
    <row r="588" spans="7:7" ht="12.75" customHeight="1" x14ac:dyDescent="0.2">
      <c r="G588" s="45"/>
    </row>
    <row r="589" spans="7:7" ht="12.75" customHeight="1" x14ac:dyDescent="0.2">
      <c r="G589" s="45"/>
    </row>
    <row r="590" spans="7:7" ht="12.75" customHeight="1" x14ac:dyDescent="0.2">
      <c r="G590" s="45"/>
    </row>
    <row r="591" spans="7:7" ht="12.75" customHeight="1" x14ac:dyDescent="0.2">
      <c r="G591" s="45"/>
    </row>
    <row r="592" spans="7:7" ht="12.75" customHeight="1" x14ac:dyDescent="0.2">
      <c r="G592" s="45"/>
    </row>
    <row r="593" spans="7:7" ht="12.75" customHeight="1" x14ac:dyDescent="0.2">
      <c r="G593" s="45"/>
    </row>
    <row r="594" spans="7:7" ht="12.75" customHeight="1" x14ac:dyDescent="0.2">
      <c r="G594" s="45"/>
    </row>
    <row r="595" spans="7:7" ht="12.75" customHeight="1" x14ac:dyDescent="0.2">
      <c r="G595" s="45"/>
    </row>
    <row r="596" spans="7:7" ht="12.75" customHeight="1" x14ac:dyDescent="0.2">
      <c r="G596" s="45"/>
    </row>
    <row r="597" spans="7:7" ht="12.75" customHeight="1" x14ac:dyDescent="0.2">
      <c r="G597" s="45"/>
    </row>
    <row r="598" spans="7:7" ht="12.75" customHeight="1" x14ac:dyDescent="0.2">
      <c r="G598" s="45"/>
    </row>
    <row r="599" spans="7:7" ht="12.75" customHeight="1" x14ac:dyDescent="0.2">
      <c r="G599" s="45"/>
    </row>
    <row r="600" spans="7:7" ht="12.75" customHeight="1" x14ac:dyDescent="0.2">
      <c r="G600" s="45"/>
    </row>
    <row r="601" spans="7:7" ht="12.75" customHeight="1" x14ac:dyDescent="0.2">
      <c r="G601" s="45"/>
    </row>
    <row r="602" spans="7:7" ht="12.75" customHeight="1" x14ac:dyDescent="0.2">
      <c r="G602" s="45"/>
    </row>
    <row r="603" spans="7:7" ht="12.75" customHeight="1" x14ac:dyDescent="0.2">
      <c r="G603" s="45"/>
    </row>
    <row r="604" spans="7:7" ht="12.75" customHeight="1" x14ac:dyDescent="0.2">
      <c r="G604" s="45"/>
    </row>
    <row r="605" spans="7:7" ht="12.75" customHeight="1" x14ac:dyDescent="0.2">
      <c r="G605" s="45"/>
    </row>
    <row r="606" spans="7:7" ht="12.75" customHeight="1" x14ac:dyDescent="0.2">
      <c r="G606" s="45"/>
    </row>
    <row r="607" spans="7:7" ht="12.75" customHeight="1" x14ac:dyDescent="0.2">
      <c r="G607" s="45"/>
    </row>
    <row r="608" spans="7:7" ht="12.75" customHeight="1" x14ac:dyDescent="0.2">
      <c r="G608" s="45"/>
    </row>
    <row r="609" spans="7:7" ht="12.75" customHeight="1" x14ac:dyDescent="0.2">
      <c r="G609" s="45"/>
    </row>
    <row r="610" spans="7:7" ht="12.75" customHeight="1" x14ac:dyDescent="0.2">
      <c r="G610" s="45"/>
    </row>
    <row r="611" spans="7:7" ht="12.75" customHeight="1" x14ac:dyDescent="0.2">
      <c r="G611" s="45"/>
    </row>
    <row r="612" spans="7:7" ht="12.75" customHeight="1" x14ac:dyDescent="0.2">
      <c r="G612" s="45"/>
    </row>
    <row r="613" spans="7:7" ht="12.75" customHeight="1" x14ac:dyDescent="0.2">
      <c r="G613" s="45"/>
    </row>
    <row r="614" spans="7:7" ht="12.75" customHeight="1" x14ac:dyDescent="0.2">
      <c r="G614" s="45"/>
    </row>
    <row r="615" spans="7:7" ht="12.75" customHeight="1" x14ac:dyDescent="0.2">
      <c r="G615" s="45"/>
    </row>
    <row r="616" spans="7:7" ht="12.75" customHeight="1" x14ac:dyDescent="0.2">
      <c r="G616" s="45"/>
    </row>
    <row r="617" spans="7:7" ht="12.75" customHeight="1" x14ac:dyDescent="0.2">
      <c r="G617" s="45"/>
    </row>
    <row r="618" spans="7:7" ht="12.75" customHeight="1" x14ac:dyDescent="0.2">
      <c r="G618" s="45"/>
    </row>
    <row r="619" spans="7:7" ht="12.75" customHeight="1" x14ac:dyDescent="0.2">
      <c r="G619" s="45"/>
    </row>
    <row r="620" spans="7:7" ht="12.75" customHeight="1" x14ac:dyDescent="0.2">
      <c r="G620" s="45"/>
    </row>
    <row r="621" spans="7:7" ht="12.75" customHeight="1" x14ac:dyDescent="0.2">
      <c r="G621" s="45"/>
    </row>
    <row r="622" spans="7:7" ht="12.75" customHeight="1" x14ac:dyDescent="0.2">
      <c r="G622" s="45"/>
    </row>
    <row r="623" spans="7:7" ht="12.75" customHeight="1" x14ac:dyDescent="0.2">
      <c r="G623" s="45"/>
    </row>
    <row r="624" spans="7:7" ht="12.75" customHeight="1" x14ac:dyDescent="0.2">
      <c r="G624" s="45"/>
    </row>
    <row r="625" spans="7:7" ht="12.75" customHeight="1" x14ac:dyDescent="0.2">
      <c r="G625" s="45"/>
    </row>
    <row r="626" spans="7:7" ht="12.75" customHeight="1" x14ac:dyDescent="0.2">
      <c r="G626" s="45"/>
    </row>
    <row r="627" spans="7:7" ht="12.75" customHeight="1" x14ac:dyDescent="0.2">
      <c r="G627" s="45"/>
    </row>
    <row r="628" spans="7:7" ht="12.75" customHeight="1" x14ac:dyDescent="0.2">
      <c r="G628" s="45"/>
    </row>
    <row r="629" spans="7:7" ht="12.75" customHeight="1" x14ac:dyDescent="0.2">
      <c r="G629" s="45"/>
    </row>
    <row r="630" spans="7:7" ht="12.75" customHeight="1" x14ac:dyDescent="0.2">
      <c r="G630" s="45"/>
    </row>
    <row r="631" spans="7:7" ht="12.75" customHeight="1" x14ac:dyDescent="0.2">
      <c r="G631" s="45"/>
    </row>
    <row r="632" spans="7:7" ht="12.75" customHeight="1" x14ac:dyDescent="0.2">
      <c r="G632" s="45"/>
    </row>
    <row r="633" spans="7:7" ht="12.75" customHeight="1" x14ac:dyDescent="0.2">
      <c r="G633" s="45"/>
    </row>
    <row r="634" spans="7:7" ht="12.75" customHeight="1" x14ac:dyDescent="0.2">
      <c r="G634" s="45"/>
    </row>
    <row r="635" spans="7:7" ht="12.75" customHeight="1" x14ac:dyDescent="0.2">
      <c r="G635" s="45"/>
    </row>
    <row r="636" spans="7:7" ht="12.75" customHeight="1" x14ac:dyDescent="0.2">
      <c r="G636" s="45"/>
    </row>
    <row r="637" spans="7:7" ht="12.75" customHeight="1" x14ac:dyDescent="0.2">
      <c r="G637" s="45"/>
    </row>
    <row r="638" spans="7:7" ht="12.75" customHeight="1" x14ac:dyDescent="0.2">
      <c r="G638" s="45"/>
    </row>
    <row r="639" spans="7:7" ht="12.75" customHeight="1" x14ac:dyDescent="0.2">
      <c r="G639" s="45"/>
    </row>
    <row r="640" spans="7:7" ht="12.75" customHeight="1" x14ac:dyDescent="0.2">
      <c r="G640" s="45"/>
    </row>
    <row r="641" spans="7:7" ht="12.75" customHeight="1" x14ac:dyDescent="0.2">
      <c r="G641" s="45"/>
    </row>
    <row r="642" spans="7:7" ht="12.75" customHeight="1" x14ac:dyDescent="0.2">
      <c r="G642" s="45"/>
    </row>
    <row r="643" spans="7:7" ht="12.75" customHeight="1" x14ac:dyDescent="0.2">
      <c r="G643" s="45"/>
    </row>
    <row r="644" spans="7:7" ht="12.75" customHeight="1" x14ac:dyDescent="0.2">
      <c r="G644" s="45"/>
    </row>
    <row r="645" spans="7:7" ht="12.75" customHeight="1" x14ac:dyDescent="0.2">
      <c r="G645" s="45"/>
    </row>
    <row r="646" spans="7:7" ht="12.75" customHeight="1" x14ac:dyDescent="0.2">
      <c r="G646" s="45"/>
    </row>
    <row r="647" spans="7:7" ht="12.75" customHeight="1" x14ac:dyDescent="0.2">
      <c r="G647" s="45"/>
    </row>
    <row r="648" spans="7:7" ht="12.75" customHeight="1" x14ac:dyDescent="0.2">
      <c r="G648" s="45"/>
    </row>
    <row r="649" spans="7:7" ht="12.75" customHeight="1" x14ac:dyDescent="0.2">
      <c r="G649" s="45"/>
    </row>
    <row r="650" spans="7:7" ht="12.75" customHeight="1" x14ac:dyDescent="0.2">
      <c r="G650" s="45"/>
    </row>
    <row r="651" spans="7:7" ht="12.75" customHeight="1" x14ac:dyDescent="0.2">
      <c r="G651" s="45"/>
    </row>
    <row r="652" spans="7:7" ht="12.75" customHeight="1" x14ac:dyDescent="0.2">
      <c r="G652" s="45"/>
    </row>
    <row r="653" spans="7:7" ht="12.75" customHeight="1" x14ac:dyDescent="0.2">
      <c r="G653" s="45"/>
    </row>
    <row r="654" spans="7:7" ht="12.75" customHeight="1" x14ac:dyDescent="0.2">
      <c r="G654" s="45"/>
    </row>
    <row r="655" spans="7:7" ht="12.75" customHeight="1" x14ac:dyDescent="0.2">
      <c r="G655" s="45"/>
    </row>
    <row r="656" spans="7:7" ht="12.75" customHeight="1" x14ac:dyDescent="0.2">
      <c r="G656" s="45"/>
    </row>
    <row r="657" spans="7:7" ht="12.75" customHeight="1" x14ac:dyDescent="0.2">
      <c r="G657" s="45"/>
    </row>
    <row r="658" spans="7:7" ht="12.75" customHeight="1" x14ac:dyDescent="0.2">
      <c r="G658" s="45"/>
    </row>
    <row r="659" spans="7:7" ht="12.75" customHeight="1" x14ac:dyDescent="0.2">
      <c r="G659" s="45"/>
    </row>
    <row r="660" spans="7:7" ht="12.75" customHeight="1" x14ac:dyDescent="0.2">
      <c r="G660" s="45"/>
    </row>
    <row r="661" spans="7:7" ht="12.75" customHeight="1" x14ac:dyDescent="0.2">
      <c r="G661" s="45"/>
    </row>
    <row r="662" spans="7:7" ht="12.75" customHeight="1" x14ac:dyDescent="0.2">
      <c r="G662" s="45"/>
    </row>
    <row r="663" spans="7:7" ht="12.75" customHeight="1" x14ac:dyDescent="0.2">
      <c r="G663" s="45"/>
    </row>
    <row r="664" spans="7:7" ht="12.75" customHeight="1" x14ac:dyDescent="0.2">
      <c r="G664" s="45"/>
    </row>
    <row r="665" spans="7:7" ht="12.75" customHeight="1" x14ac:dyDescent="0.2">
      <c r="G665" s="45"/>
    </row>
    <row r="666" spans="7:7" ht="12.75" customHeight="1" x14ac:dyDescent="0.2">
      <c r="G666" s="45"/>
    </row>
    <row r="667" spans="7:7" ht="12.75" customHeight="1" x14ac:dyDescent="0.2">
      <c r="G667" s="45"/>
    </row>
    <row r="668" spans="7:7" ht="12.75" customHeight="1" x14ac:dyDescent="0.2">
      <c r="G668" s="45"/>
    </row>
    <row r="669" spans="7:7" ht="12.75" customHeight="1" x14ac:dyDescent="0.2">
      <c r="G669" s="45"/>
    </row>
    <row r="670" spans="7:7" ht="12.75" customHeight="1" x14ac:dyDescent="0.2">
      <c r="G670" s="45"/>
    </row>
    <row r="671" spans="7:7" ht="12.75" customHeight="1" x14ac:dyDescent="0.2">
      <c r="G671" s="45"/>
    </row>
    <row r="672" spans="7:7" ht="12.75" customHeight="1" x14ac:dyDescent="0.2">
      <c r="G672" s="45"/>
    </row>
    <row r="673" spans="7:7" ht="12.75" customHeight="1" x14ac:dyDescent="0.2">
      <c r="G673" s="45"/>
    </row>
    <row r="674" spans="7:7" ht="12.75" customHeight="1" x14ac:dyDescent="0.2">
      <c r="G674" s="45"/>
    </row>
    <row r="675" spans="7:7" ht="12.75" customHeight="1" x14ac:dyDescent="0.2">
      <c r="G675" s="45"/>
    </row>
    <row r="676" spans="7:7" ht="12.75" customHeight="1" x14ac:dyDescent="0.2">
      <c r="G676" s="45"/>
    </row>
    <row r="677" spans="7:7" ht="12.75" customHeight="1" x14ac:dyDescent="0.2">
      <c r="G677" s="45"/>
    </row>
    <row r="678" spans="7:7" ht="12.75" customHeight="1" x14ac:dyDescent="0.2">
      <c r="G678" s="45"/>
    </row>
    <row r="679" spans="7:7" ht="12.75" customHeight="1" x14ac:dyDescent="0.2">
      <c r="G679" s="45"/>
    </row>
    <row r="680" spans="7:7" ht="12.75" customHeight="1" x14ac:dyDescent="0.2">
      <c r="G680" s="45"/>
    </row>
    <row r="681" spans="7:7" ht="12.75" customHeight="1" x14ac:dyDescent="0.2">
      <c r="G681" s="45"/>
    </row>
    <row r="682" spans="7:7" ht="12.75" customHeight="1" x14ac:dyDescent="0.2">
      <c r="G682" s="45"/>
    </row>
    <row r="683" spans="7:7" ht="12.75" customHeight="1" x14ac:dyDescent="0.2">
      <c r="G683" s="45"/>
    </row>
    <row r="684" spans="7:7" ht="12.75" customHeight="1" x14ac:dyDescent="0.2">
      <c r="G684" s="45"/>
    </row>
    <row r="685" spans="7:7" ht="12.75" customHeight="1" x14ac:dyDescent="0.2">
      <c r="G685" s="45"/>
    </row>
    <row r="686" spans="7:7" ht="12.75" customHeight="1" x14ac:dyDescent="0.2">
      <c r="G686" s="45"/>
    </row>
    <row r="687" spans="7:7" ht="12.75" customHeight="1" x14ac:dyDescent="0.2">
      <c r="G687" s="45"/>
    </row>
    <row r="688" spans="7:7" ht="12.75" customHeight="1" x14ac:dyDescent="0.2">
      <c r="G688" s="45"/>
    </row>
    <row r="689" spans="7:7" ht="12.75" customHeight="1" x14ac:dyDescent="0.2">
      <c r="G689" s="45"/>
    </row>
    <row r="690" spans="7:7" ht="12.75" customHeight="1" x14ac:dyDescent="0.2">
      <c r="G690" s="45"/>
    </row>
    <row r="691" spans="7:7" ht="12.75" customHeight="1" x14ac:dyDescent="0.2">
      <c r="G691" s="45"/>
    </row>
    <row r="692" spans="7:7" ht="12.75" customHeight="1" x14ac:dyDescent="0.2">
      <c r="G692" s="45"/>
    </row>
    <row r="693" spans="7:7" ht="12.75" customHeight="1" x14ac:dyDescent="0.2">
      <c r="G693" s="45"/>
    </row>
    <row r="694" spans="7:7" ht="12.75" customHeight="1" x14ac:dyDescent="0.2">
      <c r="G694" s="45"/>
    </row>
    <row r="695" spans="7:7" ht="12.75" customHeight="1" x14ac:dyDescent="0.2">
      <c r="G695" s="45"/>
    </row>
    <row r="696" spans="7:7" ht="12.75" customHeight="1" x14ac:dyDescent="0.2">
      <c r="G696" s="45"/>
    </row>
    <row r="697" spans="7:7" ht="12.75" customHeight="1" x14ac:dyDescent="0.2">
      <c r="G697" s="45"/>
    </row>
    <row r="698" spans="7:7" ht="12.75" customHeight="1" x14ac:dyDescent="0.2">
      <c r="G698" s="45"/>
    </row>
    <row r="699" spans="7:7" ht="12.75" customHeight="1" x14ac:dyDescent="0.2">
      <c r="G699" s="45"/>
    </row>
    <row r="700" spans="7:7" ht="12.75" customHeight="1" x14ac:dyDescent="0.2">
      <c r="G700" s="45"/>
    </row>
    <row r="701" spans="7:7" ht="12.75" customHeight="1" x14ac:dyDescent="0.2">
      <c r="G701" s="45"/>
    </row>
    <row r="702" spans="7:7" ht="12.75" customHeight="1" x14ac:dyDescent="0.2">
      <c r="G702" s="45"/>
    </row>
    <row r="703" spans="7:7" ht="12.75" customHeight="1" x14ac:dyDescent="0.2">
      <c r="G703" s="45"/>
    </row>
    <row r="704" spans="7:7" ht="12.75" customHeight="1" x14ac:dyDescent="0.2">
      <c r="G704" s="45"/>
    </row>
    <row r="705" spans="7:7" ht="12.75" customHeight="1" x14ac:dyDescent="0.2">
      <c r="G705" s="45"/>
    </row>
    <row r="706" spans="7:7" ht="12.75" customHeight="1" x14ac:dyDescent="0.2">
      <c r="G706" s="45"/>
    </row>
    <row r="707" spans="7:7" ht="12.75" customHeight="1" x14ac:dyDescent="0.2">
      <c r="G707" s="45"/>
    </row>
    <row r="708" spans="7:7" ht="12.75" customHeight="1" x14ac:dyDescent="0.2">
      <c r="G708" s="45"/>
    </row>
    <row r="709" spans="7:7" ht="12.75" customHeight="1" x14ac:dyDescent="0.2">
      <c r="G709" s="45"/>
    </row>
    <row r="710" spans="7:7" ht="12.75" customHeight="1" x14ac:dyDescent="0.2">
      <c r="G710" s="45"/>
    </row>
    <row r="711" spans="7:7" ht="12.75" customHeight="1" x14ac:dyDescent="0.2">
      <c r="G711" s="45"/>
    </row>
    <row r="712" spans="7:7" ht="12.75" customHeight="1" x14ac:dyDescent="0.2">
      <c r="G712" s="45"/>
    </row>
    <row r="713" spans="7:7" ht="12.75" customHeight="1" x14ac:dyDescent="0.2">
      <c r="G713" s="45"/>
    </row>
    <row r="714" spans="7:7" ht="12.75" customHeight="1" x14ac:dyDescent="0.2">
      <c r="G714" s="45"/>
    </row>
    <row r="715" spans="7:7" ht="12.75" customHeight="1" x14ac:dyDescent="0.2">
      <c r="G715" s="45"/>
    </row>
    <row r="716" spans="7:7" ht="12.75" customHeight="1" x14ac:dyDescent="0.2">
      <c r="G716" s="45"/>
    </row>
    <row r="717" spans="7:7" ht="12.75" customHeight="1" x14ac:dyDescent="0.2">
      <c r="G717" s="45"/>
    </row>
    <row r="718" spans="7:7" ht="12.75" customHeight="1" x14ac:dyDescent="0.2">
      <c r="G718" s="45"/>
    </row>
    <row r="719" spans="7:7" ht="12.75" customHeight="1" x14ac:dyDescent="0.2">
      <c r="G719" s="45"/>
    </row>
    <row r="720" spans="7:7" ht="12.75" customHeight="1" x14ac:dyDescent="0.2">
      <c r="G720" s="45"/>
    </row>
    <row r="721" spans="7:7" ht="12.75" customHeight="1" x14ac:dyDescent="0.2">
      <c r="G721" s="45"/>
    </row>
    <row r="722" spans="7:7" ht="12.75" customHeight="1" x14ac:dyDescent="0.2">
      <c r="G722" s="45"/>
    </row>
    <row r="723" spans="7:7" ht="12.75" customHeight="1" x14ac:dyDescent="0.2">
      <c r="G723" s="45"/>
    </row>
    <row r="724" spans="7:7" ht="12.75" customHeight="1" x14ac:dyDescent="0.2">
      <c r="G724" s="45"/>
    </row>
    <row r="725" spans="7:7" ht="12.75" customHeight="1" x14ac:dyDescent="0.2">
      <c r="G725" s="45"/>
    </row>
    <row r="726" spans="7:7" ht="12.75" customHeight="1" x14ac:dyDescent="0.2">
      <c r="G726" s="45"/>
    </row>
    <row r="727" spans="7:7" ht="12.75" customHeight="1" x14ac:dyDescent="0.2">
      <c r="G727" s="45"/>
    </row>
    <row r="728" spans="7:7" ht="12.75" customHeight="1" x14ac:dyDescent="0.2">
      <c r="G728" s="45"/>
    </row>
    <row r="729" spans="7:7" ht="12.75" customHeight="1" x14ac:dyDescent="0.2">
      <c r="G729" s="45"/>
    </row>
    <row r="730" spans="7:7" ht="12.75" customHeight="1" x14ac:dyDescent="0.2">
      <c r="G730" s="45"/>
    </row>
    <row r="731" spans="7:7" ht="12.75" customHeight="1" x14ac:dyDescent="0.2">
      <c r="G731" s="45"/>
    </row>
    <row r="732" spans="7:7" ht="12.75" customHeight="1" x14ac:dyDescent="0.2">
      <c r="G732" s="45"/>
    </row>
    <row r="733" spans="7:7" ht="12.75" customHeight="1" x14ac:dyDescent="0.2">
      <c r="G733" s="45"/>
    </row>
    <row r="734" spans="7:7" ht="12.75" customHeight="1" x14ac:dyDescent="0.2">
      <c r="G734" s="45"/>
    </row>
    <row r="735" spans="7:7" ht="12.75" customHeight="1" x14ac:dyDescent="0.2">
      <c r="G735" s="45"/>
    </row>
    <row r="736" spans="7:7" ht="12.75" customHeight="1" x14ac:dyDescent="0.2">
      <c r="G736" s="45"/>
    </row>
    <row r="737" spans="7:7" ht="12.75" customHeight="1" x14ac:dyDescent="0.2">
      <c r="G737" s="45"/>
    </row>
    <row r="738" spans="7:7" ht="12.75" customHeight="1" x14ac:dyDescent="0.2">
      <c r="G738" s="45"/>
    </row>
    <row r="739" spans="7:7" ht="12.75" customHeight="1" x14ac:dyDescent="0.2">
      <c r="G739" s="45"/>
    </row>
    <row r="740" spans="7:7" ht="12.75" customHeight="1" x14ac:dyDescent="0.2">
      <c r="G740" s="45"/>
    </row>
    <row r="741" spans="7:7" ht="12.75" customHeight="1" x14ac:dyDescent="0.2">
      <c r="G741" s="45"/>
    </row>
    <row r="742" spans="7:7" ht="12.75" customHeight="1" x14ac:dyDescent="0.2">
      <c r="G742" s="45"/>
    </row>
    <row r="743" spans="7:7" ht="12.75" customHeight="1" x14ac:dyDescent="0.2">
      <c r="G743" s="45"/>
    </row>
    <row r="744" spans="7:7" ht="12.75" customHeight="1" x14ac:dyDescent="0.2">
      <c r="G744" s="45"/>
    </row>
    <row r="745" spans="7:7" ht="12.75" customHeight="1" x14ac:dyDescent="0.2">
      <c r="G745" s="45"/>
    </row>
    <row r="746" spans="7:7" ht="12.75" customHeight="1" x14ac:dyDescent="0.2">
      <c r="G746" s="45"/>
    </row>
    <row r="747" spans="7:7" ht="12.75" customHeight="1" x14ac:dyDescent="0.2">
      <c r="G747" s="45"/>
    </row>
    <row r="748" spans="7:7" ht="12.75" customHeight="1" x14ac:dyDescent="0.2">
      <c r="G748" s="45"/>
    </row>
    <row r="749" spans="7:7" ht="12.75" customHeight="1" x14ac:dyDescent="0.2">
      <c r="G749" s="45"/>
    </row>
    <row r="750" spans="7:7" ht="12.75" customHeight="1" x14ac:dyDescent="0.2">
      <c r="G750" s="45"/>
    </row>
    <row r="751" spans="7:7" ht="12.75" customHeight="1" x14ac:dyDescent="0.2">
      <c r="G751" s="45"/>
    </row>
    <row r="752" spans="7:7" ht="12.75" customHeight="1" x14ac:dyDescent="0.2">
      <c r="G752" s="45"/>
    </row>
    <row r="753" spans="7:7" ht="12.75" customHeight="1" x14ac:dyDescent="0.2">
      <c r="G753" s="45"/>
    </row>
    <row r="754" spans="7:7" ht="12.75" customHeight="1" x14ac:dyDescent="0.2">
      <c r="G754" s="45"/>
    </row>
    <row r="755" spans="7:7" ht="12.75" customHeight="1" x14ac:dyDescent="0.2">
      <c r="G755" s="45"/>
    </row>
    <row r="756" spans="7:7" ht="12.75" customHeight="1" x14ac:dyDescent="0.2">
      <c r="G756" s="45"/>
    </row>
    <row r="757" spans="7:7" ht="12.75" customHeight="1" x14ac:dyDescent="0.2">
      <c r="G757" s="45"/>
    </row>
    <row r="758" spans="7:7" ht="12.75" customHeight="1" x14ac:dyDescent="0.2">
      <c r="G758" s="45"/>
    </row>
    <row r="759" spans="7:7" ht="12.75" customHeight="1" x14ac:dyDescent="0.2">
      <c r="G759" s="45"/>
    </row>
    <row r="760" spans="7:7" ht="12.75" customHeight="1" x14ac:dyDescent="0.2">
      <c r="G760" s="45"/>
    </row>
    <row r="761" spans="7:7" ht="12.75" customHeight="1" x14ac:dyDescent="0.2">
      <c r="G761" s="45"/>
    </row>
    <row r="762" spans="7:7" ht="12.75" customHeight="1" x14ac:dyDescent="0.2">
      <c r="G762" s="45"/>
    </row>
    <row r="763" spans="7:7" ht="12.75" customHeight="1" x14ac:dyDescent="0.2">
      <c r="G763" s="45"/>
    </row>
    <row r="764" spans="7:7" ht="12.75" customHeight="1" x14ac:dyDescent="0.2">
      <c r="G764" s="45"/>
    </row>
    <row r="765" spans="7:7" ht="12.75" customHeight="1" x14ac:dyDescent="0.2">
      <c r="G765" s="45"/>
    </row>
    <row r="766" spans="7:7" ht="12.75" customHeight="1" x14ac:dyDescent="0.2">
      <c r="G766" s="45"/>
    </row>
    <row r="767" spans="7:7" ht="12.75" customHeight="1" x14ac:dyDescent="0.2">
      <c r="G767" s="45"/>
    </row>
    <row r="768" spans="7:7" ht="12.75" customHeight="1" x14ac:dyDescent="0.2">
      <c r="G768" s="45"/>
    </row>
    <row r="769" spans="7:7" ht="12.75" customHeight="1" x14ac:dyDescent="0.2">
      <c r="G769" s="45"/>
    </row>
    <row r="770" spans="7:7" ht="12.75" customHeight="1" x14ac:dyDescent="0.2">
      <c r="G770" s="45"/>
    </row>
    <row r="771" spans="7:7" ht="12.75" customHeight="1" x14ac:dyDescent="0.2">
      <c r="G771" s="45"/>
    </row>
    <row r="772" spans="7:7" ht="12.75" customHeight="1" x14ac:dyDescent="0.2">
      <c r="G772" s="45"/>
    </row>
    <row r="773" spans="7:7" ht="12.75" customHeight="1" x14ac:dyDescent="0.2">
      <c r="G773" s="45"/>
    </row>
    <row r="774" spans="7:7" ht="12.75" customHeight="1" x14ac:dyDescent="0.2">
      <c r="G774" s="45"/>
    </row>
    <row r="775" spans="7:7" ht="12.75" customHeight="1" x14ac:dyDescent="0.2">
      <c r="G775" s="45"/>
    </row>
    <row r="776" spans="7:7" ht="12.75" customHeight="1" x14ac:dyDescent="0.2">
      <c r="G776" s="45"/>
    </row>
    <row r="777" spans="7:7" ht="12.75" customHeight="1" x14ac:dyDescent="0.2">
      <c r="G777" s="45"/>
    </row>
    <row r="778" spans="7:7" ht="12.75" customHeight="1" x14ac:dyDescent="0.2">
      <c r="G778" s="45"/>
    </row>
    <row r="779" spans="7:7" ht="12.75" customHeight="1" x14ac:dyDescent="0.2">
      <c r="G779" s="45"/>
    </row>
    <row r="780" spans="7:7" ht="12.75" customHeight="1" x14ac:dyDescent="0.2">
      <c r="G780" s="45"/>
    </row>
    <row r="781" spans="7:7" ht="12.75" customHeight="1" x14ac:dyDescent="0.2">
      <c r="G781" s="45"/>
    </row>
    <row r="782" spans="7:7" ht="12.75" customHeight="1" x14ac:dyDescent="0.2">
      <c r="G782" s="45"/>
    </row>
    <row r="783" spans="7:7" ht="12.75" customHeight="1" x14ac:dyDescent="0.2">
      <c r="G783" s="45"/>
    </row>
    <row r="784" spans="7:7" ht="12.75" customHeight="1" x14ac:dyDescent="0.2">
      <c r="G784" s="45"/>
    </row>
    <row r="785" spans="7:7" ht="12.75" customHeight="1" x14ac:dyDescent="0.2">
      <c r="G785" s="45"/>
    </row>
    <row r="786" spans="7:7" ht="12.75" customHeight="1" x14ac:dyDescent="0.2">
      <c r="G786" s="45"/>
    </row>
    <row r="787" spans="7:7" ht="12.75" customHeight="1" x14ac:dyDescent="0.2">
      <c r="G787" s="45"/>
    </row>
    <row r="788" spans="7:7" ht="12.75" customHeight="1" x14ac:dyDescent="0.2">
      <c r="G788" s="45"/>
    </row>
    <row r="789" spans="7:7" ht="12.75" customHeight="1" x14ac:dyDescent="0.2">
      <c r="G789" s="45"/>
    </row>
    <row r="790" spans="7:7" ht="12.75" customHeight="1" x14ac:dyDescent="0.2">
      <c r="G790" s="45"/>
    </row>
    <row r="791" spans="7:7" ht="12.75" customHeight="1" x14ac:dyDescent="0.2">
      <c r="G791" s="45"/>
    </row>
    <row r="792" spans="7:7" ht="12.75" customHeight="1" x14ac:dyDescent="0.2">
      <c r="G792" s="45"/>
    </row>
    <row r="793" spans="7:7" ht="12.75" customHeight="1" x14ac:dyDescent="0.2">
      <c r="G793" s="45"/>
    </row>
    <row r="794" spans="7:7" ht="12.75" customHeight="1" x14ac:dyDescent="0.2">
      <c r="G794" s="45"/>
    </row>
    <row r="795" spans="7:7" ht="12.75" customHeight="1" x14ac:dyDescent="0.2">
      <c r="G795" s="45"/>
    </row>
    <row r="796" spans="7:7" ht="12.75" customHeight="1" x14ac:dyDescent="0.2">
      <c r="G796" s="45"/>
    </row>
    <row r="797" spans="7:7" ht="12.75" customHeight="1" x14ac:dyDescent="0.2">
      <c r="G797" s="45"/>
    </row>
    <row r="798" spans="7:7" ht="12.75" customHeight="1" x14ac:dyDescent="0.2">
      <c r="G798" s="45"/>
    </row>
    <row r="799" spans="7:7" ht="12.75" customHeight="1" x14ac:dyDescent="0.2">
      <c r="G799" s="45"/>
    </row>
    <row r="800" spans="7:7" ht="12.75" customHeight="1" x14ac:dyDescent="0.2">
      <c r="G800" s="45"/>
    </row>
    <row r="801" spans="7:7" ht="12.75" customHeight="1" x14ac:dyDescent="0.2">
      <c r="G801" s="45"/>
    </row>
    <row r="802" spans="7:7" ht="12.75" customHeight="1" x14ac:dyDescent="0.2">
      <c r="G802" s="45"/>
    </row>
    <row r="803" spans="7:7" ht="12.75" customHeight="1" x14ac:dyDescent="0.2">
      <c r="G803" s="45"/>
    </row>
    <row r="804" spans="7:7" ht="12.75" customHeight="1" x14ac:dyDescent="0.2">
      <c r="G804" s="45"/>
    </row>
    <row r="805" spans="7:7" ht="12.75" customHeight="1" x14ac:dyDescent="0.2">
      <c r="G805" s="45"/>
    </row>
    <row r="806" spans="7:7" ht="12.75" customHeight="1" x14ac:dyDescent="0.2">
      <c r="G806" s="45"/>
    </row>
    <row r="807" spans="7:7" ht="12.75" customHeight="1" x14ac:dyDescent="0.2">
      <c r="G807" s="45"/>
    </row>
    <row r="808" spans="7:7" ht="12.75" customHeight="1" x14ac:dyDescent="0.2">
      <c r="G808" s="45"/>
    </row>
    <row r="809" spans="7:7" ht="12.75" customHeight="1" x14ac:dyDescent="0.2">
      <c r="G809" s="45"/>
    </row>
    <row r="810" spans="7:7" ht="12.75" customHeight="1" x14ac:dyDescent="0.2">
      <c r="G810" s="45"/>
    </row>
    <row r="811" spans="7:7" ht="12.75" customHeight="1" x14ac:dyDescent="0.2">
      <c r="G811" s="45"/>
    </row>
    <row r="812" spans="7:7" ht="12.75" customHeight="1" x14ac:dyDescent="0.2">
      <c r="G812" s="45"/>
    </row>
    <row r="813" spans="7:7" ht="12.75" customHeight="1" x14ac:dyDescent="0.2">
      <c r="G813" s="45"/>
    </row>
    <row r="814" spans="7:7" ht="12.75" customHeight="1" x14ac:dyDescent="0.2">
      <c r="G814" s="45"/>
    </row>
    <row r="815" spans="7:7" ht="12.75" customHeight="1" x14ac:dyDescent="0.2">
      <c r="G815" s="45"/>
    </row>
    <row r="816" spans="7:7" ht="12.75" customHeight="1" x14ac:dyDescent="0.2">
      <c r="G816" s="45"/>
    </row>
    <row r="817" spans="7:7" ht="12.75" customHeight="1" x14ac:dyDescent="0.2">
      <c r="G817" s="45"/>
    </row>
    <row r="818" spans="7:7" ht="12.75" customHeight="1" x14ac:dyDescent="0.2">
      <c r="G818" s="45"/>
    </row>
    <row r="819" spans="7:7" ht="12.75" customHeight="1" x14ac:dyDescent="0.2">
      <c r="G819" s="45"/>
    </row>
    <row r="820" spans="7:7" ht="12.75" customHeight="1" x14ac:dyDescent="0.2">
      <c r="G820" s="45"/>
    </row>
    <row r="821" spans="7:7" ht="12.75" customHeight="1" x14ac:dyDescent="0.2">
      <c r="G821" s="45"/>
    </row>
    <row r="822" spans="7:7" ht="12.75" customHeight="1" x14ac:dyDescent="0.2">
      <c r="G822" s="45"/>
    </row>
    <row r="823" spans="7:7" ht="12.75" customHeight="1" x14ac:dyDescent="0.2">
      <c r="G823" s="45"/>
    </row>
    <row r="824" spans="7:7" ht="12.75" customHeight="1" x14ac:dyDescent="0.2">
      <c r="G824" s="45"/>
    </row>
    <row r="825" spans="7:7" ht="12.75" customHeight="1" x14ac:dyDescent="0.2">
      <c r="G825" s="45"/>
    </row>
    <row r="826" spans="7:7" ht="12.75" customHeight="1" x14ac:dyDescent="0.2">
      <c r="G826" s="45"/>
    </row>
    <row r="827" spans="7:7" ht="12.75" customHeight="1" x14ac:dyDescent="0.2">
      <c r="G827" s="45"/>
    </row>
    <row r="828" spans="7:7" ht="12.75" customHeight="1" x14ac:dyDescent="0.2">
      <c r="G828" s="45"/>
    </row>
    <row r="829" spans="7:7" ht="12.75" customHeight="1" x14ac:dyDescent="0.2">
      <c r="G829" s="45"/>
    </row>
    <row r="830" spans="7:7" ht="12.75" customHeight="1" x14ac:dyDescent="0.2">
      <c r="G830" s="45"/>
    </row>
    <row r="831" spans="7:7" ht="12.75" customHeight="1" x14ac:dyDescent="0.2">
      <c r="G831" s="45"/>
    </row>
    <row r="832" spans="7:7" ht="12.75" customHeight="1" x14ac:dyDescent="0.2">
      <c r="G832" s="45"/>
    </row>
    <row r="833" spans="7:7" ht="12.75" customHeight="1" x14ac:dyDescent="0.2">
      <c r="G833" s="45"/>
    </row>
    <row r="834" spans="7:7" ht="12.75" customHeight="1" x14ac:dyDescent="0.2">
      <c r="G834" s="45"/>
    </row>
    <row r="835" spans="7:7" ht="12.75" customHeight="1" x14ac:dyDescent="0.2">
      <c r="G835" s="45"/>
    </row>
    <row r="836" spans="7:7" ht="12.75" customHeight="1" x14ac:dyDescent="0.2">
      <c r="G836" s="45"/>
    </row>
    <row r="837" spans="7:7" ht="12.75" customHeight="1" x14ac:dyDescent="0.2">
      <c r="G837" s="45"/>
    </row>
    <row r="838" spans="7:7" ht="12.75" customHeight="1" x14ac:dyDescent="0.2">
      <c r="G838" s="45"/>
    </row>
    <row r="839" spans="7:7" ht="12.75" customHeight="1" x14ac:dyDescent="0.2">
      <c r="G839" s="45"/>
    </row>
    <row r="840" spans="7:7" ht="12.75" customHeight="1" x14ac:dyDescent="0.2">
      <c r="G840" s="45"/>
    </row>
    <row r="841" spans="7:7" ht="12.75" customHeight="1" x14ac:dyDescent="0.2">
      <c r="G841" s="45"/>
    </row>
    <row r="842" spans="7:7" ht="12.75" customHeight="1" x14ac:dyDescent="0.2">
      <c r="G842" s="45"/>
    </row>
    <row r="843" spans="7:7" ht="12.75" customHeight="1" x14ac:dyDescent="0.2">
      <c r="G843" s="45"/>
    </row>
    <row r="844" spans="7:7" ht="12.75" customHeight="1" x14ac:dyDescent="0.2">
      <c r="G844" s="45"/>
    </row>
    <row r="845" spans="7:7" ht="12.75" customHeight="1" x14ac:dyDescent="0.2">
      <c r="G845" s="45"/>
    </row>
    <row r="846" spans="7:7" ht="12.75" customHeight="1" x14ac:dyDescent="0.2">
      <c r="G846" s="45"/>
    </row>
    <row r="847" spans="7:7" ht="12.75" customHeight="1" x14ac:dyDescent="0.2">
      <c r="G847" s="45"/>
    </row>
    <row r="848" spans="7:7" ht="12.75" customHeight="1" x14ac:dyDescent="0.2">
      <c r="G848" s="45"/>
    </row>
    <row r="849" spans="7:7" ht="12.75" customHeight="1" x14ac:dyDescent="0.2">
      <c r="G849" s="45"/>
    </row>
    <row r="850" spans="7:7" ht="12.75" customHeight="1" x14ac:dyDescent="0.2">
      <c r="G850" s="45"/>
    </row>
    <row r="851" spans="7:7" ht="12.75" customHeight="1" x14ac:dyDescent="0.2">
      <c r="G851" s="45"/>
    </row>
    <row r="852" spans="7:7" ht="12.75" customHeight="1" x14ac:dyDescent="0.2">
      <c r="G852" s="45"/>
    </row>
    <row r="853" spans="7:7" ht="12.75" customHeight="1" x14ac:dyDescent="0.2">
      <c r="G853" s="45"/>
    </row>
    <row r="854" spans="7:7" ht="12.75" customHeight="1" x14ac:dyDescent="0.2">
      <c r="G854" s="45"/>
    </row>
    <row r="855" spans="7:7" ht="12.75" customHeight="1" x14ac:dyDescent="0.2">
      <c r="G855" s="45"/>
    </row>
    <row r="856" spans="7:7" ht="12.75" customHeight="1" x14ac:dyDescent="0.2">
      <c r="G856" s="45"/>
    </row>
    <row r="857" spans="7:7" ht="12.75" customHeight="1" x14ac:dyDescent="0.2">
      <c r="G857" s="45"/>
    </row>
    <row r="858" spans="7:7" ht="12.75" customHeight="1" x14ac:dyDescent="0.2">
      <c r="G858" s="45"/>
    </row>
    <row r="859" spans="7:7" ht="12.75" customHeight="1" x14ac:dyDescent="0.2">
      <c r="G859" s="45"/>
    </row>
    <row r="860" spans="7:7" ht="12.75" customHeight="1" x14ac:dyDescent="0.2">
      <c r="G860" s="45"/>
    </row>
    <row r="861" spans="7:7" ht="12.75" customHeight="1" x14ac:dyDescent="0.2">
      <c r="G861" s="45"/>
    </row>
    <row r="862" spans="7:7" ht="12.75" customHeight="1" x14ac:dyDescent="0.2">
      <c r="G862" s="45"/>
    </row>
    <row r="863" spans="7:7" ht="12.75" customHeight="1" x14ac:dyDescent="0.2">
      <c r="G863" s="45"/>
    </row>
    <row r="864" spans="7:7" ht="12.75" customHeight="1" x14ac:dyDescent="0.2">
      <c r="G864" s="45"/>
    </row>
    <row r="865" spans="7:7" ht="12.75" customHeight="1" x14ac:dyDescent="0.2">
      <c r="G865" s="45"/>
    </row>
    <row r="866" spans="7:7" ht="12.75" customHeight="1" x14ac:dyDescent="0.2">
      <c r="G866" s="45"/>
    </row>
    <row r="867" spans="7:7" ht="12.75" customHeight="1" x14ac:dyDescent="0.2">
      <c r="G867" s="45"/>
    </row>
    <row r="868" spans="7:7" ht="12.75" customHeight="1" x14ac:dyDescent="0.2">
      <c r="G868" s="45"/>
    </row>
    <row r="869" spans="7:7" ht="12.75" customHeight="1" x14ac:dyDescent="0.2">
      <c r="G869" s="45"/>
    </row>
    <row r="870" spans="7:7" ht="12.75" customHeight="1" x14ac:dyDescent="0.2">
      <c r="G870" s="45"/>
    </row>
    <row r="871" spans="7:7" ht="12.75" customHeight="1" x14ac:dyDescent="0.2">
      <c r="G871" s="45"/>
    </row>
    <row r="872" spans="7:7" ht="12.75" customHeight="1" x14ac:dyDescent="0.2">
      <c r="G872" s="45"/>
    </row>
    <row r="873" spans="7:7" ht="12.75" customHeight="1" x14ac:dyDescent="0.2">
      <c r="G873" s="45"/>
    </row>
    <row r="874" spans="7:7" ht="12.75" customHeight="1" x14ac:dyDescent="0.2">
      <c r="G874" s="45"/>
    </row>
    <row r="875" spans="7:7" ht="12.75" customHeight="1" x14ac:dyDescent="0.2">
      <c r="G875" s="45"/>
    </row>
    <row r="876" spans="7:7" ht="12.75" customHeight="1" x14ac:dyDescent="0.2">
      <c r="G876" s="45"/>
    </row>
    <row r="877" spans="7:7" ht="12.75" customHeight="1" x14ac:dyDescent="0.2">
      <c r="G877" s="45"/>
    </row>
    <row r="878" spans="7:7" ht="12.75" customHeight="1" x14ac:dyDescent="0.2">
      <c r="G878" s="45"/>
    </row>
    <row r="879" spans="7:7" ht="12.75" customHeight="1" x14ac:dyDescent="0.2">
      <c r="G879" s="45"/>
    </row>
    <row r="880" spans="7:7" ht="12.75" customHeight="1" x14ac:dyDescent="0.2">
      <c r="G880" s="45"/>
    </row>
    <row r="881" spans="7:7" ht="12.75" customHeight="1" x14ac:dyDescent="0.2">
      <c r="G881" s="45"/>
    </row>
    <row r="882" spans="7:7" ht="12.75" customHeight="1" x14ac:dyDescent="0.2">
      <c r="G882" s="45"/>
    </row>
    <row r="883" spans="7:7" ht="12.75" customHeight="1" x14ac:dyDescent="0.2">
      <c r="G883" s="45"/>
    </row>
    <row r="884" spans="7:7" ht="12.75" customHeight="1" x14ac:dyDescent="0.2">
      <c r="G884" s="45"/>
    </row>
    <row r="885" spans="7:7" ht="12.75" customHeight="1" x14ac:dyDescent="0.2">
      <c r="G885" s="45"/>
    </row>
    <row r="886" spans="7:7" ht="12.75" customHeight="1" x14ac:dyDescent="0.2">
      <c r="G886" s="45"/>
    </row>
    <row r="887" spans="7:7" ht="12.75" customHeight="1" x14ac:dyDescent="0.2">
      <c r="G887" s="45"/>
    </row>
    <row r="888" spans="7:7" ht="12.75" customHeight="1" x14ac:dyDescent="0.2">
      <c r="G888" s="45"/>
    </row>
    <row r="889" spans="7:7" ht="12.75" customHeight="1" x14ac:dyDescent="0.2">
      <c r="G889" s="45"/>
    </row>
    <row r="890" spans="7:7" ht="12.75" customHeight="1" x14ac:dyDescent="0.2">
      <c r="G890" s="45"/>
    </row>
    <row r="891" spans="7:7" ht="12.75" customHeight="1" x14ac:dyDescent="0.2">
      <c r="G891" s="45"/>
    </row>
    <row r="892" spans="7:7" ht="12.75" customHeight="1" x14ac:dyDescent="0.2">
      <c r="G892" s="45"/>
    </row>
    <row r="893" spans="7:7" ht="12.75" customHeight="1" x14ac:dyDescent="0.2">
      <c r="G893" s="45"/>
    </row>
    <row r="894" spans="7:7" ht="12.75" customHeight="1" x14ac:dyDescent="0.2">
      <c r="G894" s="45"/>
    </row>
    <row r="895" spans="7:7" ht="12.75" customHeight="1" x14ac:dyDescent="0.2">
      <c r="G895" s="45"/>
    </row>
    <row r="896" spans="7:7" ht="12.75" customHeight="1" x14ac:dyDescent="0.2">
      <c r="G896" s="45"/>
    </row>
    <row r="897" spans="7:7" ht="12.75" customHeight="1" x14ac:dyDescent="0.2">
      <c r="G897" s="45"/>
    </row>
    <row r="898" spans="7:7" ht="12.75" customHeight="1" x14ac:dyDescent="0.2">
      <c r="G898" s="45"/>
    </row>
    <row r="899" spans="7:7" ht="12.75" customHeight="1" x14ac:dyDescent="0.2">
      <c r="G899" s="45"/>
    </row>
    <row r="900" spans="7:7" ht="12.75" customHeight="1" x14ac:dyDescent="0.2">
      <c r="G900" s="45"/>
    </row>
    <row r="901" spans="7:7" ht="12.75" customHeight="1" x14ac:dyDescent="0.2">
      <c r="G901" s="45"/>
    </row>
    <row r="902" spans="7:7" ht="12.75" customHeight="1" x14ac:dyDescent="0.2">
      <c r="G902" s="45"/>
    </row>
    <row r="903" spans="7:7" ht="12.75" customHeight="1" x14ac:dyDescent="0.2">
      <c r="G903" s="45"/>
    </row>
    <row r="904" spans="7:7" ht="12.75" customHeight="1" x14ac:dyDescent="0.2">
      <c r="G904" s="45"/>
    </row>
    <row r="905" spans="7:7" ht="12.75" customHeight="1" x14ac:dyDescent="0.2">
      <c r="G905" s="45"/>
    </row>
    <row r="906" spans="7:7" ht="12.75" customHeight="1" x14ac:dyDescent="0.2">
      <c r="G906" s="45"/>
    </row>
    <row r="907" spans="7:7" ht="12.75" customHeight="1" x14ac:dyDescent="0.2">
      <c r="G907" s="45"/>
    </row>
    <row r="908" spans="7:7" ht="12.75" customHeight="1" x14ac:dyDescent="0.2">
      <c r="G908" s="45"/>
    </row>
    <row r="909" spans="7:7" ht="12.75" customHeight="1" x14ac:dyDescent="0.2">
      <c r="G909" s="45"/>
    </row>
    <row r="910" spans="7:7" ht="12.75" customHeight="1" x14ac:dyDescent="0.2">
      <c r="G910" s="45"/>
    </row>
    <row r="911" spans="7:7" ht="12.75" customHeight="1" x14ac:dyDescent="0.2">
      <c r="G911" s="45"/>
    </row>
    <row r="912" spans="7:7" ht="12.75" customHeight="1" x14ac:dyDescent="0.2">
      <c r="G912" s="45"/>
    </row>
    <row r="913" spans="7:7" ht="12.75" customHeight="1" x14ac:dyDescent="0.2">
      <c r="G913" s="45"/>
    </row>
    <row r="914" spans="7:7" ht="12.75" customHeight="1" x14ac:dyDescent="0.2">
      <c r="G914" s="45"/>
    </row>
    <row r="915" spans="7:7" ht="12.75" customHeight="1" x14ac:dyDescent="0.2">
      <c r="G915" s="45"/>
    </row>
    <row r="916" spans="7:7" ht="12.75" customHeight="1" x14ac:dyDescent="0.2">
      <c r="G916" s="45"/>
    </row>
    <row r="917" spans="7:7" ht="12.75" customHeight="1" x14ac:dyDescent="0.2">
      <c r="G917" s="45"/>
    </row>
    <row r="918" spans="7:7" ht="12.75" customHeight="1" x14ac:dyDescent="0.2">
      <c r="G918" s="45"/>
    </row>
    <row r="919" spans="7:7" ht="12.75" customHeight="1" x14ac:dyDescent="0.2">
      <c r="G919" s="45"/>
    </row>
    <row r="920" spans="7:7" ht="12.75" customHeight="1" x14ac:dyDescent="0.2">
      <c r="G920" s="45"/>
    </row>
    <row r="921" spans="7:7" ht="12.75" customHeight="1" x14ac:dyDescent="0.2">
      <c r="G921" s="45"/>
    </row>
    <row r="922" spans="7:7" ht="12.75" customHeight="1" x14ac:dyDescent="0.2">
      <c r="G922" s="45"/>
    </row>
    <row r="923" spans="7:7" ht="12.75" customHeight="1" x14ac:dyDescent="0.2">
      <c r="G923" s="45"/>
    </row>
    <row r="924" spans="7:7" ht="12.75" customHeight="1" x14ac:dyDescent="0.2">
      <c r="G924" s="45"/>
    </row>
    <row r="925" spans="7:7" ht="12.75" customHeight="1" x14ac:dyDescent="0.2">
      <c r="G925" s="45"/>
    </row>
    <row r="926" spans="7:7" ht="12.75" customHeight="1" x14ac:dyDescent="0.2">
      <c r="G926" s="45"/>
    </row>
    <row r="927" spans="7:7" ht="12.75" customHeight="1" x14ac:dyDescent="0.2">
      <c r="G927" s="45"/>
    </row>
    <row r="928" spans="7:7" ht="12.75" customHeight="1" x14ac:dyDescent="0.2">
      <c r="G928" s="45"/>
    </row>
    <row r="929" spans="7:7" ht="12.75" customHeight="1" x14ac:dyDescent="0.2">
      <c r="G929" s="45"/>
    </row>
    <row r="930" spans="7:7" ht="12.75" customHeight="1" x14ac:dyDescent="0.2">
      <c r="G930" s="45"/>
    </row>
    <row r="931" spans="7:7" ht="12.75" customHeight="1" x14ac:dyDescent="0.2">
      <c r="G931" s="45"/>
    </row>
    <row r="932" spans="7:7" ht="12.75" customHeight="1" x14ac:dyDescent="0.2">
      <c r="G932" s="45"/>
    </row>
    <row r="933" spans="7:7" ht="12.75" customHeight="1" x14ac:dyDescent="0.2">
      <c r="G933" s="45"/>
    </row>
    <row r="934" spans="7:7" ht="12.75" customHeight="1" x14ac:dyDescent="0.2">
      <c r="G934" s="45"/>
    </row>
    <row r="935" spans="7:7" ht="12.75" customHeight="1" x14ac:dyDescent="0.2">
      <c r="G935" s="45"/>
    </row>
    <row r="936" spans="7:7" ht="12.75" customHeight="1" x14ac:dyDescent="0.2">
      <c r="G936" s="45"/>
    </row>
    <row r="937" spans="7:7" ht="12.75" customHeight="1" x14ac:dyDescent="0.2">
      <c r="G937" s="45"/>
    </row>
    <row r="938" spans="7:7" ht="12.75" customHeight="1" x14ac:dyDescent="0.2">
      <c r="G938" s="45"/>
    </row>
    <row r="939" spans="7:7" ht="12.75" customHeight="1" x14ac:dyDescent="0.2">
      <c r="G939" s="45"/>
    </row>
    <row r="940" spans="7:7" ht="12.75" customHeight="1" x14ac:dyDescent="0.2">
      <c r="G940" s="45"/>
    </row>
    <row r="941" spans="7:7" ht="12.75" customHeight="1" x14ac:dyDescent="0.2">
      <c r="G941" s="45"/>
    </row>
    <row r="942" spans="7:7" ht="12.75" customHeight="1" x14ac:dyDescent="0.2">
      <c r="G942" s="45"/>
    </row>
    <row r="943" spans="7:7" ht="12.75" customHeight="1" x14ac:dyDescent="0.2">
      <c r="G943" s="45"/>
    </row>
    <row r="944" spans="7:7" ht="12.75" customHeight="1" x14ac:dyDescent="0.2">
      <c r="G944" s="45"/>
    </row>
    <row r="945" spans="7:7" ht="12.75" customHeight="1" x14ac:dyDescent="0.2">
      <c r="G945" s="45"/>
    </row>
    <row r="946" spans="7:7" ht="12.75" customHeight="1" x14ac:dyDescent="0.2">
      <c r="G946" s="45"/>
    </row>
    <row r="947" spans="7:7" ht="12.75" customHeight="1" x14ac:dyDescent="0.2">
      <c r="G947" s="45"/>
    </row>
    <row r="948" spans="7:7" ht="12.75" customHeight="1" x14ac:dyDescent="0.2">
      <c r="G948" s="45"/>
    </row>
    <row r="949" spans="7:7" ht="12.75" customHeight="1" x14ac:dyDescent="0.2">
      <c r="G949" s="45"/>
    </row>
    <row r="950" spans="7:7" ht="12.75" customHeight="1" x14ac:dyDescent="0.2">
      <c r="G950" s="45"/>
    </row>
    <row r="951" spans="7:7" ht="12.75" customHeight="1" x14ac:dyDescent="0.2">
      <c r="G951" s="45"/>
    </row>
    <row r="952" spans="7:7" ht="12.75" customHeight="1" x14ac:dyDescent="0.2">
      <c r="G952" s="45"/>
    </row>
    <row r="953" spans="7:7" ht="12.75" customHeight="1" x14ac:dyDescent="0.2">
      <c r="G953" s="45"/>
    </row>
    <row r="954" spans="7:7" ht="12.75" customHeight="1" x14ac:dyDescent="0.2">
      <c r="G954" s="45"/>
    </row>
    <row r="955" spans="7:7" ht="12.75" customHeight="1" x14ac:dyDescent="0.2">
      <c r="G955" s="45"/>
    </row>
    <row r="956" spans="7:7" ht="12.75" customHeight="1" x14ac:dyDescent="0.2">
      <c r="G956" s="45"/>
    </row>
    <row r="957" spans="7:7" ht="12.75" customHeight="1" x14ac:dyDescent="0.2">
      <c r="G957" s="45"/>
    </row>
    <row r="958" spans="7:7" ht="12.75" customHeight="1" x14ac:dyDescent="0.2">
      <c r="G958" s="45"/>
    </row>
    <row r="959" spans="7:7" ht="12.75" customHeight="1" x14ac:dyDescent="0.2">
      <c r="G959" s="45"/>
    </row>
    <row r="960" spans="7:7" ht="12.75" customHeight="1" x14ac:dyDescent="0.2">
      <c r="G960" s="45"/>
    </row>
    <row r="961" spans="7:7" ht="12.75" customHeight="1" x14ac:dyDescent="0.2">
      <c r="G961" s="45"/>
    </row>
    <row r="962" spans="7:7" ht="12.75" customHeight="1" x14ac:dyDescent="0.2">
      <c r="G962" s="45"/>
    </row>
    <row r="963" spans="7:7" ht="12.75" customHeight="1" x14ac:dyDescent="0.2">
      <c r="G963" s="45"/>
    </row>
    <row r="964" spans="7:7" ht="12.75" customHeight="1" x14ac:dyDescent="0.2">
      <c r="G964" s="45"/>
    </row>
    <row r="965" spans="7:7" ht="12.75" customHeight="1" x14ac:dyDescent="0.2">
      <c r="G965" s="45"/>
    </row>
    <row r="966" spans="7:7" ht="12.75" customHeight="1" x14ac:dyDescent="0.2">
      <c r="G966" s="45"/>
    </row>
    <row r="967" spans="7:7" ht="12.75" customHeight="1" x14ac:dyDescent="0.2">
      <c r="G967" s="45"/>
    </row>
    <row r="968" spans="7:7" ht="12.75" customHeight="1" x14ac:dyDescent="0.2">
      <c r="G968" s="45"/>
    </row>
    <row r="969" spans="7:7" ht="12.75" customHeight="1" x14ac:dyDescent="0.2">
      <c r="G969" s="45"/>
    </row>
    <row r="970" spans="7:7" ht="12.75" customHeight="1" x14ac:dyDescent="0.2">
      <c r="G970" s="45"/>
    </row>
    <row r="971" spans="7:7" ht="12.75" customHeight="1" x14ac:dyDescent="0.2">
      <c r="G971" s="45"/>
    </row>
    <row r="972" spans="7:7" ht="12.75" customHeight="1" x14ac:dyDescent="0.2">
      <c r="G972" s="45"/>
    </row>
    <row r="973" spans="7:7" ht="12.75" customHeight="1" x14ac:dyDescent="0.2">
      <c r="G973" s="45"/>
    </row>
    <row r="974" spans="7:7" ht="12.75" customHeight="1" x14ac:dyDescent="0.2">
      <c r="G974" s="45"/>
    </row>
    <row r="975" spans="7:7" ht="12.75" customHeight="1" x14ac:dyDescent="0.2">
      <c r="G975" s="45"/>
    </row>
    <row r="976" spans="7:7" ht="12.75" customHeight="1" x14ac:dyDescent="0.2">
      <c r="G976" s="45"/>
    </row>
    <row r="977" spans="7:7" ht="12.75" customHeight="1" x14ac:dyDescent="0.2">
      <c r="G977" s="45"/>
    </row>
    <row r="978" spans="7:7" ht="12.75" customHeight="1" x14ac:dyDescent="0.2">
      <c r="G978" s="45"/>
    </row>
    <row r="979" spans="7:7" ht="12.75" customHeight="1" x14ac:dyDescent="0.2">
      <c r="G979" s="45"/>
    </row>
    <row r="980" spans="7:7" ht="12.75" customHeight="1" x14ac:dyDescent="0.2">
      <c r="G980" s="45"/>
    </row>
    <row r="981" spans="7:7" ht="12.75" customHeight="1" x14ac:dyDescent="0.2">
      <c r="G981" s="45"/>
    </row>
    <row r="982" spans="7:7" ht="12.75" customHeight="1" x14ac:dyDescent="0.2">
      <c r="G982" s="45"/>
    </row>
    <row r="983" spans="7:7" ht="12.75" customHeight="1" x14ac:dyDescent="0.2">
      <c r="G983" s="45"/>
    </row>
    <row r="984" spans="7:7" ht="12.75" customHeight="1" x14ac:dyDescent="0.2">
      <c r="G984" s="45"/>
    </row>
    <row r="985" spans="7:7" ht="12.75" customHeight="1" x14ac:dyDescent="0.2">
      <c r="G985" s="45"/>
    </row>
    <row r="986" spans="7:7" ht="12.75" customHeight="1" x14ac:dyDescent="0.2">
      <c r="G986" s="45"/>
    </row>
    <row r="987" spans="7:7" ht="12.75" customHeight="1" x14ac:dyDescent="0.2">
      <c r="G987" s="45"/>
    </row>
    <row r="988" spans="7:7" ht="12.75" customHeight="1" x14ac:dyDescent="0.2">
      <c r="G988" s="45"/>
    </row>
    <row r="989" spans="7:7" ht="12.75" customHeight="1" x14ac:dyDescent="0.2">
      <c r="G989" s="45"/>
    </row>
    <row r="990" spans="7:7" ht="12.75" customHeight="1" x14ac:dyDescent="0.2">
      <c r="G990" s="45"/>
    </row>
    <row r="991" spans="7:7" ht="12.75" customHeight="1" x14ac:dyDescent="0.2">
      <c r="G991" s="45"/>
    </row>
    <row r="992" spans="7:7" ht="12.75" customHeight="1" x14ac:dyDescent="0.2">
      <c r="G992" s="45"/>
    </row>
    <row r="993" spans="7:7" ht="12.75" customHeight="1" x14ac:dyDescent="0.2">
      <c r="G993" s="45"/>
    </row>
    <row r="994" spans="7:7" ht="12.75" customHeight="1" x14ac:dyDescent="0.2">
      <c r="G994" s="45"/>
    </row>
    <row r="995" spans="7:7" ht="12.75" customHeight="1" x14ac:dyDescent="0.2">
      <c r="G995" s="45"/>
    </row>
    <row r="996" spans="7:7" ht="12.75" customHeight="1" x14ac:dyDescent="0.2">
      <c r="G996" s="45"/>
    </row>
    <row r="997" spans="7:7" ht="12.75" customHeight="1" x14ac:dyDescent="0.2">
      <c r="G997" s="45"/>
    </row>
    <row r="998" spans="7:7" ht="12.75" customHeight="1" x14ac:dyDescent="0.2">
      <c r="G998" s="45"/>
    </row>
    <row r="999" spans="7:7" ht="12.75" customHeight="1" x14ac:dyDescent="0.2">
      <c r="G999" s="45"/>
    </row>
    <row r="1000" spans="7:7" ht="12.75" customHeight="1" x14ac:dyDescent="0.2">
      <c r="G1000" s="45"/>
    </row>
    <row r="1001" spans="7:7" ht="12.75" customHeight="1" x14ac:dyDescent="0.2">
      <c r="G1001" s="45"/>
    </row>
    <row r="1002" spans="7:7" ht="12.75" customHeight="1" x14ac:dyDescent="0.2">
      <c r="G1002" s="45"/>
    </row>
    <row r="1003" spans="7:7" ht="12.75" customHeight="1" x14ac:dyDescent="0.2">
      <c r="G1003" s="45"/>
    </row>
    <row r="1004" spans="7:7" ht="12.75" customHeight="1" x14ac:dyDescent="0.2">
      <c r="G1004" s="45"/>
    </row>
    <row r="1005" spans="7:7" ht="12.75" customHeight="1" x14ac:dyDescent="0.2">
      <c r="G1005" s="45"/>
    </row>
    <row r="1006" spans="7:7" ht="12.75" customHeight="1" x14ac:dyDescent="0.2">
      <c r="G1006" s="45"/>
    </row>
    <row r="1007" spans="7:7" ht="12.75" customHeight="1" x14ac:dyDescent="0.2">
      <c r="G1007" s="45"/>
    </row>
    <row r="1008" spans="7:7" ht="12.75" customHeight="1" x14ac:dyDescent="0.2">
      <c r="G1008" s="45"/>
    </row>
    <row r="1009" spans="7:7" ht="12.75" customHeight="1" x14ac:dyDescent="0.2">
      <c r="G1009" s="45"/>
    </row>
    <row r="1010" spans="7:7" ht="12.75" customHeight="1" x14ac:dyDescent="0.2">
      <c r="G1010" s="45"/>
    </row>
    <row r="1011" spans="7:7" ht="12.75" customHeight="1" x14ac:dyDescent="0.2">
      <c r="G1011" s="45"/>
    </row>
    <row r="1012" spans="7:7" ht="12.75" customHeight="1" x14ac:dyDescent="0.2">
      <c r="G1012" s="45"/>
    </row>
    <row r="1013" spans="7:7" ht="12.75" customHeight="1" x14ac:dyDescent="0.2">
      <c r="G1013" s="45"/>
    </row>
    <row r="1014" spans="7:7" ht="12.75" customHeight="1" x14ac:dyDescent="0.2">
      <c r="G1014" s="45"/>
    </row>
    <row r="1015" spans="7:7" ht="12.75" customHeight="1" x14ac:dyDescent="0.2">
      <c r="G1015" s="45"/>
    </row>
    <row r="1016" spans="7:7" ht="12.75" customHeight="1" x14ac:dyDescent="0.2">
      <c r="G1016" s="45"/>
    </row>
    <row r="1017" spans="7:7" ht="12.75" customHeight="1" x14ac:dyDescent="0.2">
      <c r="G1017" s="45"/>
    </row>
    <row r="1018" spans="7:7" ht="12.75" customHeight="1" x14ac:dyDescent="0.2">
      <c r="G1018" s="45"/>
    </row>
    <row r="1019" spans="7:7" ht="12.75" customHeight="1" x14ac:dyDescent="0.2">
      <c r="G1019" s="45"/>
    </row>
    <row r="1020" spans="7:7" ht="12.75" customHeight="1" x14ac:dyDescent="0.2">
      <c r="G1020" s="45"/>
    </row>
    <row r="1021" spans="7:7" ht="12.75" customHeight="1" x14ac:dyDescent="0.2">
      <c r="G1021" s="45"/>
    </row>
    <row r="1022" spans="7:7" ht="12.75" customHeight="1" x14ac:dyDescent="0.2">
      <c r="G1022" s="45"/>
    </row>
    <row r="1023" spans="7:7" ht="12.75" customHeight="1" x14ac:dyDescent="0.2">
      <c r="G1023" s="45"/>
    </row>
    <row r="1024" spans="7:7" ht="12.75" customHeight="1" x14ac:dyDescent="0.2">
      <c r="G1024" s="45"/>
    </row>
    <row r="1025" spans="7:7" ht="12.75" customHeight="1" x14ac:dyDescent="0.2">
      <c r="G1025" s="45"/>
    </row>
    <row r="1026" spans="7:7" ht="12.75" customHeight="1" x14ac:dyDescent="0.2">
      <c r="G1026" s="45"/>
    </row>
    <row r="1027" spans="7:7" ht="12.75" customHeight="1" x14ac:dyDescent="0.2">
      <c r="G1027" s="45"/>
    </row>
    <row r="1028" spans="7:7" ht="12.75" customHeight="1" x14ac:dyDescent="0.2">
      <c r="G1028" s="45"/>
    </row>
  </sheetData>
  <autoFilter ref="A1:L48" xr:uid="{00000000-0009-0000-0000-000008000000}"/>
  <mergeCells count="16">
    <mergeCell ref="K30:K31"/>
    <mergeCell ref="K18:K20"/>
    <mergeCell ref="L18:L20"/>
    <mergeCell ref="L30:L31"/>
    <mergeCell ref="K21:K22"/>
    <mergeCell ref="K27:K28"/>
    <mergeCell ref="L21:L22"/>
    <mergeCell ref="L27:L28"/>
    <mergeCell ref="K32:K34"/>
    <mergeCell ref="K44:K45"/>
    <mergeCell ref="K35:K37"/>
    <mergeCell ref="L35:L37"/>
    <mergeCell ref="L44:L45"/>
    <mergeCell ref="L39:L41"/>
    <mergeCell ref="K39:K41"/>
    <mergeCell ref="L32:L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3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3.5703125" customWidth="1"/>
    <col min="2" max="2" width="11.7109375" customWidth="1"/>
    <col min="3" max="3" width="14.140625" customWidth="1"/>
    <col min="4" max="4" width="17.42578125" customWidth="1"/>
    <col min="5" max="5" width="13.5703125" customWidth="1"/>
    <col min="6" max="6" width="18.140625" customWidth="1"/>
    <col min="7" max="7" width="15.28515625" customWidth="1"/>
    <col min="8" max="8" width="14.42578125" customWidth="1"/>
    <col min="9" max="9" width="11.42578125" customWidth="1"/>
    <col min="10" max="10" width="14" customWidth="1"/>
    <col min="11" max="11" width="19.85546875" customWidth="1"/>
    <col min="12" max="12" width="20.28515625" customWidth="1"/>
  </cols>
  <sheetData>
    <row r="1" spans="1:12" ht="15.75" customHeight="1" x14ac:dyDescent="0.25">
      <c r="A1" s="19" t="s">
        <v>210</v>
      </c>
      <c r="B1" s="19" t="s">
        <v>260</v>
      </c>
      <c r="C1" s="19" t="s">
        <v>211</v>
      </c>
      <c r="D1" s="19" t="s">
        <v>214</v>
      </c>
      <c r="E1" s="19" t="s">
        <v>0</v>
      </c>
      <c r="F1" s="19" t="s">
        <v>253</v>
      </c>
      <c r="G1" s="19" t="s">
        <v>254</v>
      </c>
      <c r="H1" s="19" t="s">
        <v>255</v>
      </c>
      <c r="I1" s="19" t="s">
        <v>215</v>
      </c>
      <c r="J1" s="19" t="s">
        <v>216</v>
      </c>
      <c r="K1" s="19" t="s">
        <v>218</v>
      </c>
      <c r="L1" s="19" t="s">
        <v>219</v>
      </c>
    </row>
    <row r="2" spans="1:12" ht="15.75" customHeight="1" x14ac:dyDescent="0.25">
      <c r="A2" s="20">
        <v>46204</v>
      </c>
      <c r="B2" s="21" t="s">
        <v>78</v>
      </c>
      <c r="C2" s="21" t="s">
        <v>75</v>
      </c>
      <c r="D2" s="21">
        <f>1.1+1.2+1.1</f>
        <v>3.4</v>
      </c>
      <c r="E2" s="21" t="s">
        <v>261</v>
      </c>
      <c r="F2" s="22">
        <v>14000</v>
      </c>
      <c r="G2" s="22">
        <f>F2*D2</f>
        <v>47600</v>
      </c>
      <c r="H2" s="22">
        <v>16000</v>
      </c>
      <c r="I2" s="22">
        <f>H2*D2</f>
        <v>54400</v>
      </c>
      <c r="J2" s="22">
        <f>I2-(D2*F2)</f>
        <v>6800</v>
      </c>
      <c r="K2" s="51" t="s">
        <v>39</v>
      </c>
      <c r="L2" s="53" t="s">
        <v>221</v>
      </c>
    </row>
    <row r="3" spans="1:12" ht="15.75" customHeight="1" x14ac:dyDescent="0.25">
      <c r="A3" s="20">
        <v>46204</v>
      </c>
      <c r="B3" s="21" t="s">
        <v>78</v>
      </c>
      <c r="C3" s="21" t="s">
        <v>75</v>
      </c>
      <c r="D3" s="21">
        <v>1.1000000000000001</v>
      </c>
      <c r="E3" s="21" t="s">
        <v>256</v>
      </c>
      <c r="F3" s="22">
        <v>19000</v>
      </c>
      <c r="G3" s="22">
        <f>F3*D3</f>
        <v>20900</v>
      </c>
      <c r="H3" s="22">
        <v>22000</v>
      </c>
      <c r="I3" s="22">
        <f>H3*D3</f>
        <v>24200.000000000004</v>
      </c>
      <c r="J3" s="22">
        <f>I3-(D3*F3)</f>
        <v>3300.0000000000036</v>
      </c>
      <c r="K3" s="52"/>
      <c r="L3" s="52"/>
    </row>
    <row r="4" spans="1:12" ht="15.75" customHeight="1" x14ac:dyDescent="0.25">
      <c r="A4" s="20">
        <v>46204</v>
      </c>
      <c r="B4" s="21" t="s">
        <v>78</v>
      </c>
      <c r="C4" s="21" t="s">
        <v>75</v>
      </c>
      <c r="D4" s="21">
        <f>0.9+1</f>
        <v>1.9</v>
      </c>
      <c r="E4" s="21" t="s">
        <v>220</v>
      </c>
      <c r="F4" s="22">
        <v>21000</v>
      </c>
      <c r="G4" s="22">
        <f>F4*D4</f>
        <v>39900</v>
      </c>
      <c r="H4" s="22">
        <v>23000</v>
      </c>
      <c r="I4" s="22">
        <f>H4*D4</f>
        <v>43700</v>
      </c>
      <c r="J4" s="22">
        <f>I4-(D4*F4)</f>
        <v>3800</v>
      </c>
      <c r="K4" s="52"/>
      <c r="L4" s="52"/>
    </row>
    <row r="5" spans="1:12" ht="15.75" customHeight="1" x14ac:dyDescent="0.25">
      <c r="A5" s="24" t="s">
        <v>223</v>
      </c>
      <c r="B5" s="25"/>
      <c r="C5" s="25"/>
      <c r="D5" s="24">
        <f>SUM(D2:D4)</f>
        <v>6.4</v>
      </c>
      <c r="E5" s="25"/>
      <c r="F5" s="25"/>
      <c r="G5" s="26">
        <f>SUM(G2:G4)</f>
        <v>108400</v>
      </c>
      <c r="H5" s="26"/>
      <c r="I5" s="27"/>
      <c r="J5" s="26">
        <f>SUM(J2:J4)</f>
        <v>13900.000000000004</v>
      </c>
      <c r="K5" s="25"/>
      <c r="L5" s="27"/>
    </row>
    <row r="6" spans="1:12" ht="15.75" customHeight="1" x14ac:dyDescent="0.25">
      <c r="A6" s="20">
        <v>46209</v>
      </c>
      <c r="B6" s="21" t="s">
        <v>195</v>
      </c>
      <c r="C6" s="21" t="s">
        <v>75</v>
      </c>
      <c r="D6" s="21">
        <f>1.1+1.1</f>
        <v>2.2000000000000002</v>
      </c>
      <c r="E6" s="21" t="s">
        <v>256</v>
      </c>
      <c r="F6" s="22">
        <v>19000</v>
      </c>
      <c r="G6" s="22">
        <f t="shared" ref="G6:G22" si="0">F6*D6</f>
        <v>41800</v>
      </c>
      <c r="H6" s="22">
        <v>22000</v>
      </c>
      <c r="I6" s="22">
        <f t="shared" ref="I6:I22" si="1">H6*D6</f>
        <v>48400.000000000007</v>
      </c>
      <c r="J6" s="22">
        <f t="shared" ref="J6:J22" si="2">I6-(D6*F6)</f>
        <v>6600.0000000000073</v>
      </c>
      <c r="K6" s="51"/>
      <c r="L6" s="53"/>
    </row>
    <row r="7" spans="1:12" ht="15.75" customHeight="1" x14ac:dyDescent="0.25">
      <c r="A7" s="20">
        <v>46209</v>
      </c>
      <c r="B7" s="21" t="s">
        <v>195</v>
      </c>
      <c r="C7" s="21" t="s">
        <v>75</v>
      </c>
      <c r="D7" s="21">
        <v>0.9</v>
      </c>
      <c r="E7" s="21" t="s">
        <v>220</v>
      </c>
      <c r="F7" s="22">
        <v>21000</v>
      </c>
      <c r="G7" s="22">
        <f t="shared" si="0"/>
        <v>18900</v>
      </c>
      <c r="H7" s="22">
        <v>23000</v>
      </c>
      <c r="I7" s="22">
        <f t="shared" si="1"/>
        <v>20700</v>
      </c>
      <c r="J7" s="22">
        <f t="shared" si="2"/>
        <v>1800</v>
      </c>
      <c r="K7" s="52"/>
      <c r="L7" s="52"/>
    </row>
    <row r="8" spans="1:12" ht="15.75" customHeight="1" x14ac:dyDescent="0.25">
      <c r="A8" s="20">
        <v>46209</v>
      </c>
      <c r="B8" s="21" t="s">
        <v>195</v>
      </c>
      <c r="C8" s="21" t="s">
        <v>75</v>
      </c>
      <c r="D8" s="21">
        <v>2.9</v>
      </c>
      <c r="E8" s="21" t="s">
        <v>8</v>
      </c>
      <c r="F8" s="22">
        <v>20000</v>
      </c>
      <c r="G8" s="22">
        <f t="shared" si="0"/>
        <v>58000</v>
      </c>
      <c r="H8" s="22">
        <v>22000</v>
      </c>
      <c r="I8" s="22">
        <f t="shared" si="1"/>
        <v>63800</v>
      </c>
      <c r="J8" s="22">
        <f t="shared" si="2"/>
        <v>5800</v>
      </c>
      <c r="K8" s="52"/>
      <c r="L8" s="52"/>
    </row>
    <row r="9" spans="1:12" ht="15.75" customHeight="1" x14ac:dyDescent="0.25">
      <c r="A9" s="20">
        <v>46210</v>
      </c>
      <c r="B9" s="21" t="s">
        <v>78</v>
      </c>
      <c r="C9" s="21" t="s">
        <v>75</v>
      </c>
      <c r="D9" s="21">
        <v>4.5</v>
      </c>
      <c r="E9" s="21" t="s">
        <v>28</v>
      </c>
      <c r="F9" s="22">
        <v>17000</v>
      </c>
      <c r="G9" s="22">
        <f t="shared" si="0"/>
        <v>76500</v>
      </c>
      <c r="H9" s="22">
        <v>20000</v>
      </c>
      <c r="I9" s="22">
        <f t="shared" si="1"/>
        <v>90000</v>
      </c>
      <c r="J9" s="22">
        <f t="shared" si="2"/>
        <v>13500</v>
      </c>
      <c r="K9" s="29" t="s">
        <v>39</v>
      </c>
      <c r="L9" s="30" t="s">
        <v>221</v>
      </c>
    </row>
    <row r="10" spans="1:12" ht="15.75" customHeight="1" x14ac:dyDescent="0.25">
      <c r="A10" s="20">
        <v>46210</v>
      </c>
      <c r="B10" s="21" t="s">
        <v>70</v>
      </c>
      <c r="C10" s="21" t="s">
        <v>75</v>
      </c>
      <c r="D10" s="21">
        <f>1.7+1.6+1.8+1.6+1.4</f>
        <v>8.1</v>
      </c>
      <c r="E10" s="21" t="s">
        <v>14</v>
      </c>
      <c r="F10" s="22">
        <v>27000</v>
      </c>
      <c r="G10" s="22">
        <f t="shared" si="0"/>
        <v>218700</v>
      </c>
      <c r="H10" s="22">
        <v>29000</v>
      </c>
      <c r="I10" s="22">
        <f t="shared" si="1"/>
        <v>234900</v>
      </c>
      <c r="J10" s="22">
        <f t="shared" si="2"/>
        <v>16200</v>
      </c>
      <c r="K10" s="51" t="s">
        <v>39</v>
      </c>
      <c r="L10" s="53" t="s">
        <v>221</v>
      </c>
    </row>
    <row r="11" spans="1:12" ht="15.75" customHeight="1" x14ac:dyDescent="0.25">
      <c r="A11" s="20">
        <v>46210</v>
      </c>
      <c r="B11" s="21" t="s">
        <v>70</v>
      </c>
      <c r="C11" s="21" t="s">
        <v>75</v>
      </c>
      <c r="D11" s="21">
        <f>1.3+1.2</f>
        <v>2.5</v>
      </c>
      <c r="E11" s="21" t="s">
        <v>256</v>
      </c>
      <c r="F11" s="22">
        <v>19000</v>
      </c>
      <c r="G11" s="22">
        <f t="shared" si="0"/>
        <v>47500</v>
      </c>
      <c r="H11" s="22">
        <v>22000</v>
      </c>
      <c r="I11" s="22">
        <f t="shared" si="1"/>
        <v>55000</v>
      </c>
      <c r="J11" s="22">
        <f t="shared" si="2"/>
        <v>7500</v>
      </c>
      <c r="K11" s="52"/>
      <c r="L11" s="52"/>
    </row>
    <row r="12" spans="1:12" ht="15.75" customHeight="1" x14ac:dyDescent="0.25">
      <c r="A12" s="20">
        <v>46210</v>
      </c>
      <c r="B12" s="21" t="s">
        <v>70</v>
      </c>
      <c r="C12" s="21" t="s">
        <v>75</v>
      </c>
      <c r="D12" s="21">
        <f>1.5+1.6</f>
        <v>3.1</v>
      </c>
      <c r="E12" s="21" t="s">
        <v>28</v>
      </c>
      <c r="F12" s="22">
        <v>17000</v>
      </c>
      <c r="G12" s="22">
        <f t="shared" si="0"/>
        <v>52700</v>
      </c>
      <c r="H12" s="22">
        <v>22000</v>
      </c>
      <c r="I12" s="22">
        <f t="shared" si="1"/>
        <v>68200</v>
      </c>
      <c r="J12" s="22">
        <f t="shared" si="2"/>
        <v>15500</v>
      </c>
      <c r="K12" s="52"/>
      <c r="L12" s="52"/>
    </row>
    <row r="13" spans="1:12" ht="15.75" customHeight="1" x14ac:dyDescent="0.25">
      <c r="A13" s="20">
        <v>46210</v>
      </c>
      <c r="B13" s="21" t="s">
        <v>48</v>
      </c>
      <c r="C13" s="21" t="s">
        <v>75</v>
      </c>
      <c r="D13" s="21">
        <v>1.6</v>
      </c>
      <c r="E13" s="21" t="s">
        <v>14</v>
      </c>
      <c r="F13" s="22">
        <v>27000</v>
      </c>
      <c r="G13" s="22">
        <f t="shared" si="0"/>
        <v>43200</v>
      </c>
      <c r="H13" s="22">
        <v>29000</v>
      </c>
      <c r="I13" s="22">
        <f t="shared" si="1"/>
        <v>46400</v>
      </c>
      <c r="J13" s="22">
        <f t="shared" si="2"/>
        <v>3200</v>
      </c>
      <c r="K13" s="29" t="s">
        <v>39</v>
      </c>
      <c r="L13" s="30" t="s">
        <v>221</v>
      </c>
    </row>
    <row r="14" spans="1:12" ht="15.75" customHeight="1" x14ac:dyDescent="0.25">
      <c r="A14" s="20">
        <v>46210</v>
      </c>
      <c r="B14" s="21" t="s">
        <v>42</v>
      </c>
      <c r="C14" s="21" t="s">
        <v>75</v>
      </c>
      <c r="D14" s="21">
        <v>1.5</v>
      </c>
      <c r="E14" s="21" t="s">
        <v>14</v>
      </c>
      <c r="F14" s="22">
        <v>27000</v>
      </c>
      <c r="G14" s="22">
        <f t="shared" si="0"/>
        <v>40500</v>
      </c>
      <c r="H14" s="22">
        <v>29000</v>
      </c>
      <c r="I14" s="22">
        <f t="shared" si="1"/>
        <v>43500</v>
      </c>
      <c r="J14" s="22">
        <f t="shared" si="2"/>
        <v>3000</v>
      </c>
      <c r="K14" s="51" t="s">
        <v>39</v>
      </c>
      <c r="L14" s="53" t="s">
        <v>221</v>
      </c>
    </row>
    <row r="15" spans="1:12" ht="15.75" customHeight="1" x14ac:dyDescent="0.25">
      <c r="A15" s="20">
        <v>46210</v>
      </c>
      <c r="B15" s="21" t="s">
        <v>42</v>
      </c>
      <c r="C15" s="21" t="s">
        <v>75</v>
      </c>
      <c r="D15" s="21">
        <v>1</v>
      </c>
      <c r="E15" s="21" t="s">
        <v>256</v>
      </c>
      <c r="F15" s="22">
        <v>19000</v>
      </c>
      <c r="G15" s="22">
        <f t="shared" si="0"/>
        <v>19000</v>
      </c>
      <c r="H15" s="22">
        <v>22000</v>
      </c>
      <c r="I15" s="22">
        <f t="shared" si="1"/>
        <v>22000</v>
      </c>
      <c r="J15" s="22">
        <f t="shared" si="2"/>
        <v>3000</v>
      </c>
      <c r="K15" s="52"/>
      <c r="L15" s="52"/>
    </row>
    <row r="16" spans="1:12" ht="15.75" customHeight="1" x14ac:dyDescent="0.25">
      <c r="A16" s="20">
        <v>46211</v>
      </c>
      <c r="B16" s="21" t="s">
        <v>45</v>
      </c>
      <c r="C16" s="21" t="s">
        <v>75</v>
      </c>
      <c r="D16" s="21">
        <v>3.2</v>
      </c>
      <c r="E16" s="21" t="s">
        <v>28</v>
      </c>
      <c r="F16" s="22">
        <v>17000</v>
      </c>
      <c r="G16" s="22">
        <f t="shared" si="0"/>
        <v>54400</v>
      </c>
      <c r="H16" s="22">
        <v>20000</v>
      </c>
      <c r="I16" s="22">
        <f t="shared" si="1"/>
        <v>64000</v>
      </c>
      <c r="J16" s="22">
        <f t="shared" si="2"/>
        <v>9600</v>
      </c>
      <c r="K16" s="29"/>
      <c r="L16" s="30"/>
    </row>
    <row r="17" spans="1:12" ht="15.75" customHeight="1" x14ac:dyDescent="0.25">
      <c r="A17" s="20"/>
      <c r="B17" s="21"/>
      <c r="C17" s="21"/>
      <c r="D17" s="21"/>
      <c r="E17" s="21"/>
      <c r="F17" s="22"/>
      <c r="G17" s="22">
        <f t="shared" si="0"/>
        <v>0</v>
      </c>
      <c r="H17" s="22"/>
      <c r="I17" s="22">
        <f t="shared" si="1"/>
        <v>0</v>
      </c>
      <c r="J17" s="22">
        <f t="shared" si="2"/>
        <v>0</v>
      </c>
      <c r="K17" s="29"/>
      <c r="L17" s="30"/>
    </row>
    <row r="18" spans="1:12" ht="15.75" customHeight="1" x14ac:dyDescent="0.25">
      <c r="A18" s="20"/>
      <c r="B18" s="21"/>
      <c r="C18" s="21"/>
      <c r="D18" s="21"/>
      <c r="E18" s="21"/>
      <c r="F18" s="22"/>
      <c r="G18" s="22">
        <f t="shared" si="0"/>
        <v>0</v>
      </c>
      <c r="H18" s="22"/>
      <c r="I18" s="22">
        <f t="shared" si="1"/>
        <v>0</v>
      </c>
      <c r="J18" s="22">
        <f t="shared" si="2"/>
        <v>0</v>
      </c>
      <c r="K18" s="29"/>
      <c r="L18" s="30"/>
    </row>
    <row r="19" spans="1:12" ht="15.75" customHeight="1" x14ac:dyDescent="0.25">
      <c r="A19" s="20"/>
      <c r="B19" s="21"/>
      <c r="C19" s="21"/>
      <c r="D19" s="21"/>
      <c r="E19" s="21"/>
      <c r="F19" s="22"/>
      <c r="G19" s="22">
        <f t="shared" si="0"/>
        <v>0</v>
      </c>
      <c r="H19" s="22"/>
      <c r="I19" s="22">
        <f t="shared" si="1"/>
        <v>0</v>
      </c>
      <c r="J19" s="22">
        <f t="shared" si="2"/>
        <v>0</v>
      </c>
      <c r="K19" s="29"/>
      <c r="L19" s="30"/>
    </row>
    <row r="20" spans="1:12" ht="15.75" customHeight="1" x14ac:dyDescent="0.25">
      <c r="A20" s="20"/>
      <c r="B20" s="21"/>
      <c r="C20" s="21"/>
      <c r="D20" s="21"/>
      <c r="E20" s="21"/>
      <c r="F20" s="22"/>
      <c r="G20" s="22">
        <f t="shared" si="0"/>
        <v>0</v>
      </c>
      <c r="H20" s="22"/>
      <c r="I20" s="22">
        <f t="shared" si="1"/>
        <v>0</v>
      </c>
      <c r="J20" s="22">
        <f t="shared" si="2"/>
        <v>0</v>
      </c>
      <c r="K20" s="29"/>
      <c r="L20" s="30"/>
    </row>
    <row r="21" spans="1:12" ht="15.75" customHeight="1" x14ac:dyDescent="0.25">
      <c r="A21" s="20"/>
      <c r="B21" s="21"/>
      <c r="C21" s="21"/>
      <c r="D21" s="21"/>
      <c r="E21" s="21"/>
      <c r="F21" s="22"/>
      <c r="G21" s="22">
        <f t="shared" si="0"/>
        <v>0</v>
      </c>
      <c r="H21" s="22"/>
      <c r="I21" s="22">
        <f t="shared" si="1"/>
        <v>0</v>
      </c>
      <c r="J21" s="22">
        <f t="shared" si="2"/>
        <v>0</v>
      </c>
      <c r="K21" s="29"/>
      <c r="L21" s="30"/>
    </row>
    <row r="22" spans="1:12" ht="15.75" customHeight="1" x14ac:dyDescent="0.25">
      <c r="A22" s="20"/>
      <c r="B22" s="21"/>
      <c r="C22" s="21"/>
      <c r="D22" s="21"/>
      <c r="E22" s="21"/>
      <c r="F22" s="22"/>
      <c r="G22" s="22">
        <f t="shared" si="0"/>
        <v>0</v>
      </c>
      <c r="H22" s="22"/>
      <c r="I22" s="22">
        <f t="shared" si="1"/>
        <v>0</v>
      </c>
      <c r="J22" s="22">
        <f t="shared" si="2"/>
        <v>0</v>
      </c>
      <c r="K22" s="29"/>
      <c r="L22" s="30"/>
    </row>
    <row r="23" spans="1:12" ht="15.75" customHeight="1" x14ac:dyDescent="0.25">
      <c r="A23" s="24" t="s">
        <v>223</v>
      </c>
      <c r="B23" s="25"/>
      <c r="C23" s="25"/>
      <c r="D23" s="24">
        <f>SUM(D6:D22)</f>
        <v>31.500000000000004</v>
      </c>
      <c r="E23" s="25"/>
      <c r="F23" s="25"/>
      <c r="G23" s="26">
        <f>SUM(G6:G22)</f>
        <v>671200</v>
      </c>
      <c r="H23" s="26"/>
      <c r="I23" s="27"/>
      <c r="J23" s="26">
        <f>SUM(J6:J22)</f>
        <v>85700</v>
      </c>
      <c r="K23" s="25"/>
      <c r="L23" s="27"/>
    </row>
    <row r="24" spans="1:12" ht="15.75" customHeight="1" x14ac:dyDescent="0.25">
      <c r="A24" s="20"/>
      <c r="B24" s="21"/>
      <c r="C24" s="21"/>
      <c r="D24" s="21"/>
      <c r="E24" s="21"/>
      <c r="F24" s="22"/>
      <c r="G24" s="22">
        <f t="shared" ref="G24:G31" si="3">F24*D24</f>
        <v>0</v>
      </c>
      <c r="H24" s="22"/>
      <c r="I24" s="22">
        <f t="shared" ref="I24:I31" si="4">H24*D24</f>
        <v>0</v>
      </c>
      <c r="J24" s="22">
        <f t="shared" ref="J24:J31" si="5">I24-(D24*F24)</f>
        <v>0</v>
      </c>
      <c r="K24" s="29"/>
      <c r="L24" s="30"/>
    </row>
    <row r="25" spans="1:12" x14ac:dyDescent="0.25">
      <c r="A25" s="20"/>
      <c r="B25" s="21"/>
      <c r="C25" s="21"/>
      <c r="D25" s="21"/>
      <c r="E25" s="21"/>
      <c r="F25" s="22"/>
      <c r="G25" s="22">
        <f t="shared" si="3"/>
        <v>0</v>
      </c>
      <c r="H25" s="22"/>
      <c r="I25" s="22">
        <f t="shared" si="4"/>
        <v>0</v>
      </c>
      <c r="J25" s="22">
        <f t="shared" si="5"/>
        <v>0</v>
      </c>
      <c r="K25" s="29"/>
      <c r="L25" s="30"/>
    </row>
    <row r="26" spans="1:12" x14ac:dyDescent="0.25">
      <c r="A26" s="20"/>
      <c r="B26" s="21"/>
      <c r="C26" s="21"/>
      <c r="D26" s="21"/>
      <c r="E26" s="21"/>
      <c r="F26" s="22"/>
      <c r="G26" s="22">
        <f t="shared" si="3"/>
        <v>0</v>
      </c>
      <c r="H26" s="22"/>
      <c r="I26" s="22">
        <f t="shared" si="4"/>
        <v>0</v>
      </c>
      <c r="J26" s="22">
        <f t="shared" si="5"/>
        <v>0</v>
      </c>
      <c r="K26" s="29"/>
      <c r="L26" s="30"/>
    </row>
    <row r="27" spans="1:12" x14ac:dyDescent="0.25">
      <c r="A27" s="20"/>
      <c r="B27" s="21"/>
      <c r="C27" s="21"/>
      <c r="D27" s="21"/>
      <c r="E27" s="21"/>
      <c r="F27" s="22"/>
      <c r="G27" s="22">
        <f t="shared" si="3"/>
        <v>0</v>
      </c>
      <c r="H27" s="22"/>
      <c r="I27" s="22">
        <f t="shared" si="4"/>
        <v>0</v>
      </c>
      <c r="J27" s="22">
        <f t="shared" si="5"/>
        <v>0</v>
      </c>
      <c r="K27" s="29"/>
      <c r="L27" s="30"/>
    </row>
    <row r="28" spans="1:12" x14ac:dyDescent="0.25">
      <c r="A28" s="20"/>
      <c r="B28" s="21"/>
      <c r="C28" s="21"/>
      <c r="D28" s="21"/>
      <c r="E28" s="21"/>
      <c r="F28" s="22"/>
      <c r="G28" s="22">
        <f t="shared" si="3"/>
        <v>0</v>
      </c>
      <c r="H28" s="22"/>
      <c r="I28" s="22">
        <f t="shared" si="4"/>
        <v>0</v>
      </c>
      <c r="J28" s="22">
        <f t="shared" si="5"/>
        <v>0</v>
      </c>
      <c r="K28" s="29"/>
      <c r="L28" s="30"/>
    </row>
    <row r="29" spans="1:12" x14ac:dyDescent="0.25">
      <c r="A29" s="20"/>
      <c r="B29" s="21"/>
      <c r="C29" s="21"/>
      <c r="D29" s="21"/>
      <c r="E29" s="21"/>
      <c r="F29" s="22"/>
      <c r="G29" s="22">
        <f t="shared" si="3"/>
        <v>0</v>
      </c>
      <c r="H29" s="22"/>
      <c r="I29" s="22">
        <f t="shared" si="4"/>
        <v>0</v>
      </c>
      <c r="J29" s="22">
        <f t="shared" si="5"/>
        <v>0</v>
      </c>
      <c r="K29" s="29"/>
      <c r="L29" s="30"/>
    </row>
    <row r="30" spans="1:12" x14ac:dyDescent="0.25">
      <c r="A30" s="20"/>
      <c r="B30" s="21"/>
      <c r="C30" s="21"/>
      <c r="D30" s="21"/>
      <c r="E30" s="21"/>
      <c r="F30" s="22"/>
      <c r="G30" s="22">
        <f t="shared" si="3"/>
        <v>0</v>
      </c>
      <c r="H30" s="22"/>
      <c r="I30" s="22">
        <f t="shared" si="4"/>
        <v>0</v>
      </c>
      <c r="J30" s="22">
        <f t="shared" si="5"/>
        <v>0</v>
      </c>
      <c r="K30" s="29"/>
      <c r="L30" s="30"/>
    </row>
    <row r="31" spans="1:12" x14ac:dyDescent="0.25">
      <c r="A31" s="20"/>
      <c r="B31" s="21"/>
      <c r="C31" s="21"/>
      <c r="D31" s="21"/>
      <c r="E31" s="21"/>
      <c r="F31" s="22"/>
      <c r="G31" s="22">
        <f t="shared" si="3"/>
        <v>0</v>
      </c>
      <c r="H31" s="22"/>
      <c r="I31" s="22">
        <f t="shared" si="4"/>
        <v>0</v>
      </c>
      <c r="J31" s="22">
        <f t="shared" si="5"/>
        <v>0</v>
      </c>
      <c r="K31" s="29"/>
      <c r="L31" s="30"/>
    </row>
    <row r="32" spans="1:12" x14ac:dyDescent="0.25">
      <c r="A32" s="24" t="s">
        <v>223</v>
      </c>
      <c r="B32" s="25"/>
      <c r="C32" s="25"/>
      <c r="D32" s="24">
        <f>SUM(D24:D31)</f>
        <v>0</v>
      </c>
      <c r="E32" s="25"/>
      <c r="F32" s="25"/>
      <c r="G32" s="26">
        <f>SUM(G24:G31)</f>
        <v>0</v>
      </c>
      <c r="H32" s="26"/>
      <c r="I32" s="27"/>
      <c r="J32" s="26">
        <f>SUM(J24:J31)</f>
        <v>0</v>
      </c>
      <c r="K32" s="25"/>
      <c r="L32" s="27"/>
    </row>
  </sheetData>
  <autoFilter ref="A1:L32" xr:uid="{00000000-0009-0000-0000-000009000000}"/>
  <mergeCells count="8">
    <mergeCell ref="K2:K4"/>
    <mergeCell ref="L10:L12"/>
    <mergeCell ref="L2:L4"/>
    <mergeCell ref="K10:K12"/>
    <mergeCell ref="L14:L15"/>
    <mergeCell ref="K14:K15"/>
    <mergeCell ref="K6:K8"/>
    <mergeCell ref="L6:L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baseColWidth="10" defaultColWidth="9.140625" defaultRowHeight="12.75" x14ac:dyDescent="0.2"/>
  <sheetData>
    <row r="1" spans="1:4" x14ac:dyDescent="0.2">
      <c r="A1" s="49" t="s">
        <v>262</v>
      </c>
    </row>
    <row r="2" spans="1:4" x14ac:dyDescent="0.2">
      <c r="A2" t="s">
        <v>263</v>
      </c>
      <c r="B2" t="s">
        <v>264</v>
      </c>
      <c r="C2" t="s">
        <v>265</v>
      </c>
      <c r="D2" t="s">
        <v>266</v>
      </c>
    </row>
    <row r="3" spans="1:4" x14ac:dyDescent="0.2">
      <c r="A3" t="s">
        <v>267</v>
      </c>
      <c r="B3" t="s">
        <v>264</v>
      </c>
      <c r="C3" t="s">
        <v>265</v>
      </c>
      <c r="D3" t="s">
        <v>268</v>
      </c>
    </row>
    <row r="4" spans="1:4" x14ac:dyDescent="0.2">
      <c r="A4" t="s">
        <v>269</v>
      </c>
      <c r="B4" t="s">
        <v>264</v>
      </c>
      <c r="C4" t="s">
        <v>265</v>
      </c>
      <c r="D4" t="s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baseColWidth="10" defaultColWidth="9.140625" defaultRowHeight="12.75" x14ac:dyDescent="0.2"/>
  <sheetData>
    <row r="1" spans="1:4" x14ac:dyDescent="0.2">
      <c r="A1" s="49" t="s">
        <v>262</v>
      </c>
    </row>
    <row r="2" spans="1:4" x14ac:dyDescent="0.2">
      <c r="A2" t="s">
        <v>264</v>
      </c>
      <c r="B2" t="s">
        <v>271</v>
      </c>
      <c r="C2" t="s">
        <v>272</v>
      </c>
      <c r="D2" t="s">
        <v>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s="49" t="s">
        <v>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/>
  </sheetViews>
  <sheetFormatPr baseColWidth="10" defaultColWidth="9.140625" defaultRowHeight="12.75" x14ac:dyDescent="0.2"/>
  <sheetData>
    <row r="1" spans="1:2" x14ac:dyDescent="0.2">
      <c r="A1" s="49" t="s">
        <v>274</v>
      </c>
      <c r="B1" s="49" t="s">
        <v>7</v>
      </c>
    </row>
    <row r="2" spans="1:2" x14ac:dyDescent="0.2">
      <c r="A2" t="s">
        <v>275</v>
      </c>
      <c r="B2" t="s">
        <v>276</v>
      </c>
    </row>
    <row r="3" spans="1:2" x14ac:dyDescent="0.2">
      <c r="A3" t="s">
        <v>277</v>
      </c>
      <c r="B3" t="s">
        <v>276</v>
      </c>
    </row>
    <row r="4" spans="1:2" x14ac:dyDescent="0.2">
      <c r="A4" t="s">
        <v>278</v>
      </c>
      <c r="B4" t="s">
        <v>276</v>
      </c>
    </row>
    <row r="5" spans="1:2" x14ac:dyDescent="0.2">
      <c r="A5" t="s">
        <v>279</v>
      </c>
      <c r="B5" t="s">
        <v>276</v>
      </c>
    </row>
    <row r="6" spans="1:2" x14ac:dyDescent="0.2">
      <c r="A6" t="s">
        <v>280</v>
      </c>
      <c r="B6" t="s">
        <v>276</v>
      </c>
    </row>
    <row r="7" spans="1:2" x14ac:dyDescent="0.2">
      <c r="A7" t="s">
        <v>281</v>
      </c>
      <c r="B7" t="s">
        <v>276</v>
      </c>
    </row>
    <row r="8" spans="1:2" x14ac:dyDescent="0.2">
      <c r="A8" t="s">
        <v>282</v>
      </c>
      <c r="B8" t="s">
        <v>276</v>
      </c>
    </row>
    <row r="9" spans="1:2" x14ac:dyDescent="0.2">
      <c r="A9" t="s">
        <v>283</v>
      </c>
      <c r="B9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Cortes de Carne</vt:lpstr>
      <vt:lpstr>cta cte clientes</vt:lpstr>
      <vt:lpstr>cta cte Lucas</vt:lpstr>
      <vt:lpstr>Clientes</vt:lpstr>
      <vt:lpstr>Abril-26</vt:lpstr>
      <vt:lpstr>Mayo-26</vt:lpstr>
      <vt:lpstr>Copia de Mayo-26</vt:lpstr>
      <vt:lpstr>Junio-26</vt:lpstr>
      <vt:lpstr>Ejemplo Lucas a mejorar</vt:lpstr>
      <vt:lpstr>Julio-26</vt:lpstr>
      <vt:lpstr>CONFIG</vt:lpstr>
      <vt:lpstr>VERSION</vt:lpstr>
      <vt:lpstr>LOG</vt:lpstr>
      <vt:lpstr>VALIDACIONES</vt:lpstr>
      <vt:lpstr>DIAGNÓSTICO</vt:lpstr>
      <vt:lpstr>ESTADO</vt:lpstr>
      <vt:lpstr>20_MOTOR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Pite</cp:lastModifiedBy>
  <dcterms:created xsi:type="dcterms:W3CDTF">2026-07-26T03:59:01Z</dcterms:created>
  <dcterms:modified xsi:type="dcterms:W3CDTF">2026-08-02T22:08:25Z</dcterms:modified>
</cp:coreProperties>
</file>