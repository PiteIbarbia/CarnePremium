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te\Documents\Trabajo\Carne Premium-Vacío\CarnePremiumERP\01_ERP\"/>
    </mc:Choice>
  </mc:AlternateContent>
  <xr:revisionPtr revIDLastSave="0" documentId="13_ncr:1_{8362FE02-0A55-4435-A70D-20722FDE9D3A}" xr6:coauthVersionLast="47" xr6:coauthVersionMax="47" xr10:uidLastSave="{00000000-0000-0000-0000-000000000000}"/>
  <bookViews>
    <workbookView xWindow="-120" yWindow="-120" windowWidth="20730" windowHeight="11160" firstSheet="8" activeTab="13" xr2:uid="{00000000-000D-0000-FFFF-FFFF00000000}"/>
  </bookViews>
  <sheets>
    <sheet name="00_INICIO" sheetId="1" r:id="rId1"/>
    <sheet name="01_PARAMETROS" sheetId="2" r:id="rId2"/>
    <sheet name="02_CATALOGOS" sheetId="3" r:id="rId3"/>
    <sheet name="03_CLIENTES" sheetId="4" r:id="rId4"/>
    <sheet name="04_PRODUCTOS" sheetId="5" r:id="rId5"/>
    <sheet name="05_VENTAS" sheetId="6" r:id="rId6"/>
    <sheet name="06_TICKET" sheetId="7" r:id="rId7"/>
    <sheet name="07_CAJA" sheetId="8" r:id="rId8"/>
    <sheet name="08_STOCK" sheetId="9" r:id="rId9"/>
    <sheet name="09_CTACTE" sheetId="10" r:id="rId10"/>
    <sheet name="10_DASHBOARD" sheetId="11" r:id="rId11"/>
    <sheet name="11_AUDITORIA" sheetId="12" r:id="rId12"/>
    <sheet name="12_VERSION" sheetId="13" r:id="rId13"/>
    <sheet name="13_LOG" sheetId="14" r:id="rId14"/>
    <sheet name="23_OFERTAS" sheetId="15" r:id="rId15"/>
  </sheets>
  <calcPr calcId="191029"/>
</workbook>
</file>

<file path=xl/calcChain.xml><?xml version="1.0" encoding="utf-8"?>
<calcChain xmlns="http://schemas.openxmlformats.org/spreadsheetml/2006/main">
  <c r="B7" i="11" l="1"/>
  <c r="P500" i="6"/>
  <c r="O500" i="6"/>
  <c r="J500" i="6"/>
  <c r="H500" i="6"/>
  <c r="I500" i="6" s="1"/>
  <c r="K500" i="6" s="1"/>
  <c r="A500" i="6"/>
  <c r="P499" i="6"/>
  <c r="O499" i="6"/>
  <c r="J499" i="6"/>
  <c r="H499" i="6"/>
  <c r="Q499" i="6" s="1"/>
  <c r="C499" i="6"/>
  <c r="A499" i="6"/>
  <c r="B499" i="6" s="1"/>
  <c r="P498" i="6"/>
  <c r="O498" i="6"/>
  <c r="J498" i="6"/>
  <c r="I498" i="6"/>
  <c r="K498" i="6" s="1"/>
  <c r="H498" i="6"/>
  <c r="Q498" i="6" s="1"/>
  <c r="A498" i="6"/>
  <c r="C498" i="6" s="1"/>
  <c r="P497" i="6"/>
  <c r="O497" i="6"/>
  <c r="K497" i="6"/>
  <c r="J497" i="6"/>
  <c r="I497" i="6"/>
  <c r="H497" i="6"/>
  <c r="Q497" i="6" s="1"/>
  <c r="C497" i="6"/>
  <c r="A497" i="6"/>
  <c r="B497" i="6" s="1"/>
  <c r="P496" i="6"/>
  <c r="O496" i="6"/>
  <c r="J496" i="6"/>
  <c r="I496" i="6"/>
  <c r="K496" i="6" s="1"/>
  <c r="H496" i="6"/>
  <c r="Q496" i="6" s="1"/>
  <c r="A496" i="6"/>
  <c r="Q495" i="6"/>
  <c r="P495" i="6"/>
  <c r="O495" i="6"/>
  <c r="K495" i="6"/>
  <c r="J495" i="6"/>
  <c r="I495" i="6"/>
  <c r="H495" i="6"/>
  <c r="C495" i="6"/>
  <c r="B495" i="6"/>
  <c r="A495" i="6"/>
  <c r="P494" i="6"/>
  <c r="O494" i="6"/>
  <c r="J494" i="6"/>
  <c r="H494" i="6"/>
  <c r="C494" i="6"/>
  <c r="A494" i="6"/>
  <c r="B494" i="6" s="1"/>
  <c r="P493" i="6"/>
  <c r="O493" i="6"/>
  <c r="J493" i="6"/>
  <c r="K493" i="6" s="1"/>
  <c r="I493" i="6"/>
  <c r="H493" i="6"/>
  <c r="Q493" i="6" s="1"/>
  <c r="C493" i="6"/>
  <c r="A493" i="6"/>
  <c r="B493" i="6" s="1"/>
  <c r="P492" i="6"/>
  <c r="O492" i="6"/>
  <c r="K492" i="6"/>
  <c r="J492" i="6"/>
  <c r="I492" i="6"/>
  <c r="H492" i="6"/>
  <c r="Q492" i="6" s="1"/>
  <c r="A492" i="6"/>
  <c r="Q491" i="6"/>
  <c r="P491" i="6"/>
  <c r="O491" i="6"/>
  <c r="K491" i="6"/>
  <c r="J491" i="6"/>
  <c r="I491" i="6"/>
  <c r="H491" i="6"/>
  <c r="C491" i="6"/>
  <c r="B491" i="6"/>
  <c r="A491" i="6"/>
  <c r="P490" i="6"/>
  <c r="O490" i="6"/>
  <c r="J490" i="6"/>
  <c r="H490" i="6"/>
  <c r="C490" i="6"/>
  <c r="A490" i="6"/>
  <c r="B490" i="6" s="1"/>
  <c r="P489" i="6"/>
  <c r="O489" i="6"/>
  <c r="J489" i="6"/>
  <c r="K489" i="6" s="1"/>
  <c r="I489" i="6"/>
  <c r="H489" i="6"/>
  <c r="Q489" i="6" s="1"/>
  <c r="C489" i="6"/>
  <c r="A489" i="6"/>
  <c r="B489" i="6" s="1"/>
  <c r="P488" i="6"/>
  <c r="O488" i="6"/>
  <c r="K488" i="6"/>
  <c r="J488" i="6"/>
  <c r="I488" i="6"/>
  <c r="H488" i="6"/>
  <c r="Q488" i="6" s="1"/>
  <c r="A488" i="6"/>
  <c r="Q487" i="6"/>
  <c r="P487" i="6"/>
  <c r="O487" i="6"/>
  <c r="K487" i="6"/>
  <c r="J487" i="6"/>
  <c r="I487" i="6"/>
  <c r="H487" i="6"/>
  <c r="C487" i="6"/>
  <c r="B487" i="6"/>
  <c r="A487" i="6"/>
  <c r="P486" i="6"/>
  <c r="O486" i="6"/>
  <c r="J486" i="6"/>
  <c r="H486" i="6"/>
  <c r="Q486" i="6" s="1"/>
  <c r="C486" i="6"/>
  <c r="A486" i="6"/>
  <c r="B486" i="6" s="1"/>
  <c r="P485" i="6"/>
  <c r="O485" i="6"/>
  <c r="J485" i="6"/>
  <c r="K485" i="6" s="1"/>
  <c r="I485" i="6"/>
  <c r="H485" i="6"/>
  <c r="Q485" i="6" s="1"/>
  <c r="C485" i="6"/>
  <c r="A485" i="6"/>
  <c r="B485" i="6" s="1"/>
  <c r="P484" i="6"/>
  <c r="O484" i="6"/>
  <c r="K484" i="6"/>
  <c r="J484" i="6"/>
  <c r="I484" i="6"/>
  <c r="H484" i="6"/>
  <c r="Q484" i="6" s="1"/>
  <c r="A484" i="6"/>
  <c r="Q483" i="6"/>
  <c r="P483" i="6"/>
  <c r="O483" i="6"/>
  <c r="K483" i="6"/>
  <c r="J483" i="6"/>
  <c r="I483" i="6"/>
  <c r="H483" i="6"/>
  <c r="C483" i="6"/>
  <c r="B483" i="6"/>
  <c r="A483" i="6"/>
  <c r="P482" i="6"/>
  <c r="O482" i="6"/>
  <c r="J482" i="6"/>
  <c r="H482" i="6"/>
  <c r="Q482" i="6" s="1"/>
  <c r="C482" i="6"/>
  <c r="A482" i="6"/>
  <c r="B482" i="6" s="1"/>
  <c r="P481" i="6"/>
  <c r="O481" i="6"/>
  <c r="J481" i="6"/>
  <c r="K481" i="6" s="1"/>
  <c r="I481" i="6"/>
  <c r="H481" i="6"/>
  <c r="Q481" i="6" s="1"/>
  <c r="C481" i="6"/>
  <c r="A481" i="6"/>
  <c r="B481" i="6" s="1"/>
  <c r="P480" i="6"/>
  <c r="O480" i="6"/>
  <c r="K480" i="6"/>
  <c r="J480" i="6"/>
  <c r="I480" i="6"/>
  <c r="H480" i="6"/>
  <c r="Q480" i="6" s="1"/>
  <c r="A480" i="6"/>
  <c r="Q479" i="6"/>
  <c r="P479" i="6"/>
  <c r="O479" i="6"/>
  <c r="K479" i="6"/>
  <c r="J479" i="6"/>
  <c r="I479" i="6"/>
  <c r="H479" i="6"/>
  <c r="C479" i="6"/>
  <c r="B479" i="6"/>
  <c r="A479" i="6"/>
  <c r="P478" i="6"/>
  <c r="O478" i="6"/>
  <c r="J478" i="6"/>
  <c r="H478" i="6"/>
  <c r="Q478" i="6" s="1"/>
  <c r="C478" i="6"/>
  <c r="A478" i="6"/>
  <c r="B478" i="6" s="1"/>
  <c r="P477" i="6"/>
  <c r="O477" i="6"/>
  <c r="J477" i="6"/>
  <c r="K477" i="6" s="1"/>
  <c r="I477" i="6"/>
  <c r="H477" i="6"/>
  <c r="Q477" i="6" s="1"/>
  <c r="C477" i="6"/>
  <c r="A477" i="6"/>
  <c r="B477" i="6" s="1"/>
  <c r="P476" i="6"/>
  <c r="O476" i="6"/>
  <c r="K476" i="6"/>
  <c r="J476" i="6"/>
  <c r="I476" i="6"/>
  <c r="H476" i="6"/>
  <c r="Q476" i="6" s="1"/>
  <c r="A476" i="6"/>
  <c r="Q475" i="6"/>
  <c r="P475" i="6"/>
  <c r="O475" i="6"/>
  <c r="K475" i="6"/>
  <c r="J475" i="6"/>
  <c r="I475" i="6"/>
  <c r="H475" i="6"/>
  <c r="C475" i="6"/>
  <c r="B475" i="6"/>
  <c r="A475" i="6"/>
  <c r="P474" i="6"/>
  <c r="O474" i="6"/>
  <c r="J474" i="6"/>
  <c r="H474" i="6"/>
  <c r="Q474" i="6" s="1"/>
  <c r="C474" i="6"/>
  <c r="A474" i="6"/>
  <c r="B474" i="6" s="1"/>
  <c r="P473" i="6"/>
  <c r="O473" i="6"/>
  <c r="J473" i="6"/>
  <c r="K473" i="6" s="1"/>
  <c r="I473" i="6"/>
  <c r="H473" i="6"/>
  <c r="Q473" i="6" s="1"/>
  <c r="C473" i="6"/>
  <c r="A473" i="6"/>
  <c r="B473" i="6" s="1"/>
  <c r="P472" i="6"/>
  <c r="O472" i="6"/>
  <c r="K472" i="6"/>
  <c r="J472" i="6"/>
  <c r="I472" i="6"/>
  <c r="H472" i="6"/>
  <c r="Q472" i="6" s="1"/>
  <c r="A472" i="6"/>
  <c r="Q471" i="6"/>
  <c r="P471" i="6"/>
  <c r="O471" i="6"/>
  <c r="K471" i="6"/>
  <c r="J471" i="6"/>
  <c r="I471" i="6"/>
  <c r="H471" i="6"/>
  <c r="C471" i="6"/>
  <c r="B471" i="6"/>
  <c r="A471" i="6"/>
  <c r="P470" i="6"/>
  <c r="O470" i="6"/>
  <c r="J470" i="6"/>
  <c r="H470" i="6"/>
  <c r="Q470" i="6" s="1"/>
  <c r="C470" i="6"/>
  <c r="A470" i="6"/>
  <c r="B470" i="6" s="1"/>
  <c r="P469" i="6"/>
  <c r="O469" i="6"/>
  <c r="J469" i="6"/>
  <c r="K469" i="6" s="1"/>
  <c r="I469" i="6"/>
  <c r="H469" i="6"/>
  <c r="Q469" i="6" s="1"/>
  <c r="C469" i="6"/>
  <c r="A469" i="6"/>
  <c r="B469" i="6" s="1"/>
  <c r="P468" i="6"/>
  <c r="O468" i="6"/>
  <c r="K468" i="6"/>
  <c r="J468" i="6"/>
  <c r="I468" i="6"/>
  <c r="H468" i="6"/>
  <c r="Q468" i="6" s="1"/>
  <c r="A468" i="6"/>
  <c r="Q467" i="6"/>
  <c r="P467" i="6"/>
  <c r="O467" i="6"/>
  <c r="J467" i="6"/>
  <c r="H467" i="6"/>
  <c r="I467" i="6" s="1"/>
  <c r="K467" i="6" s="1"/>
  <c r="C467" i="6"/>
  <c r="B467" i="6"/>
  <c r="A467" i="6"/>
  <c r="P466" i="6"/>
  <c r="O466" i="6"/>
  <c r="J466" i="6"/>
  <c r="H466" i="6"/>
  <c r="Q466" i="6" s="1"/>
  <c r="C466" i="6"/>
  <c r="A466" i="6"/>
  <c r="B466" i="6" s="1"/>
  <c r="P465" i="6"/>
  <c r="O465" i="6"/>
  <c r="K465" i="6"/>
  <c r="J465" i="6"/>
  <c r="I465" i="6"/>
  <c r="H465" i="6"/>
  <c r="Q465" i="6" s="1"/>
  <c r="C465" i="6"/>
  <c r="B465" i="6"/>
  <c r="A465" i="6"/>
  <c r="P464" i="6"/>
  <c r="O464" i="6"/>
  <c r="K464" i="6"/>
  <c r="J464" i="6"/>
  <c r="I464" i="6"/>
  <c r="H464" i="6"/>
  <c r="Q464" i="6" s="1"/>
  <c r="A464" i="6"/>
  <c r="Q463" i="6"/>
  <c r="P463" i="6"/>
  <c r="O463" i="6"/>
  <c r="J463" i="6"/>
  <c r="H463" i="6"/>
  <c r="I463" i="6" s="1"/>
  <c r="K463" i="6" s="1"/>
  <c r="C463" i="6"/>
  <c r="B463" i="6"/>
  <c r="A463" i="6"/>
  <c r="P462" i="6"/>
  <c r="O462" i="6"/>
  <c r="J462" i="6"/>
  <c r="I462" i="6"/>
  <c r="K462" i="6" s="1"/>
  <c r="H462" i="6"/>
  <c r="Q462" i="6" s="1"/>
  <c r="C462" i="6"/>
  <c r="B462" i="6"/>
  <c r="A462" i="6"/>
  <c r="P461" i="6"/>
  <c r="O461" i="6"/>
  <c r="K461" i="6"/>
  <c r="J461" i="6"/>
  <c r="I461" i="6"/>
  <c r="H461" i="6"/>
  <c r="Q461" i="6" s="1"/>
  <c r="C461" i="6"/>
  <c r="B461" i="6"/>
  <c r="A461" i="6"/>
  <c r="Q460" i="6"/>
  <c r="P460" i="6"/>
  <c r="O460" i="6"/>
  <c r="K460" i="6"/>
  <c r="J460" i="6"/>
  <c r="I460" i="6"/>
  <c r="H460" i="6"/>
  <c r="A460" i="6"/>
  <c r="Q459" i="6"/>
  <c r="P459" i="6"/>
  <c r="O459" i="6"/>
  <c r="J459" i="6"/>
  <c r="H459" i="6"/>
  <c r="I459" i="6" s="1"/>
  <c r="K459" i="6" s="1"/>
  <c r="C459" i="6"/>
  <c r="B459" i="6"/>
  <c r="A459" i="6"/>
  <c r="P458" i="6"/>
  <c r="O458" i="6"/>
  <c r="J458" i="6"/>
  <c r="H458" i="6"/>
  <c r="Q458" i="6" s="1"/>
  <c r="C458" i="6"/>
  <c r="B458" i="6"/>
  <c r="A458" i="6"/>
  <c r="P457" i="6"/>
  <c r="O457" i="6"/>
  <c r="J457" i="6"/>
  <c r="I457" i="6"/>
  <c r="K457" i="6" s="1"/>
  <c r="H457" i="6"/>
  <c r="Q457" i="6" s="1"/>
  <c r="C457" i="6"/>
  <c r="B457" i="6"/>
  <c r="A457" i="6"/>
  <c r="Q456" i="6"/>
  <c r="P456" i="6"/>
  <c r="O456" i="6"/>
  <c r="J456" i="6"/>
  <c r="H456" i="6"/>
  <c r="I456" i="6" s="1"/>
  <c r="A456" i="6"/>
  <c r="Q455" i="6"/>
  <c r="P455" i="6"/>
  <c r="O455" i="6"/>
  <c r="J455" i="6"/>
  <c r="H455" i="6"/>
  <c r="I455" i="6" s="1"/>
  <c r="K455" i="6" s="1"/>
  <c r="C455" i="6"/>
  <c r="B455" i="6"/>
  <c r="A455" i="6"/>
  <c r="P454" i="6"/>
  <c r="O454" i="6"/>
  <c r="J454" i="6"/>
  <c r="H454" i="6"/>
  <c r="C454" i="6"/>
  <c r="B454" i="6"/>
  <c r="A454" i="6"/>
  <c r="P453" i="6"/>
  <c r="O453" i="6"/>
  <c r="J453" i="6"/>
  <c r="H453" i="6"/>
  <c r="Q453" i="6" s="1"/>
  <c r="C453" i="6"/>
  <c r="B453" i="6"/>
  <c r="A453" i="6"/>
  <c r="Q452" i="6"/>
  <c r="P452" i="6"/>
  <c r="O452" i="6"/>
  <c r="J452" i="6"/>
  <c r="K452" i="6" s="1"/>
  <c r="H452" i="6"/>
  <c r="I452" i="6" s="1"/>
  <c r="A452" i="6"/>
  <c r="C452" i="6" s="1"/>
  <c r="P451" i="6"/>
  <c r="O451" i="6"/>
  <c r="J451" i="6"/>
  <c r="H451" i="6"/>
  <c r="A451" i="6"/>
  <c r="B451" i="6" s="1"/>
  <c r="P450" i="6"/>
  <c r="O450" i="6"/>
  <c r="J450" i="6"/>
  <c r="I450" i="6"/>
  <c r="H450" i="6"/>
  <c r="Q450" i="6" s="1"/>
  <c r="C450" i="6"/>
  <c r="B450" i="6"/>
  <c r="A450" i="6"/>
  <c r="Q449" i="6"/>
  <c r="P449" i="6"/>
  <c r="O449" i="6"/>
  <c r="J449" i="6"/>
  <c r="H449" i="6"/>
  <c r="I449" i="6" s="1"/>
  <c r="K449" i="6" s="1"/>
  <c r="C449" i="6"/>
  <c r="B449" i="6"/>
  <c r="A449" i="6"/>
  <c r="Q448" i="6"/>
  <c r="P448" i="6"/>
  <c r="O448" i="6"/>
  <c r="J448" i="6"/>
  <c r="H448" i="6"/>
  <c r="I448" i="6" s="1"/>
  <c r="K448" i="6" s="1"/>
  <c r="A448" i="6"/>
  <c r="C448" i="6" s="1"/>
  <c r="Q447" i="6"/>
  <c r="P447" i="6"/>
  <c r="O447" i="6"/>
  <c r="J447" i="6"/>
  <c r="H447" i="6"/>
  <c r="I447" i="6" s="1"/>
  <c r="K447" i="6" s="1"/>
  <c r="A447" i="6"/>
  <c r="C447" i="6" s="1"/>
  <c r="Q446" i="6"/>
  <c r="P446" i="6"/>
  <c r="O446" i="6"/>
  <c r="J446" i="6"/>
  <c r="I446" i="6"/>
  <c r="K446" i="6" s="1"/>
  <c r="H446" i="6"/>
  <c r="C446" i="6"/>
  <c r="B446" i="6"/>
  <c r="A446" i="6"/>
  <c r="Q445" i="6"/>
  <c r="P445" i="6"/>
  <c r="O445" i="6"/>
  <c r="J445" i="6"/>
  <c r="H445" i="6"/>
  <c r="I445" i="6" s="1"/>
  <c r="K445" i="6" s="1"/>
  <c r="C445" i="6"/>
  <c r="B445" i="6"/>
  <c r="A445" i="6"/>
  <c r="P444" i="6"/>
  <c r="O444" i="6"/>
  <c r="J444" i="6"/>
  <c r="H444" i="6"/>
  <c r="B444" i="6"/>
  <c r="A444" i="6"/>
  <c r="C444" i="6" s="1"/>
  <c r="P443" i="6"/>
  <c r="O443" i="6"/>
  <c r="J443" i="6"/>
  <c r="H443" i="6"/>
  <c r="I443" i="6" s="1"/>
  <c r="K443" i="6" s="1"/>
  <c r="C443" i="6"/>
  <c r="B443" i="6"/>
  <c r="A443" i="6"/>
  <c r="P442" i="6"/>
  <c r="O442" i="6"/>
  <c r="J442" i="6"/>
  <c r="H442" i="6"/>
  <c r="C442" i="6"/>
  <c r="B442" i="6"/>
  <c r="A442" i="6"/>
  <c r="Q441" i="6"/>
  <c r="P441" i="6"/>
  <c r="O441" i="6"/>
  <c r="J441" i="6"/>
  <c r="I441" i="6"/>
  <c r="K441" i="6" s="1"/>
  <c r="H441" i="6"/>
  <c r="C441" i="6"/>
  <c r="B441" i="6"/>
  <c r="A441" i="6"/>
  <c r="Q440" i="6"/>
  <c r="P440" i="6"/>
  <c r="O440" i="6"/>
  <c r="K440" i="6"/>
  <c r="J440" i="6"/>
  <c r="H440" i="6"/>
  <c r="I440" i="6" s="1"/>
  <c r="B440" i="6"/>
  <c r="A440" i="6"/>
  <c r="C440" i="6" s="1"/>
  <c r="Q439" i="6"/>
  <c r="P439" i="6"/>
  <c r="O439" i="6"/>
  <c r="J439" i="6"/>
  <c r="H439" i="6"/>
  <c r="I439" i="6" s="1"/>
  <c r="B439" i="6"/>
  <c r="A439" i="6"/>
  <c r="C439" i="6" s="1"/>
  <c r="Q438" i="6"/>
  <c r="P438" i="6"/>
  <c r="O438" i="6"/>
  <c r="J438" i="6"/>
  <c r="I438" i="6"/>
  <c r="H438" i="6"/>
  <c r="C438" i="6"/>
  <c r="B438" i="6"/>
  <c r="A438" i="6"/>
  <c r="Q437" i="6"/>
  <c r="P437" i="6"/>
  <c r="O437" i="6"/>
  <c r="J437" i="6"/>
  <c r="I437" i="6"/>
  <c r="K437" i="6" s="1"/>
  <c r="H437" i="6"/>
  <c r="C437" i="6"/>
  <c r="B437" i="6"/>
  <c r="A437" i="6"/>
  <c r="Q436" i="6"/>
  <c r="P436" i="6"/>
  <c r="O436" i="6"/>
  <c r="J436" i="6"/>
  <c r="H436" i="6"/>
  <c r="I436" i="6" s="1"/>
  <c r="K436" i="6" s="1"/>
  <c r="A436" i="6"/>
  <c r="Q435" i="6"/>
  <c r="P435" i="6"/>
  <c r="O435" i="6"/>
  <c r="J435" i="6"/>
  <c r="H435" i="6"/>
  <c r="I435" i="6" s="1"/>
  <c r="K435" i="6" s="1"/>
  <c r="A435" i="6"/>
  <c r="C435" i="6" s="1"/>
  <c r="P434" i="6"/>
  <c r="O434" i="6"/>
  <c r="J434" i="6"/>
  <c r="H434" i="6"/>
  <c r="I434" i="6" s="1"/>
  <c r="K434" i="6" s="1"/>
  <c r="C434" i="6"/>
  <c r="B434" i="6"/>
  <c r="A434" i="6"/>
  <c r="P433" i="6"/>
  <c r="O433" i="6"/>
  <c r="J433" i="6"/>
  <c r="H433" i="6"/>
  <c r="Q433" i="6" s="1"/>
  <c r="C433" i="6"/>
  <c r="B433" i="6"/>
  <c r="A433" i="6"/>
  <c r="Q432" i="6"/>
  <c r="P432" i="6"/>
  <c r="O432" i="6"/>
  <c r="J432" i="6"/>
  <c r="K432" i="6" s="1"/>
  <c r="I432" i="6"/>
  <c r="H432" i="6"/>
  <c r="A432" i="6"/>
  <c r="C432" i="6" s="1"/>
  <c r="Q431" i="6"/>
  <c r="P431" i="6"/>
  <c r="O431" i="6"/>
  <c r="K431" i="6"/>
  <c r="J431" i="6"/>
  <c r="H431" i="6"/>
  <c r="I431" i="6" s="1"/>
  <c r="A431" i="6"/>
  <c r="C431" i="6" s="1"/>
  <c r="Q430" i="6"/>
  <c r="P430" i="6"/>
  <c r="O430" i="6"/>
  <c r="J430" i="6"/>
  <c r="H430" i="6"/>
  <c r="I430" i="6" s="1"/>
  <c r="K430" i="6" s="1"/>
  <c r="A430" i="6"/>
  <c r="C430" i="6" s="1"/>
  <c r="Q429" i="6"/>
  <c r="P429" i="6"/>
  <c r="O429" i="6"/>
  <c r="J429" i="6"/>
  <c r="H429" i="6"/>
  <c r="I429" i="6" s="1"/>
  <c r="K429" i="6" s="1"/>
  <c r="C429" i="6"/>
  <c r="B429" i="6"/>
  <c r="A429" i="6"/>
  <c r="P428" i="6"/>
  <c r="O428" i="6"/>
  <c r="J428" i="6"/>
  <c r="H428" i="6"/>
  <c r="B428" i="6"/>
  <c r="A428" i="6"/>
  <c r="C428" i="6" s="1"/>
  <c r="P427" i="6"/>
  <c r="O427" i="6"/>
  <c r="J427" i="6"/>
  <c r="H427" i="6"/>
  <c r="C427" i="6"/>
  <c r="B427" i="6"/>
  <c r="A427" i="6"/>
  <c r="P426" i="6"/>
  <c r="O426" i="6"/>
  <c r="J426" i="6"/>
  <c r="H426" i="6"/>
  <c r="Q426" i="6" s="1"/>
  <c r="A426" i="6"/>
  <c r="B426" i="6" s="1"/>
  <c r="Q425" i="6"/>
  <c r="P425" i="6"/>
  <c r="O425" i="6"/>
  <c r="J425" i="6"/>
  <c r="K425" i="6" s="1"/>
  <c r="I425" i="6"/>
  <c r="H425" i="6"/>
  <c r="C425" i="6"/>
  <c r="B425" i="6"/>
  <c r="A425" i="6"/>
  <c r="Q424" i="6"/>
  <c r="P424" i="6"/>
  <c r="O424" i="6"/>
  <c r="J424" i="6"/>
  <c r="I424" i="6"/>
  <c r="K424" i="6" s="1"/>
  <c r="H424" i="6"/>
  <c r="A424" i="6"/>
  <c r="C424" i="6" s="1"/>
  <c r="Q423" i="6"/>
  <c r="P423" i="6"/>
  <c r="O423" i="6"/>
  <c r="J423" i="6"/>
  <c r="H423" i="6"/>
  <c r="I423" i="6" s="1"/>
  <c r="K423" i="6" s="1"/>
  <c r="A423" i="6"/>
  <c r="Q422" i="6"/>
  <c r="P422" i="6"/>
  <c r="O422" i="6"/>
  <c r="J422" i="6"/>
  <c r="H422" i="6"/>
  <c r="I422" i="6" s="1"/>
  <c r="K422" i="6" s="1"/>
  <c r="A422" i="6"/>
  <c r="P421" i="6"/>
  <c r="O421" i="6"/>
  <c r="J421" i="6"/>
  <c r="H421" i="6"/>
  <c r="C421" i="6"/>
  <c r="B421" i="6"/>
  <c r="A421" i="6"/>
  <c r="Q420" i="6"/>
  <c r="P420" i="6"/>
  <c r="O420" i="6"/>
  <c r="J420" i="6"/>
  <c r="I420" i="6"/>
  <c r="H420" i="6"/>
  <c r="A420" i="6"/>
  <c r="C420" i="6" s="1"/>
  <c r="Q419" i="6"/>
  <c r="P419" i="6"/>
  <c r="O419" i="6"/>
  <c r="J419" i="6"/>
  <c r="K419" i="6" s="1"/>
  <c r="H419" i="6"/>
  <c r="I419" i="6" s="1"/>
  <c r="B419" i="6"/>
  <c r="A419" i="6"/>
  <c r="C419" i="6" s="1"/>
  <c r="Q418" i="6"/>
  <c r="P418" i="6"/>
  <c r="O418" i="6"/>
  <c r="J418" i="6"/>
  <c r="I418" i="6"/>
  <c r="H418" i="6"/>
  <c r="A418" i="6"/>
  <c r="C418" i="6" s="1"/>
  <c r="Q417" i="6"/>
  <c r="P417" i="6"/>
  <c r="O417" i="6"/>
  <c r="J417" i="6"/>
  <c r="I417" i="6"/>
  <c r="K417" i="6" s="1"/>
  <c r="H417" i="6"/>
  <c r="C417" i="6"/>
  <c r="B417" i="6"/>
  <c r="A417" i="6"/>
  <c r="Q416" i="6"/>
  <c r="P416" i="6"/>
  <c r="O416" i="6"/>
  <c r="J416" i="6"/>
  <c r="H416" i="6"/>
  <c r="I416" i="6" s="1"/>
  <c r="K416" i="6" s="1"/>
  <c r="A416" i="6"/>
  <c r="C416" i="6" s="1"/>
  <c r="P415" i="6"/>
  <c r="O415" i="6"/>
  <c r="J415" i="6"/>
  <c r="H415" i="6"/>
  <c r="I415" i="6" s="1"/>
  <c r="K415" i="6" s="1"/>
  <c r="C415" i="6"/>
  <c r="B415" i="6"/>
  <c r="A415" i="6"/>
  <c r="P414" i="6"/>
  <c r="O414" i="6"/>
  <c r="J414" i="6"/>
  <c r="H414" i="6"/>
  <c r="C414" i="6"/>
  <c r="A414" i="6"/>
  <c r="B414" i="6" s="1"/>
  <c r="Q413" i="6"/>
  <c r="P413" i="6"/>
  <c r="O413" i="6"/>
  <c r="J413" i="6"/>
  <c r="I413" i="6"/>
  <c r="K413" i="6" s="1"/>
  <c r="H413" i="6"/>
  <c r="C413" i="6"/>
  <c r="B413" i="6"/>
  <c r="A413" i="6"/>
  <c r="Q412" i="6"/>
  <c r="P412" i="6"/>
  <c r="O412" i="6"/>
  <c r="J412" i="6"/>
  <c r="H412" i="6"/>
  <c r="I412" i="6" s="1"/>
  <c r="K412" i="6" s="1"/>
  <c r="A412" i="6"/>
  <c r="C412" i="6" s="1"/>
  <c r="Q411" i="6"/>
  <c r="P411" i="6"/>
  <c r="O411" i="6"/>
  <c r="J411" i="6"/>
  <c r="H411" i="6"/>
  <c r="I411" i="6" s="1"/>
  <c r="K411" i="6" s="1"/>
  <c r="B411" i="6"/>
  <c r="A411" i="6"/>
  <c r="C411" i="6" s="1"/>
  <c r="Q410" i="6"/>
  <c r="P410" i="6"/>
  <c r="O410" i="6"/>
  <c r="J410" i="6"/>
  <c r="I410" i="6"/>
  <c r="K410" i="6" s="1"/>
  <c r="H410" i="6"/>
  <c r="A410" i="6"/>
  <c r="Q409" i="6"/>
  <c r="P409" i="6"/>
  <c r="O409" i="6"/>
  <c r="J409" i="6"/>
  <c r="H409" i="6"/>
  <c r="I409" i="6" s="1"/>
  <c r="K409" i="6" s="1"/>
  <c r="C409" i="6"/>
  <c r="B409" i="6"/>
  <c r="A409" i="6"/>
  <c r="P408" i="6"/>
  <c r="O408" i="6"/>
  <c r="J408" i="6"/>
  <c r="H408" i="6"/>
  <c r="Q408" i="6" s="1"/>
  <c r="A408" i="6"/>
  <c r="C408" i="6" s="1"/>
  <c r="P407" i="6"/>
  <c r="O407" i="6"/>
  <c r="J407" i="6"/>
  <c r="H407" i="6"/>
  <c r="A407" i="6"/>
  <c r="B407" i="6" s="1"/>
  <c r="Q406" i="6"/>
  <c r="P406" i="6"/>
  <c r="O406" i="6"/>
  <c r="J406" i="6"/>
  <c r="I406" i="6"/>
  <c r="K406" i="6" s="1"/>
  <c r="H406" i="6"/>
  <c r="A406" i="6"/>
  <c r="C406" i="6" s="1"/>
  <c r="Q405" i="6"/>
  <c r="P405" i="6"/>
  <c r="O405" i="6"/>
  <c r="J405" i="6"/>
  <c r="H405" i="6"/>
  <c r="I405" i="6" s="1"/>
  <c r="K405" i="6" s="1"/>
  <c r="C405" i="6"/>
  <c r="B405" i="6"/>
  <c r="A405" i="6"/>
  <c r="Q404" i="6"/>
  <c r="P404" i="6"/>
  <c r="O404" i="6"/>
  <c r="J404" i="6"/>
  <c r="H404" i="6"/>
  <c r="I404" i="6" s="1"/>
  <c r="K404" i="6" s="1"/>
  <c r="A404" i="6"/>
  <c r="Q403" i="6"/>
  <c r="P403" i="6"/>
  <c r="O403" i="6"/>
  <c r="J403" i="6"/>
  <c r="H403" i="6"/>
  <c r="I403" i="6" s="1"/>
  <c r="K403" i="6" s="1"/>
  <c r="A403" i="6"/>
  <c r="P402" i="6"/>
  <c r="O402" i="6"/>
  <c r="J402" i="6"/>
  <c r="H402" i="6"/>
  <c r="I402" i="6" s="1"/>
  <c r="K402" i="6" s="1"/>
  <c r="C402" i="6"/>
  <c r="B402" i="6"/>
  <c r="A402" i="6"/>
  <c r="P401" i="6"/>
  <c r="O401" i="6"/>
  <c r="J401" i="6"/>
  <c r="I401" i="6"/>
  <c r="K401" i="6" s="1"/>
  <c r="H401" i="6"/>
  <c r="Q401" i="6" s="1"/>
  <c r="C401" i="6"/>
  <c r="B401" i="6"/>
  <c r="A401" i="6"/>
  <c r="Q400" i="6"/>
  <c r="P400" i="6"/>
  <c r="O400" i="6"/>
  <c r="K400" i="6"/>
  <c r="J400" i="6"/>
  <c r="I400" i="6"/>
  <c r="H400" i="6"/>
  <c r="A400" i="6"/>
  <c r="C400" i="6" s="1"/>
  <c r="Q399" i="6"/>
  <c r="P399" i="6"/>
  <c r="O399" i="6"/>
  <c r="K399" i="6"/>
  <c r="J399" i="6"/>
  <c r="H399" i="6"/>
  <c r="I399" i="6" s="1"/>
  <c r="A399" i="6"/>
  <c r="C399" i="6" s="1"/>
  <c r="Q398" i="6"/>
  <c r="P398" i="6"/>
  <c r="O398" i="6"/>
  <c r="J398" i="6"/>
  <c r="H398" i="6"/>
  <c r="I398" i="6" s="1"/>
  <c r="K398" i="6" s="1"/>
  <c r="A398" i="6"/>
  <c r="C398" i="6" s="1"/>
  <c r="Q397" i="6"/>
  <c r="P397" i="6"/>
  <c r="O397" i="6"/>
  <c r="J397" i="6"/>
  <c r="H397" i="6"/>
  <c r="I397" i="6" s="1"/>
  <c r="K397" i="6" s="1"/>
  <c r="C397" i="6"/>
  <c r="B397" i="6"/>
  <c r="A397" i="6"/>
  <c r="P396" i="6"/>
  <c r="O396" i="6"/>
  <c r="J396" i="6"/>
  <c r="H396" i="6"/>
  <c r="B396" i="6"/>
  <c r="A396" i="6"/>
  <c r="C396" i="6" s="1"/>
  <c r="P395" i="6"/>
  <c r="O395" i="6"/>
  <c r="J395" i="6"/>
  <c r="H395" i="6"/>
  <c r="C395" i="6"/>
  <c r="B395" i="6"/>
  <c r="A395" i="6"/>
  <c r="P394" i="6"/>
  <c r="O394" i="6"/>
  <c r="J394" i="6"/>
  <c r="I394" i="6"/>
  <c r="K394" i="6" s="1"/>
  <c r="H394" i="6"/>
  <c r="Q394" i="6" s="1"/>
  <c r="A394" i="6"/>
  <c r="B394" i="6" s="1"/>
  <c r="Q393" i="6"/>
  <c r="P393" i="6"/>
  <c r="O393" i="6"/>
  <c r="J393" i="6"/>
  <c r="K393" i="6" s="1"/>
  <c r="I393" i="6"/>
  <c r="H393" i="6"/>
  <c r="C393" i="6"/>
  <c r="B393" i="6"/>
  <c r="A393" i="6"/>
  <c r="Q392" i="6"/>
  <c r="P392" i="6"/>
  <c r="O392" i="6"/>
  <c r="J392" i="6"/>
  <c r="H392" i="6"/>
  <c r="I392" i="6" s="1"/>
  <c r="K392" i="6" s="1"/>
  <c r="A392" i="6"/>
  <c r="C392" i="6" s="1"/>
  <c r="Q391" i="6"/>
  <c r="P391" i="6"/>
  <c r="O391" i="6"/>
  <c r="J391" i="6"/>
  <c r="H391" i="6"/>
  <c r="I391" i="6" s="1"/>
  <c r="K391" i="6" s="1"/>
  <c r="A391" i="6"/>
  <c r="Q390" i="6"/>
  <c r="P390" i="6"/>
  <c r="O390" i="6"/>
  <c r="J390" i="6"/>
  <c r="H390" i="6"/>
  <c r="I390" i="6" s="1"/>
  <c r="K390" i="6" s="1"/>
  <c r="A390" i="6"/>
  <c r="C390" i="6" s="1"/>
  <c r="P389" i="6"/>
  <c r="O389" i="6"/>
  <c r="J389" i="6"/>
  <c r="H389" i="6"/>
  <c r="C389" i="6"/>
  <c r="B389" i="6"/>
  <c r="A389" i="6"/>
  <c r="Q388" i="6"/>
  <c r="P388" i="6"/>
  <c r="O388" i="6"/>
  <c r="J388" i="6"/>
  <c r="I388" i="6"/>
  <c r="K388" i="6" s="1"/>
  <c r="H388" i="6"/>
  <c r="A388" i="6"/>
  <c r="C388" i="6" s="1"/>
  <c r="Q387" i="6"/>
  <c r="P387" i="6"/>
  <c r="O387" i="6"/>
  <c r="J387" i="6"/>
  <c r="K387" i="6" s="1"/>
  <c r="H387" i="6"/>
  <c r="I387" i="6" s="1"/>
  <c r="A387" i="6"/>
  <c r="C387" i="6" s="1"/>
  <c r="Q386" i="6"/>
  <c r="P386" i="6"/>
  <c r="O386" i="6"/>
  <c r="J386" i="6"/>
  <c r="I386" i="6"/>
  <c r="H386" i="6"/>
  <c r="A386" i="6"/>
  <c r="C386" i="6" s="1"/>
  <c r="Q385" i="6"/>
  <c r="P385" i="6"/>
  <c r="O385" i="6"/>
  <c r="J385" i="6"/>
  <c r="H385" i="6"/>
  <c r="I385" i="6" s="1"/>
  <c r="K385" i="6" s="1"/>
  <c r="C385" i="6"/>
  <c r="B385" i="6"/>
  <c r="A385" i="6"/>
  <c r="Q384" i="6"/>
  <c r="P384" i="6"/>
  <c r="O384" i="6"/>
  <c r="J384" i="6"/>
  <c r="H384" i="6"/>
  <c r="I384" i="6" s="1"/>
  <c r="K384" i="6" s="1"/>
  <c r="A384" i="6"/>
  <c r="C384" i="6" s="1"/>
  <c r="P383" i="6"/>
  <c r="O383" i="6"/>
  <c r="J383" i="6"/>
  <c r="H383" i="6"/>
  <c r="I383" i="6" s="1"/>
  <c r="K383" i="6" s="1"/>
  <c r="C383" i="6"/>
  <c r="B383" i="6"/>
  <c r="A383" i="6"/>
  <c r="P382" i="6"/>
  <c r="O382" i="6"/>
  <c r="J382" i="6"/>
  <c r="H382" i="6"/>
  <c r="Q382" i="6" s="1"/>
  <c r="C382" i="6"/>
  <c r="A382" i="6"/>
  <c r="B382" i="6" s="1"/>
  <c r="Q381" i="6"/>
  <c r="P381" i="6"/>
  <c r="O381" i="6"/>
  <c r="K381" i="6"/>
  <c r="J381" i="6"/>
  <c r="I381" i="6"/>
  <c r="H381" i="6"/>
  <c r="C381" i="6"/>
  <c r="B381" i="6"/>
  <c r="A381" i="6"/>
  <c r="Q380" i="6"/>
  <c r="P380" i="6"/>
  <c r="O380" i="6"/>
  <c r="K380" i="6"/>
  <c r="J380" i="6"/>
  <c r="H380" i="6"/>
  <c r="I380" i="6" s="1"/>
  <c r="A380" i="6"/>
  <c r="Q379" i="6"/>
  <c r="P379" i="6"/>
  <c r="O379" i="6"/>
  <c r="J379" i="6"/>
  <c r="H379" i="6"/>
  <c r="I379" i="6" s="1"/>
  <c r="K379" i="6" s="1"/>
  <c r="C379" i="6"/>
  <c r="B379" i="6"/>
  <c r="A379" i="6"/>
  <c r="P378" i="6"/>
  <c r="O378" i="6"/>
  <c r="J378" i="6"/>
  <c r="H378" i="6"/>
  <c r="I378" i="6" s="1"/>
  <c r="K378" i="6" s="1"/>
  <c r="C378" i="6"/>
  <c r="B378" i="6"/>
  <c r="A378" i="6"/>
  <c r="P377" i="6"/>
  <c r="O377" i="6"/>
  <c r="J377" i="6"/>
  <c r="H377" i="6"/>
  <c r="Q377" i="6" s="1"/>
  <c r="A377" i="6"/>
  <c r="B377" i="6" s="1"/>
  <c r="Q376" i="6"/>
  <c r="P376" i="6"/>
  <c r="O376" i="6"/>
  <c r="J376" i="6"/>
  <c r="K376" i="6" s="1"/>
  <c r="I376" i="6"/>
  <c r="H376" i="6"/>
  <c r="A376" i="6"/>
  <c r="C376" i="6" s="1"/>
  <c r="Q375" i="6"/>
  <c r="P375" i="6"/>
  <c r="O375" i="6"/>
  <c r="J375" i="6"/>
  <c r="H375" i="6"/>
  <c r="I375" i="6" s="1"/>
  <c r="K375" i="6" s="1"/>
  <c r="C375" i="6"/>
  <c r="A375" i="6"/>
  <c r="B375" i="6" s="1"/>
  <c r="Q374" i="6"/>
  <c r="P374" i="6"/>
  <c r="O374" i="6"/>
  <c r="J374" i="6"/>
  <c r="H374" i="6"/>
  <c r="I374" i="6" s="1"/>
  <c r="K374" i="6" s="1"/>
  <c r="C374" i="6"/>
  <c r="B374" i="6"/>
  <c r="A374" i="6"/>
  <c r="P373" i="6"/>
  <c r="O373" i="6"/>
  <c r="K373" i="6"/>
  <c r="J373" i="6"/>
  <c r="I373" i="6"/>
  <c r="H373" i="6"/>
  <c r="Q373" i="6" s="1"/>
  <c r="A373" i="6"/>
  <c r="B373" i="6" s="1"/>
  <c r="Q372" i="6"/>
  <c r="P372" i="6"/>
  <c r="O372" i="6"/>
  <c r="J372" i="6"/>
  <c r="K372" i="6" s="1"/>
  <c r="H372" i="6"/>
  <c r="I372" i="6" s="1"/>
  <c r="A372" i="6"/>
  <c r="C372" i="6" s="1"/>
  <c r="Q371" i="6"/>
  <c r="P371" i="6"/>
  <c r="O371" i="6"/>
  <c r="J371" i="6"/>
  <c r="H371" i="6"/>
  <c r="I371" i="6" s="1"/>
  <c r="K371" i="6" s="1"/>
  <c r="C371" i="6"/>
  <c r="A371" i="6"/>
  <c r="B371" i="6" s="1"/>
  <c r="Q370" i="6"/>
  <c r="P370" i="6"/>
  <c r="O370" i="6"/>
  <c r="J370" i="6"/>
  <c r="I370" i="6"/>
  <c r="K370" i="6" s="1"/>
  <c r="H370" i="6"/>
  <c r="C370" i="6"/>
  <c r="B370" i="6"/>
  <c r="A370" i="6"/>
  <c r="P369" i="6"/>
  <c r="O369" i="6"/>
  <c r="J369" i="6"/>
  <c r="K369" i="6" s="1"/>
  <c r="I369" i="6"/>
  <c r="H369" i="6"/>
  <c r="Q369" i="6" s="1"/>
  <c r="A369" i="6"/>
  <c r="B369" i="6" s="1"/>
  <c r="Q368" i="6"/>
  <c r="P368" i="6"/>
  <c r="O368" i="6"/>
  <c r="J368" i="6"/>
  <c r="K368" i="6" s="1"/>
  <c r="H368" i="6"/>
  <c r="I368" i="6" s="1"/>
  <c r="A368" i="6"/>
  <c r="C368" i="6" s="1"/>
  <c r="Q367" i="6"/>
  <c r="P367" i="6"/>
  <c r="O367" i="6"/>
  <c r="J367" i="6"/>
  <c r="H367" i="6"/>
  <c r="I367" i="6" s="1"/>
  <c r="K367" i="6" s="1"/>
  <c r="C367" i="6"/>
  <c r="A367" i="6"/>
  <c r="B367" i="6" s="1"/>
  <c r="Q366" i="6"/>
  <c r="P366" i="6"/>
  <c r="O366" i="6"/>
  <c r="J366" i="6"/>
  <c r="I366" i="6"/>
  <c r="K366" i="6" s="1"/>
  <c r="H366" i="6"/>
  <c r="C366" i="6"/>
  <c r="B366" i="6"/>
  <c r="A366" i="6"/>
  <c r="P365" i="6"/>
  <c r="O365" i="6"/>
  <c r="J365" i="6"/>
  <c r="I365" i="6"/>
  <c r="K365" i="6" s="1"/>
  <c r="H365" i="6"/>
  <c r="Q365" i="6" s="1"/>
  <c r="B365" i="6"/>
  <c r="A365" i="6"/>
  <c r="C365" i="6" s="1"/>
  <c r="Q364" i="6"/>
  <c r="P364" i="6"/>
  <c r="O364" i="6"/>
  <c r="K364" i="6"/>
  <c r="J364" i="6"/>
  <c r="H364" i="6"/>
  <c r="I364" i="6" s="1"/>
  <c r="A364" i="6"/>
  <c r="Q363" i="6"/>
  <c r="P363" i="6"/>
  <c r="O363" i="6"/>
  <c r="J363" i="6"/>
  <c r="H363" i="6"/>
  <c r="I363" i="6" s="1"/>
  <c r="K363" i="6" s="1"/>
  <c r="A363" i="6"/>
  <c r="Q362" i="6"/>
  <c r="P362" i="6"/>
  <c r="O362" i="6"/>
  <c r="J362" i="6"/>
  <c r="I362" i="6"/>
  <c r="H362" i="6"/>
  <c r="C362" i="6"/>
  <c r="B362" i="6"/>
  <c r="A362" i="6"/>
  <c r="P361" i="6"/>
  <c r="O361" i="6"/>
  <c r="J361" i="6"/>
  <c r="H361" i="6"/>
  <c r="B361" i="6"/>
  <c r="A361" i="6"/>
  <c r="C361" i="6" s="1"/>
  <c r="P360" i="6"/>
  <c r="O360" i="6"/>
  <c r="J360" i="6"/>
  <c r="H360" i="6"/>
  <c r="B360" i="6"/>
  <c r="A360" i="6"/>
  <c r="C360" i="6" s="1"/>
  <c r="Q359" i="6"/>
  <c r="P359" i="6"/>
  <c r="O359" i="6"/>
  <c r="J359" i="6"/>
  <c r="H359" i="6"/>
  <c r="I359" i="6" s="1"/>
  <c r="C359" i="6"/>
  <c r="B359" i="6"/>
  <c r="A359" i="6"/>
  <c r="P358" i="6"/>
  <c r="O358" i="6"/>
  <c r="J358" i="6"/>
  <c r="H358" i="6"/>
  <c r="C358" i="6"/>
  <c r="B358" i="6"/>
  <c r="A358" i="6"/>
  <c r="Q357" i="6"/>
  <c r="P357" i="6"/>
  <c r="O357" i="6"/>
  <c r="J357" i="6"/>
  <c r="I357" i="6"/>
  <c r="K357" i="6" s="1"/>
  <c r="H357" i="6"/>
  <c r="B357" i="6"/>
  <c r="A357" i="6"/>
  <c r="C357" i="6" s="1"/>
  <c r="Q356" i="6"/>
  <c r="P356" i="6"/>
  <c r="O356" i="6"/>
  <c r="J356" i="6"/>
  <c r="K356" i="6" s="1"/>
  <c r="H356" i="6"/>
  <c r="I356" i="6" s="1"/>
  <c r="A356" i="6"/>
  <c r="C356" i="6" s="1"/>
  <c r="P355" i="6"/>
  <c r="O355" i="6"/>
  <c r="J355" i="6"/>
  <c r="H355" i="6"/>
  <c r="A355" i="6"/>
  <c r="B355" i="6" s="1"/>
  <c r="Q354" i="6"/>
  <c r="P354" i="6"/>
  <c r="O354" i="6"/>
  <c r="J354" i="6"/>
  <c r="I354" i="6"/>
  <c r="K354" i="6" s="1"/>
  <c r="H354" i="6"/>
  <c r="C354" i="6"/>
  <c r="B354" i="6"/>
  <c r="A354" i="6"/>
  <c r="P353" i="6"/>
  <c r="O353" i="6"/>
  <c r="K353" i="6"/>
  <c r="J353" i="6"/>
  <c r="H353" i="6"/>
  <c r="I353" i="6" s="1"/>
  <c r="B353" i="6"/>
  <c r="A353" i="6"/>
  <c r="C353" i="6" s="1"/>
  <c r="P352" i="6"/>
  <c r="O352" i="6"/>
  <c r="J352" i="6"/>
  <c r="H352" i="6"/>
  <c r="I352" i="6" s="1"/>
  <c r="K352" i="6" s="1"/>
  <c r="B352" i="6"/>
  <c r="A352" i="6"/>
  <c r="C352" i="6" s="1"/>
  <c r="P351" i="6"/>
  <c r="O351" i="6"/>
  <c r="J351" i="6"/>
  <c r="H351" i="6"/>
  <c r="I351" i="6" s="1"/>
  <c r="K351" i="6" s="1"/>
  <c r="C351" i="6"/>
  <c r="B351" i="6"/>
  <c r="A351" i="6"/>
  <c r="P350" i="6"/>
  <c r="O350" i="6"/>
  <c r="J350" i="6"/>
  <c r="H350" i="6"/>
  <c r="I350" i="6" s="1"/>
  <c r="K350" i="6" s="1"/>
  <c r="C350" i="6"/>
  <c r="B350" i="6"/>
  <c r="A350" i="6"/>
  <c r="Q349" i="6"/>
  <c r="P349" i="6"/>
  <c r="O349" i="6"/>
  <c r="J349" i="6"/>
  <c r="I349" i="6"/>
  <c r="K349" i="6" s="1"/>
  <c r="H349" i="6"/>
  <c r="B349" i="6"/>
  <c r="A349" i="6"/>
  <c r="C349" i="6" s="1"/>
  <c r="Q348" i="6"/>
  <c r="P348" i="6"/>
  <c r="O348" i="6"/>
  <c r="K348" i="6"/>
  <c r="J348" i="6"/>
  <c r="H348" i="6"/>
  <c r="I348" i="6" s="1"/>
  <c r="A348" i="6"/>
  <c r="Q347" i="6"/>
  <c r="P347" i="6"/>
  <c r="O347" i="6"/>
  <c r="J347" i="6"/>
  <c r="H347" i="6"/>
  <c r="I347" i="6" s="1"/>
  <c r="A347" i="6"/>
  <c r="Q346" i="6"/>
  <c r="P346" i="6"/>
  <c r="O346" i="6"/>
  <c r="J346" i="6"/>
  <c r="I346" i="6"/>
  <c r="H346" i="6"/>
  <c r="C346" i="6"/>
  <c r="B346" i="6"/>
  <c r="A346" i="6"/>
  <c r="P345" i="6"/>
  <c r="O345" i="6"/>
  <c r="J345" i="6"/>
  <c r="H345" i="6"/>
  <c r="B345" i="6"/>
  <c r="A345" i="6"/>
  <c r="C345" i="6" s="1"/>
  <c r="P344" i="6"/>
  <c r="O344" i="6"/>
  <c r="J344" i="6"/>
  <c r="H344" i="6"/>
  <c r="B344" i="6"/>
  <c r="A344" i="6"/>
  <c r="C344" i="6" s="1"/>
  <c r="Q343" i="6"/>
  <c r="P343" i="6"/>
  <c r="O343" i="6"/>
  <c r="J343" i="6"/>
  <c r="H343" i="6"/>
  <c r="I343" i="6" s="1"/>
  <c r="C343" i="6"/>
  <c r="B343" i="6"/>
  <c r="A343" i="6"/>
  <c r="P342" i="6"/>
  <c r="O342" i="6"/>
  <c r="J342" i="6"/>
  <c r="H342" i="6"/>
  <c r="C342" i="6"/>
  <c r="B342" i="6"/>
  <c r="A342" i="6"/>
  <c r="Q341" i="6"/>
  <c r="P341" i="6"/>
  <c r="O341" i="6"/>
  <c r="J341" i="6"/>
  <c r="I341" i="6"/>
  <c r="H341" i="6"/>
  <c r="B341" i="6"/>
  <c r="A341" i="6"/>
  <c r="C341" i="6" s="1"/>
  <c r="Q340" i="6"/>
  <c r="P340" i="6"/>
  <c r="O340" i="6"/>
  <c r="K340" i="6"/>
  <c r="J340" i="6"/>
  <c r="H340" i="6"/>
  <c r="I340" i="6" s="1"/>
  <c r="A340" i="6"/>
  <c r="C340" i="6" s="1"/>
  <c r="P339" i="6"/>
  <c r="O339" i="6"/>
  <c r="J339" i="6"/>
  <c r="H339" i="6"/>
  <c r="A339" i="6"/>
  <c r="B339" i="6" s="1"/>
  <c r="Q338" i="6"/>
  <c r="P338" i="6"/>
  <c r="O338" i="6"/>
  <c r="J338" i="6"/>
  <c r="I338" i="6"/>
  <c r="H338" i="6"/>
  <c r="C338" i="6"/>
  <c r="B338" i="6"/>
  <c r="A338" i="6"/>
  <c r="P337" i="6"/>
  <c r="O337" i="6"/>
  <c r="K337" i="6"/>
  <c r="J337" i="6"/>
  <c r="H337" i="6"/>
  <c r="I337" i="6" s="1"/>
  <c r="B337" i="6"/>
  <c r="A337" i="6"/>
  <c r="C337" i="6" s="1"/>
  <c r="P336" i="6"/>
  <c r="O336" i="6"/>
  <c r="J336" i="6"/>
  <c r="H336" i="6"/>
  <c r="I336" i="6" s="1"/>
  <c r="K336" i="6" s="1"/>
  <c r="C336" i="6"/>
  <c r="B336" i="6"/>
  <c r="A336" i="6"/>
  <c r="Q335" i="6"/>
  <c r="P335" i="6"/>
  <c r="O335" i="6"/>
  <c r="J335" i="6"/>
  <c r="I335" i="6"/>
  <c r="K335" i="6" s="1"/>
  <c r="H335" i="6"/>
  <c r="A335" i="6"/>
  <c r="Q334" i="6"/>
  <c r="P334" i="6"/>
  <c r="O334" i="6"/>
  <c r="K334" i="6"/>
  <c r="J334" i="6"/>
  <c r="I334" i="6"/>
  <c r="H334" i="6"/>
  <c r="C334" i="6"/>
  <c r="B334" i="6"/>
  <c r="A334" i="6"/>
  <c r="P333" i="6"/>
  <c r="O333" i="6"/>
  <c r="J333" i="6"/>
  <c r="I333" i="6"/>
  <c r="K333" i="6" s="1"/>
  <c r="H333" i="6"/>
  <c r="Q333" i="6" s="1"/>
  <c r="A333" i="6"/>
  <c r="C333" i="6" s="1"/>
  <c r="P332" i="6"/>
  <c r="O332" i="6"/>
  <c r="J332" i="6"/>
  <c r="H332" i="6"/>
  <c r="A332" i="6"/>
  <c r="B332" i="6" s="1"/>
  <c r="Q331" i="6"/>
  <c r="P331" i="6"/>
  <c r="O331" i="6"/>
  <c r="J331" i="6"/>
  <c r="I331" i="6"/>
  <c r="K331" i="6" s="1"/>
  <c r="H331" i="6"/>
  <c r="B331" i="6"/>
  <c r="A331" i="6"/>
  <c r="C331" i="6" s="1"/>
  <c r="P330" i="6"/>
  <c r="O330" i="6"/>
  <c r="J330" i="6"/>
  <c r="H330" i="6"/>
  <c r="I330" i="6" s="1"/>
  <c r="K330" i="6" s="1"/>
  <c r="C330" i="6"/>
  <c r="B330" i="6"/>
  <c r="A330" i="6"/>
  <c r="Q329" i="6"/>
  <c r="P329" i="6"/>
  <c r="O329" i="6"/>
  <c r="J329" i="6"/>
  <c r="I329" i="6"/>
  <c r="K329" i="6" s="1"/>
  <c r="H329" i="6"/>
  <c r="A329" i="6"/>
  <c r="Q328" i="6"/>
  <c r="P328" i="6"/>
  <c r="O328" i="6"/>
  <c r="K328" i="6"/>
  <c r="J328" i="6"/>
  <c r="H328" i="6"/>
  <c r="I328" i="6" s="1"/>
  <c r="A328" i="6"/>
  <c r="C328" i="6" s="1"/>
  <c r="Q327" i="6"/>
  <c r="P327" i="6"/>
  <c r="O327" i="6"/>
  <c r="J327" i="6"/>
  <c r="I327" i="6"/>
  <c r="H327" i="6"/>
  <c r="C327" i="6"/>
  <c r="B327" i="6"/>
  <c r="A327" i="6"/>
  <c r="P326" i="6"/>
  <c r="O326" i="6"/>
  <c r="J326" i="6"/>
  <c r="H326" i="6"/>
  <c r="Q326" i="6" s="1"/>
  <c r="C326" i="6"/>
  <c r="B326" i="6"/>
  <c r="A326" i="6"/>
  <c r="Q325" i="6"/>
  <c r="P325" i="6"/>
  <c r="O325" i="6"/>
  <c r="J325" i="6"/>
  <c r="K325" i="6" s="1"/>
  <c r="H325" i="6"/>
  <c r="I325" i="6" s="1"/>
  <c r="B325" i="6"/>
  <c r="A325" i="6"/>
  <c r="C325" i="6" s="1"/>
  <c r="Q324" i="6"/>
  <c r="P324" i="6"/>
  <c r="O324" i="6"/>
  <c r="K324" i="6"/>
  <c r="J324" i="6"/>
  <c r="H324" i="6"/>
  <c r="I324" i="6" s="1"/>
  <c r="C324" i="6"/>
  <c r="B324" i="6"/>
  <c r="A324" i="6"/>
  <c r="P323" i="6"/>
  <c r="O323" i="6"/>
  <c r="J323" i="6"/>
  <c r="H323" i="6"/>
  <c r="I323" i="6" s="1"/>
  <c r="K323" i="6" s="1"/>
  <c r="C323" i="6"/>
  <c r="B323" i="6"/>
  <c r="A323" i="6"/>
  <c r="Q322" i="6"/>
  <c r="P322" i="6"/>
  <c r="O322" i="6"/>
  <c r="J322" i="6"/>
  <c r="I322" i="6"/>
  <c r="K322" i="6" s="1"/>
  <c r="H322" i="6"/>
  <c r="C322" i="6"/>
  <c r="B322" i="6"/>
  <c r="A322" i="6"/>
  <c r="P321" i="6"/>
  <c r="O321" i="6"/>
  <c r="J321" i="6"/>
  <c r="H321" i="6"/>
  <c r="B321" i="6"/>
  <c r="A321" i="6"/>
  <c r="C321" i="6" s="1"/>
  <c r="P320" i="6"/>
  <c r="O320" i="6"/>
  <c r="J320" i="6"/>
  <c r="H320" i="6"/>
  <c r="C320" i="6"/>
  <c r="A320" i="6"/>
  <c r="B320" i="6" s="1"/>
  <c r="Q319" i="6"/>
  <c r="P319" i="6"/>
  <c r="O319" i="6"/>
  <c r="J319" i="6"/>
  <c r="I319" i="6"/>
  <c r="K319" i="6" s="1"/>
  <c r="H319" i="6"/>
  <c r="A319" i="6"/>
  <c r="Q318" i="6"/>
  <c r="P318" i="6"/>
  <c r="O318" i="6"/>
  <c r="J318" i="6"/>
  <c r="K318" i="6" s="1"/>
  <c r="H318" i="6"/>
  <c r="I318" i="6" s="1"/>
  <c r="C318" i="6"/>
  <c r="B318" i="6"/>
  <c r="A318" i="6"/>
  <c r="P317" i="6"/>
  <c r="O317" i="6"/>
  <c r="J317" i="6"/>
  <c r="I317" i="6"/>
  <c r="K317" i="6" s="1"/>
  <c r="H317" i="6"/>
  <c r="Q317" i="6" s="1"/>
  <c r="B317" i="6"/>
  <c r="A317" i="6"/>
  <c r="C317" i="6" s="1"/>
  <c r="Q316" i="6"/>
  <c r="P316" i="6"/>
  <c r="O316" i="6"/>
  <c r="J316" i="6"/>
  <c r="H316" i="6"/>
  <c r="I316" i="6" s="1"/>
  <c r="K316" i="6" s="1"/>
  <c r="A316" i="6"/>
  <c r="Q315" i="6"/>
  <c r="P315" i="6"/>
  <c r="O315" i="6"/>
  <c r="J315" i="6"/>
  <c r="I315" i="6"/>
  <c r="H315" i="6"/>
  <c r="B315" i="6"/>
  <c r="A315" i="6"/>
  <c r="C315" i="6" s="1"/>
  <c r="P314" i="6"/>
  <c r="O314" i="6"/>
  <c r="J314" i="6"/>
  <c r="H314" i="6"/>
  <c r="C314" i="6"/>
  <c r="B314" i="6"/>
  <c r="A314" i="6"/>
  <c r="Q313" i="6"/>
  <c r="P313" i="6"/>
  <c r="O313" i="6"/>
  <c r="J313" i="6"/>
  <c r="I313" i="6"/>
  <c r="H313" i="6"/>
  <c r="A313" i="6"/>
  <c r="Q312" i="6"/>
  <c r="P312" i="6"/>
  <c r="O312" i="6"/>
  <c r="J312" i="6"/>
  <c r="K312" i="6" s="1"/>
  <c r="H312" i="6"/>
  <c r="I312" i="6" s="1"/>
  <c r="B312" i="6"/>
  <c r="A312" i="6"/>
  <c r="C312" i="6" s="1"/>
  <c r="Q311" i="6"/>
  <c r="P311" i="6"/>
  <c r="O311" i="6"/>
  <c r="J311" i="6"/>
  <c r="H311" i="6"/>
  <c r="I311" i="6" s="1"/>
  <c r="K311" i="6" s="1"/>
  <c r="C311" i="6"/>
  <c r="B311" i="6"/>
  <c r="A311" i="6"/>
  <c r="P310" i="6"/>
  <c r="O310" i="6"/>
  <c r="J310" i="6"/>
  <c r="I310" i="6"/>
  <c r="K310" i="6" s="1"/>
  <c r="H310" i="6"/>
  <c r="Q310" i="6" s="1"/>
  <c r="C310" i="6"/>
  <c r="B310" i="6"/>
  <c r="A310" i="6"/>
  <c r="Q309" i="6"/>
  <c r="P309" i="6"/>
  <c r="O309" i="6"/>
  <c r="K309" i="6"/>
  <c r="J309" i="6"/>
  <c r="I309" i="6"/>
  <c r="H309" i="6"/>
  <c r="B309" i="6"/>
  <c r="A309" i="6"/>
  <c r="C309" i="6" s="1"/>
  <c r="P308" i="6"/>
  <c r="O308" i="6"/>
  <c r="K308" i="6"/>
  <c r="J308" i="6"/>
  <c r="H308" i="6"/>
  <c r="I308" i="6" s="1"/>
  <c r="C308" i="6"/>
  <c r="B308" i="6"/>
  <c r="A308" i="6"/>
  <c r="P307" i="6"/>
  <c r="O307" i="6"/>
  <c r="J307" i="6"/>
  <c r="H307" i="6"/>
  <c r="C307" i="6"/>
  <c r="A307" i="6"/>
  <c r="B307" i="6" s="1"/>
  <c r="Q306" i="6"/>
  <c r="P306" i="6"/>
  <c r="O306" i="6"/>
  <c r="J306" i="6"/>
  <c r="I306" i="6"/>
  <c r="K306" i="6" s="1"/>
  <c r="H306" i="6"/>
  <c r="C306" i="6"/>
  <c r="B306" i="6"/>
  <c r="A306" i="6"/>
  <c r="P305" i="6"/>
  <c r="O305" i="6"/>
  <c r="J305" i="6"/>
  <c r="H305" i="6"/>
  <c r="B305" i="6"/>
  <c r="A305" i="6"/>
  <c r="C305" i="6" s="1"/>
  <c r="P304" i="6"/>
  <c r="O304" i="6"/>
  <c r="J304" i="6"/>
  <c r="H304" i="6"/>
  <c r="C304" i="6"/>
  <c r="B304" i="6"/>
  <c r="A304" i="6"/>
  <c r="Q303" i="6"/>
  <c r="P303" i="6"/>
  <c r="O303" i="6"/>
  <c r="J303" i="6"/>
  <c r="I303" i="6"/>
  <c r="K303" i="6" s="1"/>
  <c r="H303" i="6"/>
  <c r="A303" i="6"/>
  <c r="Q302" i="6"/>
  <c r="P302" i="6"/>
  <c r="O302" i="6"/>
  <c r="K302" i="6"/>
  <c r="J302" i="6"/>
  <c r="I302" i="6"/>
  <c r="H302" i="6"/>
  <c r="C302" i="6"/>
  <c r="B302" i="6"/>
  <c r="A302" i="6"/>
  <c r="P301" i="6"/>
  <c r="O301" i="6"/>
  <c r="J301" i="6"/>
  <c r="H301" i="6"/>
  <c r="Q301" i="6" s="1"/>
  <c r="A301" i="6"/>
  <c r="Q300" i="6"/>
  <c r="P300" i="6"/>
  <c r="O300" i="6"/>
  <c r="K300" i="6"/>
  <c r="J300" i="6"/>
  <c r="H300" i="6"/>
  <c r="I300" i="6" s="1"/>
  <c r="C300" i="6"/>
  <c r="B300" i="6"/>
  <c r="A300" i="6"/>
  <c r="P299" i="6"/>
  <c r="O299" i="6"/>
  <c r="J299" i="6"/>
  <c r="H299" i="6"/>
  <c r="Q299" i="6" s="1"/>
  <c r="A299" i="6"/>
  <c r="Q298" i="6"/>
  <c r="P298" i="6"/>
  <c r="O298" i="6"/>
  <c r="J298" i="6"/>
  <c r="K298" i="6" s="1"/>
  <c r="I298" i="6"/>
  <c r="H298" i="6"/>
  <c r="C298" i="6"/>
  <c r="B298" i="6"/>
  <c r="A298" i="6"/>
  <c r="P297" i="6"/>
  <c r="O297" i="6"/>
  <c r="J297" i="6"/>
  <c r="H297" i="6"/>
  <c r="Q297" i="6" s="1"/>
  <c r="A297" i="6"/>
  <c r="Q296" i="6"/>
  <c r="P296" i="6"/>
  <c r="O296" i="6"/>
  <c r="J296" i="6"/>
  <c r="K296" i="6" s="1"/>
  <c r="H296" i="6"/>
  <c r="I296" i="6" s="1"/>
  <c r="C296" i="6"/>
  <c r="B296" i="6"/>
  <c r="A296" i="6"/>
  <c r="P295" i="6"/>
  <c r="O295" i="6"/>
  <c r="J295" i="6"/>
  <c r="I295" i="6"/>
  <c r="K295" i="6" s="1"/>
  <c r="H295" i="6"/>
  <c r="Q295" i="6" s="1"/>
  <c r="A295" i="6"/>
  <c r="Q294" i="6"/>
  <c r="P294" i="6"/>
  <c r="O294" i="6"/>
  <c r="J294" i="6"/>
  <c r="K294" i="6" s="1"/>
  <c r="I294" i="6"/>
  <c r="H294" i="6"/>
  <c r="C294" i="6"/>
  <c r="B294" i="6"/>
  <c r="A294" i="6"/>
  <c r="P293" i="6"/>
  <c r="O293" i="6"/>
  <c r="J293" i="6"/>
  <c r="I293" i="6"/>
  <c r="K293" i="6" s="1"/>
  <c r="H293" i="6"/>
  <c r="Q293" i="6" s="1"/>
  <c r="A293" i="6"/>
  <c r="Q292" i="6"/>
  <c r="P292" i="6"/>
  <c r="O292" i="6"/>
  <c r="J292" i="6"/>
  <c r="H292" i="6"/>
  <c r="I292" i="6" s="1"/>
  <c r="C292" i="6"/>
  <c r="B292" i="6"/>
  <c r="A292" i="6"/>
  <c r="P291" i="6"/>
  <c r="O291" i="6"/>
  <c r="J291" i="6"/>
  <c r="I291" i="6"/>
  <c r="K291" i="6" s="1"/>
  <c r="H291" i="6"/>
  <c r="Q291" i="6" s="1"/>
  <c r="A291" i="6"/>
  <c r="Q290" i="6"/>
  <c r="P290" i="6"/>
  <c r="O290" i="6"/>
  <c r="J290" i="6"/>
  <c r="K290" i="6" s="1"/>
  <c r="I290" i="6"/>
  <c r="H290" i="6"/>
  <c r="C290" i="6"/>
  <c r="B290" i="6"/>
  <c r="A290" i="6"/>
  <c r="Q289" i="6"/>
  <c r="P289" i="6"/>
  <c r="O289" i="6"/>
  <c r="J289" i="6"/>
  <c r="I289" i="6"/>
  <c r="K289" i="6" s="1"/>
  <c r="H289" i="6"/>
  <c r="A289" i="6"/>
  <c r="C289" i="6" s="1"/>
  <c r="Q288" i="6"/>
  <c r="P288" i="6"/>
  <c r="O288" i="6"/>
  <c r="J288" i="6"/>
  <c r="K288" i="6" s="1"/>
  <c r="H288" i="6"/>
  <c r="I288" i="6" s="1"/>
  <c r="C288" i="6"/>
  <c r="B288" i="6"/>
  <c r="A288" i="6"/>
  <c r="P287" i="6"/>
  <c r="O287" i="6"/>
  <c r="J287" i="6"/>
  <c r="I287" i="6"/>
  <c r="H287" i="6"/>
  <c r="Q287" i="6" s="1"/>
  <c r="A287" i="6"/>
  <c r="Q286" i="6"/>
  <c r="P286" i="6"/>
  <c r="O286" i="6"/>
  <c r="J286" i="6"/>
  <c r="H286" i="6"/>
  <c r="I286" i="6" s="1"/>
  <c r="K286" i="6" s="1"/>
  <c r="C286" i="6"/>
  <c r="B286" i="6"/>
  <c r="A286" i="6"/>
  <c r="Q285" i="6"/>
  <c r="P285" i="6"/>
  <c r="O285" i="6"/>
  <c r="J285" i="6"/>
  <c r="I285" i="6"/>
  <c r="K285" i="6" s="1"/>
  <c r="H285" i="6"/>
  <c r="A285" i="6"/>
  <c r="C285" i="6" s="1"/>
  <c r="Q284" i="6"/>
  <c r="P284" i="6"/>
  <c r="O284" i="6"/>
  <c r="K284" i="6"/>
  <c r="J284" i="6"/>
  <c r="H284" i="6"/>
  <c r="I284" i="6" s="1"/>
  <c r="C284" i="6"/>
  <c r="B284" i="6"/>
  <c r="A284" i="6"/>
  <c r="P283" i="6"/>
  <c r="O283" i="6"/>
  <c r="J283" i="6"/>
  <c r="I283" i="6"/>
  <c r="H283" i="6"/>
  <c r="Q283" i="6" s="1"/>
  <c r="A283" i="6"/>
  <c r="Q282" i="6"/>
  <c r="P282" i="6"/>
  <c r="O282" i="6"/>
  <c r="J282" i="6"/>
  <c r="H282" i="6"/>
  <c r="I282" i="6" s="1"/>
  <c r="K282" i="6" s="1"/>
  <c r="C282" i="6"/>
  <c r="B282" i="6"/>
  <c r="A282" i="6"/>
  <c r="Q281" i="6"/>
  <c r="P281" i="6"/>
  <c r="O281" i="6"/>
  <c r="J281" i="6"/>
  <c r="I281" i="6"/>
  <c r="K281" i="6" s="1"/>
  <c r="H281" i="6"/>
  <c r="A281" i="6"/>
  <c r="C281" i="6" s="1"/>
  <c r="Q280" i="6"/>
  <c r="P280" i="6"/>
  <c r="O280" i="6"/>
  <c r="J280" i="6"/>
  <c r="K280" i="6" s="1"/>
  <c r="H280" i="6"/>
  <c r="I280" i="6" s="1"/>
  <c r="C280" i="6"/>
  <c r="B280" i="6"/>
  <c r="A280" i="6"/>
  <c r="P279" i="6"/>
  <c r="O279" i="6"/>
  <c r="J279" i="6"/>
  <c r="I279" i="6"/>
  <c r="H279" i="6"/>
  <c r="Q279" i="6" s="1"/>
  <c r="A279" i="6"/>
  <c r="C279" i="6" s="1"/>
  <c r="P278" i="6"/>
  <c r="O278" i="6"/>
  <c r="K278" i="6"/>
  <c r="J278" i="6"/>
  <c r="H278" i="6"/>
  <c r="I278" i="6" s="1"/>
  <c r="C278" i="6"/>
  <c r="B278" i="6"/>
  <c r="A278" i="6"/>
  <c r="P277" i="6"/>
  <c r="O277" i="6"/>
  <c r="J277" i="6"/>
  <c r="I277" i="6"/>
  <c r="H277" i="6"/>
  <c r="Q277" i="6" s="1"/>
  <c r="B277" i="6"/>
  <c r="A277" i="6"/>
  <c r="C277" i="6" s="1"/>
  <c r="P276" i="6"/>
  <c r="O276" i="6"/>
  <c r="K276" i="6"/>
  <c r="J276" i="6"/>
  <c r="H276" i="6"/>
  <c r="I276" i="6" s="1"/>
  <c r="C276" i="6"/>
  <c r="B276" i="6"/>
  <c r="A276" i="6"/>
  <c r="Q275" i="6"/>
  <c r="P275" i="6"/>
  <c r="O275" i="6"/>
  <c r="J275" i="6"/>
  <c r="H275" i="6"/>
  <c r="I275" i="6" s="1"/>
  <c r="K275" i="6" s="1"/>
  <c r="A275" i="6"/>
  <c r="C275" i="6" s="1"/>
  <c r="Q274" i="6"/>
  <c r="P274" i="6"/>
  <c r="O274" i="6"/>
  <c r="J274" i="6"/>
  <c r="H274" i="6"/>
  <c r="I274" i="6" s="1"/>
  <c r="K274" i="6" s="1"/>
  <c r="C274" i="6"/>
  <c r="B274" i="6"/>
  <c r="A274" i="6"/>
  <c r="Q273" i="6"/>
  <c r="P273" i="6"/>
  <c r="O273" i="6"/>
  <c r="J273" i="6"/>
  <c r="I273" i="6"/>
  <c r="K273" i="6" s="1"/>
  <c r="H273" i="6"/>
  <c r="A273" i="6"/>
  <c r="Q272" i="6"/>
  <c r="P272" i="6"/>
  <c r="O272" i="6"/>
  <c r="J272" i="6"/>
  <c r="K272" i="6" s="1"/>
  <c r="H272" i="6"/>
  <c r="I272" i="6" s="1"/>
  <c r="C272" i="6"/>
  <c r="B272" i="6"/>
  <c r="A272" i="6"/>
  <c r="Q271" i="6"/>
  <c r="P271" i="6"/>
  <c r="O271" i="6"/>
  <c r="J271" i="6"/>
  <c r="H271" i="6"/>
  <c r="I271" i="6" s="1"/>
  <c r="K271" i="6" s="1"/>
  <c r="B271" i="6"/>
  <c r="A271" i="6"/>
  <c r="C271" i="6" s="1"/>
  <c r="Q270" i="6"/>
  <c r="P270" i="6"/>
  <c r="O270" i="6"/>
  <c r="K270" i="6"/>
  <c r="J270" i="6"/>
  <c r="H270" i="6"/>
  <c r="I270" i="6" s="1"/>
  <c r="C270" i="6"/>
  <c r="B270" i="6"/>
  <c r="A270" i="6"/>
  <c r="P269" i="6"/>
  <c r="O269" i="6"/>
  <c r="J269" i="6"/>
  <c r="H269" i="6"/>
  <c r="B269" i="6"/>
  <c r="A269" i="6"/>
  <c r="C269" i="6" s="1"/>
  <c r="P268" i="6"/>
  <c r="O268" i="6"/>
  <c r="J268" i="6"/>
  <c r="H268" i="6"/>
  <c r="C268" i="6"/>
  <c r="B268" i="6"/>
  <c r="A268" i="6"/>
  <c r="P267" i="6"/>
  <c r="O267" i="6"/>
  <c r="J267" i="6"/>
  <c r="H267" i="6"/>
  <c r="Q267" i="6" s="1"/>
  <c r="B267" i="6"/>
  <c r="A267" i="6"/>
  <c r="C267" i="6" s="1"/>
  <c r="P266" i="6"/>
  <c r="O266" i="6"/>
  <c r="J266" i="6"/>
  <c r="H266" i="6"/>
  <c r="C266" i="6"/>
  <c r="B266" i="6"/>
  <c r="A266" i="6"/>
  <c r="Q265" i="6"/>
  <c r="P265" i="6"/>
  <c r="O265" i="6"/>
  <c r="J265" i="6"/>
  <c r="I265" i="6"/>
  <c r="H265" i="6"/>
  <c r="A265" i="6"/>
  <c r="C265" i="6" s="1"/>
  <c r="Q264" i="6"/>
  <c r="P264" i="6"/>
  <c r="O264" i="6"/>
  <c r="J264" i="6"/>
  <c r="K264" i="6" s="1"/>
  <c r="H264" i="6"/>
  <c r="I264" i="6" s="1"/>
  <c r="C264" i="6"/>
  <c r="B264" i="6"/>
  <c r="A264" i="6"/>
  <c r="P263" i="6"/>
  <c r="O263" i="6"/>
  <c r="J263" i="6"/>
  <c r="I263" i="6"/>
  <c r="H263" i="6"/>
  <c r="Q263" i="6" s="1"/>
  <c r="A263" i="6"/>
  <c r="C263" i="6" s="1"/>
  <c r="P262" i="6"/>
  <c r="O262" i="6"/>
  <c r="K262" i="6"/>
  <c r="J262" i="6"/>
  <c r="H262" i="6"/>
  <c r="I262" i="6" s="1"/>
  <c r="C262" i="6"/>
  <c r="B262" i="6"/>
  <c r="A262" i="6"/>
  <c r="P261" i="6"/>
  <c r="O261" i="6"/>
  <c r="J261" i="6"/>
  <c r="H261" i="6"/>
  <c r="I261" i="6" s="1"/>
  <c r="K261" i="6" s="1"/>
  <c r="B261" i="6"/>
  <c r="A261" i="6"/>
  <c r="C261" i="6" s="1"/>
  <c r="P260" i="6"/>
  <c r="O260" i="6"/>
  <c r="K260" i="6"/>
  <c r="J260" i="6"/>
  <c r="H260" i="6"/>
  <c r="I260" i="6" s="1"/>
  <c r="C260" i="6"/>
  <c r="B260" i="6"/>
  <c r="A260" i="6"/>
  <c r="Q259" i="6"/>
  <c r="P259" i="6"/>
  <c r="O259" i="6"/>
  <c r="J259" i="6"/>
  <c r="H259" i="6"/>
  <c r="I259" i="6" s="1"/>
  <c r="K259" i="6" s="1"/>
  <c r="A259" i="6"/>
  <c r="C259" i="6" s="1"/>
  <c r="Q258" i="6"/>
  <c r="P258" i="6"/>
  <c r="O258" i="6"/>
  <c r="J258" i="6"/>
  <c r="H258" i="6"/>
  <c r="I258" i="6" s="1"/>
  <c r="K258" i="6" s="1"/>
  <c r="C258" i="6"/>
  <c r="B258" i="6"/>
  <c r="A258" i="6"/>
  <c r="Q257" i="6"/>
  <c r="P257" i="6"/>
  <c r="O257" i="6"/>
  <c r="J257" i="6"/>
  <c r="I257" i="6"/>
  <c r="K257" i="6" s="1"/>
  <c r="H257" i="6"/>
  <c r="A257" i="6"/>
  <c r="Q256" i="6"/>
  <c r="P256" i="6"/>
  <c r="O256" i="6"/>
  <c r="J256" i="6"/>
  <c r="K256" i="6" s="1"/>
  <c r="H256" i="6"/>
  <c r="I256" i="6" s="1"/>
  <c r="C256" i="6"/>
  <c r="B256" i="6"/>
  <c r="A256" i="6"/>
  <c r="Q255" i="6"/>
  <c r="P255" i="6"/>
  <c r="O255" i="6"/>
  <c r="J255" i="6"/>
  <c r="H255" i="6"/>
  <c r="I255" i="6" s="1"/>
  <c r="K255" i="6" s="1"/>
  <c r="B255" i="6"/>
  <c r="A255" i="6"/>
  <c r="C255" i="6" s="1"/>
  <c r="Q254" i="6"/>
  <c r="P254" i="6"/>
  <c r="O254" i="6"/>
  <c r="K254" i="6"/>
  <c r="J254" i="6"/>
  <c r="H254" i="6"/>
  <c r="I254" i="6" s="1"/>
  <c r="C254" i="6"/>
  <c r="B254" i="6"/>
  <c r="A254" i="6"/>
  <c r="P253" i="6"/>
  <c r="O253" i="6"/>
  <c r="J253" i="6"/>
  <c r="H253" i="6"/>
  <c r="B253" i="6"/>
  <c r="A253" i="6"/>
  <c r="C253" i="6" s="1"/>
  <c r="P252" i="6"/>
  <c r="O252" i="6"/>
  <c r="J252" i="6"/>
  <c r="H252" i="6"/>
  <c r="C252" i="6"/>
  <c r="B252" i="6"/>
  <c r="A252" i="6"/>
  <c r="P251" i="6"/>
  <c r="O251" i="6"/>
  <c r="J251" i="6"/>
  <c r="H251" i="6"/>
  <c r="Q251" i="6" s="1"/>
  <c r="B251" i="6"/>
  <c r="A251" i="6"/>
  <c r="C251" i="6" s="1"/>
  <c r="P250" i="6"/>
  <c r="O250" i="6"/>
  <c r="J250" i="6"/>
  <c r="H250" i="6"/>
  <c r="C250" i="6"/>
  <c r="B250" i="6"/>
  <c r="A250" i="6"/>
  <c r="Q249" i="6"/>
  <c r="P249" i="6"/>
  <c r="O249" i="6"/>
  <c r="J249" i="6"/>
  <c r="I249" i="6"/>
  <c r="H249" i="6"/>
  <c r="A249" i="6"/>
  <c r="C249" i="6" s="1"/>
  <c r="Q248" i="6"/>
  <c r="P248" i="6"/>
  <c r="O248" i="6"/>
  <c r="J248" i="6"/>
  <c r="K248" i="6" s="1"/>
  <c r="H248" i="6"/>
  <c r="I248" i="6" s="1"/>
  <c r="C248" i="6"/>
  <c r="B248" i="6"/>
  <c r="A248" i="6"/>
  <c r="P247" i="6"/>
  <c r="O247" i="6"/>
  <c r="J247" i="6"/>
  <c r="I247" i="6"/>
  <c r="H247" i="6"/>
  <c r="Q247" i="6" s="1"/>
  <c r="A247" i="6"/>
  <c r="C247" i="6" s="1"/>
  <c r="P246" i="6"/>
  <c r="O246" i="6"/>
  <c r="K246" i="6"/>
  <c r="J246" i="6"/>
  <c r="H246" i="6"/>
  <c r="I246" i="6" s="1"/>
  <c r="C246" i="6"/>
  <c r="B246" i="6"/>
  <c r="A246" i="6"/>
  <c r="P245" i="6"/>
  <c r="O245" i="6"/>
  <c r="J245" i="6"/>
  <c r="H245" i="6"/>
  <c r="I245" i="6" s="1"/>
  <c r="K245" i="6" s="1"/>
  <c r="B245" i="6"/>
  <c r="A245" i="6"/>
  <c r="C245" i="6" s="1"/>
  <c r="P244" i="6"/>
  <c r="O244" i="6"/>
  <c r="K244" i="6"/>
  <c r="J244" i="6"/>
  <c r="H244" i="6"/>
  <c r="I244" i="6" s="1"/>
  <c r="C244" i="6"/>
  <c r="B244" i="6"/>
  <c r="A244" i="6"/>
  <c r="Q243" i="6"/>
  <c r="P243" i="6"/>
  <c r="O243" i="6"/>
  <c r="J243" i="6"/>
  <c r="H243" i="6"/>
  <c r="I243" i="6" s="1"/>
  <c r="K243" i="6" s="1"/>
  <c r="A243" i="6"/>
  <c r="C243" i="6" s="1"/>
  <c r="Q242" i="6"/>
  <c r="P242" i="6"/>
  <c r="O242" i="6"/>
  <c r="J242" i="6"/>
  <c r="H242" i="6"/>
  <c r="I242" i="6" s="1"/>
  <c r="K242" i="6" s="1"/>
  <c r="C242" i="6"/>
  <c r="B242" i="6"/>
  <c r="A242" i="6"/>
  <c r="Q241" i="6"/>
  <c r="P241" i="6"/>
  <c r="O241" i="6"/>
  <c r="J241" i="6"/>
  <c r="I241" i="6"/>
  <c r="K241" i="6" s="1"/>
  <c r="H241" i="6"/>
  <c r="A241" i="6"/>
  <c r="Q240" i="6"/>
  <c r="P240" i="6"/>
  <c r="O240" i="6"/>
  <c r="J240" i="6"/>
  <c r="K240" i="6" s="1"/>
  <c r="H240" i="6"/>
  <c r="I240" i="6" s="1"/>
  <c r="C240" i="6"/>
  <c r="B240" i="6"/>
  <c r="A240" i="6"/>
  <c r="Q239" i="6"/>
  <c r="P239" i="6"/>
  <c r="O239" i="6"/>
  <c r="J239" i="6"/>
  <c r="H239" i="6"/>
  <c r="I239" i="6" s="1"/>
  <c r="K239" i="6" s="1"/>
  <c r="B239" i="6"/>
  <c r="A239" i="6"/>
  <c r="C239" i="6" s="1"/>
  <c r="Q238" i="6"/>
  <c r="P238" i="6"/>
  <c r="O238" i="6"/>
  <c r="K238" i="6"/>
  <c r="J238" i="6"/>
  <c r="H238" i="6"/>
  <c r="I238" i="6" s="1"/>
  <c r="C238" i="6"/>
  <c r="B238" i="6"/>
  <c r="A238" i="6"/>
  <c r="P237" i="6"/>
  <c r="O237" i="6"/>
  <c r="J237" i="6"/>
  <c r="H237" i="6"/>
  <c r="B237" i="6"/>
  <c r="A237" i="6"/>
  <c r="C237" i="6" s="1"/>
  <c r="P236" i="6"/>
  <c r="O236" i="6"/>
  <c r="J236" i="6"/>
  <c r="H236" i="6"/>
  <c r="C236" i="6"/>
  <c r="B236" i="6"/>
  <c r="A236" i="6"/>
  <c r="P235" i="6"/>
  <c r="O235" i="6"/>
  <c r="J235" i="6"/>
  <c r="H235" i="6"/>
  <c r="Q235" i="6" s="1"/>
  <c r="B235" i="6"/>
  <c r="A235" i="6"/>
  <c r="C235" i="6" s="1"/>
  <c r="P234" i="6"/>
  <c r="O234" i="6"/>
  <c r="J234" i="6"/>
  <c r="H234" i="6"/>
  <c r="C234" i="6"/>
  <c r="B234" i="6"/>
  <c r="A234" i="6"/>
  <c r="Q233" i="6"/>
  <c r="P233" i="6"/>
  <c r="O233" i="6"/>
  <c r="J233" i="6"/>
  <c r="I233" i="6"/>
  <c r="H233" i="6"/>
  <c r="A233" i="6"/>
  <c r="C233" i="6" s="1"/>
  <c r="Q232" i="6"/>
  <c r="P232" i="6"/>
  <c r="O232" i="6"/>
  <c r="J232" i="6"/>
  <c r="K232" i="6" s="1"/>
  <c r="H232" i="6"/>
  <c r="I232" i="6" s="1"/>
  <c r="C232" i="6"/>
  <c r="B232" i="6"/>
  <c r="A232" i="6"/>
  <c r="P231" i="6"/>
  <c r="O231" i="6"/>
  <c r="J231" i="6"/>
  <c r="I231" i="6"/>
  <c r="H231" i="6"/>
  <c r="Q231" i="6" s="1"/>
  <c r="A231" i="6"/>
  <c r="C231" i="6" s="1"/>
  <c r="P230" i="6"/>
  <c r="O230" i="6"/>
  <c r="K230" i="6"/>
  <c r="J230" i="6"/>
  <c r="H230" i="6"/>
  <c r="I230" i="6" s="1"/>
  <c r="C230" i="6"/>
  <c r="B230" i="6"/>
  <c r="A230" i="6"/>
  <c r="P229" i="6"/>
  <c r="O229" i="6"/>
  <c r="J229" i="6"/>
  <c r="H229" i="6"/>
  <c r="I229" i="6" s="1"/>
  <c r="K229" i="6" s="1"/>
  <c r="B229" i="6"/>
  <c r="A229" i="6"/>
  <c r="C229" i="6" s="1"/>
  <c r="P228" i="6"/>
  <c r="O228" i="6"/>
  <c r="K228" i="6"/>
  <c r="J228" i="6"/>
  <c r="H228" i="6"/>
  <c r="I228" i="6" s="1"/>
  <c r="C228" i="6"/>
  <c r="B228" i="6"/>
  <c r="A228" i="6"/>
  <c r="Q227" i="6"/>
  <c r="P227" i="6"/>
  <c r="O227" i="6"/>
  <c r="J227" i="6"/>
  <c r="H227" i="6"/>
  <c r="I227" i="6" s="1"/>
  <c r="K227" i="6" s="1"/>
  <c r="A227" i="6"/>
  <c r="C227" i="6" s="1"/>
  <c r="Q226" i="6"/>
  <c r="P226" i="6"/>
  <c r="O226" i="6"/>
  <c r="J226" i="6"/>
  <c r="I226" i="6"/>
  <c r="K226" i="6" s="1"/>
  <c r="H226" i="6"/>
  <c r="C226" i="6"/>
  <c r="B226" i="6"/>
  <c r="A226" i="6"/>
  <c r="P225" i="6"/>
  <c r="O225" i="6"/>
  <c r="J225" i="6"/>
  <c r="H225" i="6"/>
  <c r="B225" i="6"/>
  <c r="A225" i="6"/>
  <c r="C225" i="6" s="1"/>
  <c r="P224" i="6"/>
  <c r="O224" i="6"/>
  <c r="J224" i="6"/>
  <c r="H224" i="6"/>
  <c r="C224" i="6"/>
  <c r="B224" i="6"/>
  <c r="A224" i="6"/>
  <c r="P223" i="6"/>
  <c r="O223" i="6"/>
  <c r="J223" i="6"/>
  <c r="I223" i="6"/>
  <c r="K223" i="6" s="1"/>
  <c r="H223" i="6"/>
  <c r="Q223" i="6" s="1"/>
  <c r="C223" i="6"/>
  <c r="A223" i="6"/>
  <c r="B223" i="6" s="1"/>
  <c r="Q222" i="6"/>
  <c r="P222" i="6"/>
  <c r="O222" i="6"/>
  <c r="J222" i="6"/>
  <c r="K222" i="6" s="1"/>
  <c r="I222" i="6"/>
  <c r="H222" i="6"/>
  <c r="C222" i="6"/>
  <c r="B222" i="6"/>
  <c r="A222" i="6"/>
  <c r="P221" i="6"/>
  <c r="O221" i="6"/>
  <c r="J221" i="6"/>
  <c r="H221" i="6"/>
  <c r="I221" i="6" s="1"/>
  <c r="K221" i="6" s="1"/>
  <c r="A221" i="6"/>
  <c r="C221" i="6" s="1"/>
  <c r="Q220" i="6"/>
  <c r="P220" i="6"/>
  <c r="O220" i="6"/>
  <c r="J220" i="6"/>
  <c r="H220" i="6"/>
  <c r="I220" i="6" s="1"/>
  <c r="K220" i="6" s="1"/>
  <c r="A220" i="6"/>
  <c r="Q219" i="6"/>
  <c r="P219" i="6"/>
  <c r="O219" i="6"/>
  <c r="J219" i="6"/>
  <c r="I219" i="6"/>
  <c r="K219" i="6" s="1"/>
  <c r="H219" i="6"/>
  <c r="A219" i="6"/>
  <c r="C219" i="6" s="1"/>
  <c r="P218" i="6"/>
  <c r="O218" i="6"/>
  <c r="J218" i="6"/>
  <c r="H218" i="6"/>
  <c r="C218" i="6"/>
  <c r="B218" i="6"/>
  <c r="A218" i="6"/>
  <c r="P217" i="6"/>
  <c r="O217" i="6"/>
  <c r="J217" i="6"/>
  <c r="I217" i="6"/>
  <c r="K217" i="6" s="1"/>
  <c r="H217" i="6"/>
  <c r="Q217" i="6" s="1"/>
  <c r="A217" i="6"/>
  <c r="C217" i="6" s="1"/>
  <c r="Q216" i="6"/>
  <c r="P216" i="6"/>
  <c r="O216" i="6"/>
  <c r="K216" i="6"/>
  <c r="J216" i="6"/>
  <c r="H216" i="6"/>
  <c r="I216" i="6" s="1"/>
  <c r="A216" i="6"/>
  <c r="C216" i="6" s="1"/>
  <c r="P215" i="6"/>
  <c r="O215" i="6"/>
  <c r="J215" i="6"/>
  <c r="I215" i="6"/>
  <c r="H215" i="6"/>
  <c r="Q215" i="6" s="1"/>
  <c r="C215" i="6"/>
  <c r="B215" i="6"/>
  <c r="A215" i="6"/>
  <c r="P214" i="6"/>
  <c r="O214" i="6"/>
  <c r="J214" i="6"/>
  <c r="H214" i="6"/>
  <c r="I214" i="6" s="1"/>
  <c r="K214" i="6" s="1"/>
  <c r="C214" i="6"/>
  <c r="B214" i="6"/>
  <c r="A214" i="6"/>
  <c r="Q213" i="6"/>
  <c r="P213" i="6"/>
  <c r="O213" i="6"/>
  <c r="J213" i="6"/>
  <c r="H213" i="6"/>
  <c r="I213" i="6" s="1"/>
  <c r="K213" i="6" s="1"/>
  <c r="B213" i="6"/>
  <c r="A213" i="6"/>
  <c r="C213" i="6" s="1"/>
  <c r="Q212" i="6"/>
  <c r="P212" i="6"/>
  <c r="O212" i="6"/>
  <c r="K212" i="6"/>
  <c r="J212" i="6"/>
  <c r="H212" i="6"/>
  <c r="I212" i="6" s="1"/>
  <c r="C212" i="6"/>
  <c r="B212" i="6"/>
  <c r="A212" i="6"/>
  <c r="P211" i="6"/>
  <c r="O211" i="6"/>
  <c r="J211" i="6"/>
  <c r="H211" i="6"/>
  <c r="C211" i="6"/>
  <c r="B211" i="6"/>
  <c r="A211" i="6"/>
  <c r="P210" i="6"/>
  <c r="O210" i="6"/>
  <c r="J210" i="6"/>
  <c r="I210" i="6"/>
  <c r="H210" i="6"/>
  <c r="Q210" i="6" s="1"/>
  <c r="C210" i="6"/>
  <c r="B210" i="6"/>
  <c r="A210" i="6"/>
  <c r="P209" i="6"/>
  <c r="O209" i="6"/>
  <c r="J209" i="6"/>
  <c r="H209" i="6"/>
  <c r="I209" i="6" s="1"/>
  <c r="K209" i="6" s="1"/>
  <c r="B209" i="6"/>
  <c r="A209" i="6"/>
  <c r="C209" i="6" s="1"/>
  <c r="P208" i="6"/>
  <c r="O208" i="6"/>
  <c r="K208" i="6"/>
  <c r="J208" i="6"/>
  <c r="H208" i="6"/>
  <c r="I208" i="6" s="1"/>
  <c r="C208" i="6"/>
  <c r="A208" i="6"/>
  <c r="B208" i="6" s="1"/>
  <c r="Q207" i="6"/>
  <c r="P207" i="6"/>
  <c r="O207" i="6"/>
  <c r="J207" i="6"/>
  <c r="H207" i="6"/>
  <c r="I207" i="6" s="1"/>
  <c r="K207" i="6" s="1"/>
  <c r="A207" i="6"/>
  <c r="Q206" i="6"/>
  <c r="P206" i="6"/>
  <c r="O206" i="6"/>
  <c r="J206" i="6"/>
  <c r="H206" i="6"/>
  <c r="I206" i="6" s="1"/>
  <c r="K206" i="6" s="1"/>
  <c r="C206" i="6"/>
  <c r="B206" i="6"/>
  <c r="A206" i="6"/>
  <c r="P205" i="6"/>
  <c r="O205" i="6"/>
  <c r="J205" i="6"/>
  <c r="H205" i="6"/>
  <c r="Q205" i="6" s="1"/>
  <c r="B205" i="6"/>
  <c r="A205" i="6"/>
  <c r="C205" i="6" s="1"/>
  <c r="P204" i="6"/>
  <c r="O204" i="6"/>
  <c r="J204" i="6"/>
  <c r="H204" i="6"/>
  <c r="C204" i="6"/>
  <c r="A204" i="6"/>
  <c r="B204" i="6" s="1"/>
  <c r="Q203" i="6"/>
  <c r="P203" i="6"/>
  <c r="O203" i="6"/>
  <c r="J203" i="6"/>
  <c r="I203" i="6"/>
  <c r="K203" i="6" s="1"/>
  <c r="H203" i="6"/>
  <c r="A203" i="6"/>
  <c r="C203" i="6" s="1"/>
  <c r="P202" i="6"/>
  <c r="O202" i="6"/>
  <c r="J202" i="6"/>
  <c r="H202" i="6"/>
  <c r="I202" i="6" s="1"/>
  <c r="K202" i="6" s="1"/>
  <c r="C202" i="6"/>
  <c r="B202" i="6"/>
  <c r="A202" i="6"/>
  <c r="Q201" i="6"/>
  <c r="P201" i="6"/>
  <c r="O201" i="6"/>
  <c r="J201" i="6"/>
  <c r="I201" i="6"/>
  <c r="K201" i="6" s="1"/>
  <c r="H201" i="6"/>
  <c r="A201" i="6"/>
  <c r="Q200" i="6"/>
  <c r="P200" i="6"/>
  <c r="O200" i="6"/>
  <c r="J200" i="6"/>
  <c r="K200" i="6" s="1"/>
  <c r="H200" i="6"/>
  <c r="I200" i="6" s="1"/>
  <c r="A200" i="6"/>
  <c r="C200" i="6" s="1"/>
  <c r="Q199" i="6"/>
  <c r="P199" i="6"/>
  <c r="O199" i="6"/>
  <c r="J199" i="6"/>
  <c r="H199" i="6"/>
  <c r="I199" i="6" s="1"/>
  <c r="K199" i="6" s="1"/>
  <c r="C199" i="6"/>
  <c r="B199" i="6"/>
  <c r="A199" i="6"/>
  <c r="P198" i="6"/>
  <c r="O198" i="6"/>
  <c r="J198" i="6"/>
  <c r="I198" i="6"/>
  <c r="K198" i="6" s="1"/>
  <c r="H198" i="6"/>
  <c r="Q198" i="6" s="1"/>
  <c r="C198" i="6"/>
  <c r="B198" i="6"/>
  <c r="A198" i="6"/>
  <c r="Q197" i="6"/>
  <c r="P197" i="6"/>
  <c r="O197" i="6"/>
  <c r="J197" i="6"/>
  <c r="K197" i="6" s="1"/>
  <c r="I197" i="6"/>
  <c r="H197" i="6"/>
  <c r="A197" i="6"/>
  <c r="C197" i="6" s="1"/>
  <c r="P196" i="6"/>
  <c r="O196" i="6"/>
  <c r="K196" i="6"/>
  <c r="J196" i="6"/>
  <c r="H196" i="6"/>
  <c r="I196" i="6" s="1"/>
  <c r="C196" i="6"/>
  <c r="B196" i="6"/>
  <c r="A196" i="6"/>
  <c r="P195" i="6"/>
  <c r="O195" i="6"/>
  <c r="J195" i="6"/>
  <c r="H195" i="6"/>
  <c r="I195" i="6" s="1"/>
  <c r="K195" i="6" s="1"/>
  <c r="C195" i="6"/>
  <c r="A195" i="6"/>
  <c r="B195" i="6" s="1"/>
  <c r="Q194" i="6"/>
  <c r="P194" i="6"/>
  <c r="O194" i="6"/>
  <c r="J194" i="6"/>
  <c r="I194" i="6"/>
  <c r="K194" i="6" s="1"/>
  <c r="H194" i="6"/>
  <c r="C194" i="6"/>
  <c r="B194" i="6"/>
  <c r="A194" i="6"/>
  <c r="P193" i="6"/>
  <c r="O193" i="6"/>
  <c r="J193" i="6"/>
  <c r="H193" i="6"/>
  <c r="B193" i="6"/>
  <c r="A193" i="6"/>
  <c r="C193" i="6" s="1"/>
  <c r="P192" i="6"/>
  <c r="O192" i="6"/>
  <c r="J192" i="6"/>
  <c r="H192" i="6"/>
  <c r="C192" i="6"/>
  <c r="B192" i="6"/>
  <c r="A192" i="6"/>
  <c r="P191" i="6"/>
  <c r="O191" i="6"/>
  <c r="J191" i="6"/>
  <c r="I191" i="6"/>
  <c r="K191" i="6" s="1"/>
  <c r="H191" i="6"/>
  <c r="Q191" i="6" s="1"/>
  <c r="C191" i="6"/>
  <c r="A191" i="6"/>
  <c r="B191" i="6" s="1"/>
  <c r="Q190" i="6"/>
  <c r="P190" i="6"/>
  <c r="O190" i="6"/>
  <c r="J190" i="6"/>
  <c r="K190" i="6" s="1"/>
  <c r="I190" i="6"/>
  <c r="H190" i="6"/>
  <c r="C190" i="6"/>
  <c r="B190" i="6"/>
  <c r="A190" i="6"/>
  <c r="P189" i="6"/>
  <c r="O189" i="6"/>
  <c r="J189" i="6"/>
  <c r="H189" i="6"/>
  <c r="I189" i="6" s="1"/>
  <c r="K189" i="6" s="1"/>
  <c r="A189" i="6"/>
  <c r="C189" i="6" s="1"/>
  <c r="Q188" i="6"/>
  <c r="P188" i="6"/>
  <c r="O188" i="6"/>
  <c r="J188" i="6"/>
  <c r="H188" i="6"/>
  <c r="I188" i="6" s="1"/>
  <c r="K188" i="6" s="1"/>
  <c r="A188" i="6"/>
  <c r="Q187" i="6"/>
  <c r="P187" i="6"/>
  <c r="O187" i="6"/>
  <c r="J187" i="6"/>
  <c r="I187" i="6"/>
  <c r="K187" i="6" s="1"/>
  <c r="H187" i="6"/>
  <c r="A187" i="6"/>
  <c r="C187" i="6" s="1"/>
  <c r="P186" i="6"/>
  <c r="O186" i="6"/>
  <c r="J186" i="6"/>
  <c r="H186" i="6"/>
  <c r="C186" i="6"/>
  <c r="B186" i="6"/>
  <c r="A186" i="6"/>
  <c r="P185" i="6"/>
  <c r="O185" i="6"/>
  <c r="J185" i="6"/>
  <c r="I185" i="6"/>
  <c r="H185" i="6"/>
  <c r="Q185" i="6" s="1"/>
  <c r="A185" i="6"/>
  <c r="C185" i="6" s="1"/>
  <c r="Q184" i="6"/>
  <c r="P184" i="6"/>
  <c r="O184" i="6"/>
  <c r="J184" i="6"/>
  <c r="K184" i="6" s="1"/>
  <c r="H184" i="6"/>
  <c r="I184" i="6" s="1"/>
  <c r="A184" i="6"/>
  <c r="P183" i="6"/>
  <c r="O183" i="6"/>
  <c r="J183" i="6"/>
  <c r="I183" i="6"/>
  <c r="H183" i="6"/>
  <c r="Q183" i="6" s="1"/>
  <c r="C183" i="6"/>
  <c r="B183" i="6"/>
  <c r="A183" i="6"/>
  <c r="P182" i="6"/>
  <c r="O182" i="6"/>
  <c r="J182" i="6"/>
  <c r="H182" i="6"/>
  <c r="C182" i="6"/>
  <c r="B182" i="6"/>
  <c r="A182" i="6"/>
  <c r="Q181" i="6"/>
  <c r="P181" i="6"/>
  <c r="O181" i="6"/>
  <c r="J181" i="6"/>
  <c r="H181" i="6"/>
  <c r="I181" i="6" s="1"/>
  <c r="A181" i="6"/>
  <c r="C181" i="6" s="1"/>
  <c r="Q180" i="6"/>
  <c r="P180" i="6"/>
  <c r="O180" i="6"/>
  <c r="K180" i="6"/>
  <c r="J180" i="6"/>
  <c r="H180" i="6"/>
  <c r="I180" i="6" s="1"/>
  <c r="C180" i="6"/>
  <c r="B180" i="6"/>
  <c r="A180" i="6"/>
  <c r="P179" i="6"/>
  <c r="O179" i="6"/>
  <c r="J179" i="6"/>
  <c r="H179" i="6"/>
  <c r="C179" i="6"/>
  <c r="B179" i="6"/>
  <c r="A179" i="6"/>
  <c r="P178" i="6"/>
  <c r="O178" i="6"/>
  <c r="J178" i="6"/>
  <c r="I178" i="6"/>
  <c r="K178" i="6" s="1"/>
  <c r="H178" i="6"/>
  <c r="Q178" i="6" s="1"/>
  <c r="C178" i="6"/>
  <c r="B178" i="6"/>
  <c r="A178" i="6"/>
  <c r="P177" i="6"/>
  <c r="O177" i="6"/>
  <c r="J177" i="6"/>
  <c r="H177" i="6"/>
  <c r="I177" i="6" s="1"/>
  <c r="K177" i="6" s="1"/>
  <c r="B177" i="6"/>
  <c r="A177" i="6"/>
  <c r="C177" i="6" s="1"/>
  <c r="P176" i="6"/>
  <c r="O176" i="6"/>
  <c r="K176" i="6"/>
  <c r="J176" i="6"/>
  <c r="H176" i="6"/>
  <c r="I176" i="6" s="1"/>
  <c r="C176" i="6"/>
  <c r="A176" i="6"/>
  <c r="B176" i="6" s="1"/>
  <c r="P175" i="6"/>
  <c r="O175" i="6"/>
  <c r="J175" i="6"/>
  <c r="H175" i="6"/>
  <c r="I175" i="6" s="1"/>
  <c r="K175" i="6" s="1"/>
  <c r="A175" i="6"/>
  <c r="Q174" i="6"/>
  <c r="P174" i="6"/>
  <c r="O174" i="6"/>
  <c r="J174" i="6"/>
  <c r="H174" i="6"/>
  <c r="I174" i="6" s="1"/>
  <c r="C174" i="6"/>
  <c r="B174" i="6"/>
  <c r="A174" i="6"/>
  <c r="P173" i="6"/>
  <c r="O173" i="6"/>
  <c r="J173" i="6"/>
  <c r="I173" i="6"/>
  <c r="K173" i="6" s="1"/>
  <c r="H173" i="6"/>
  <c r="Q173" i="6" s="1"/>
  <c r="B173" i="6"/>
  <c r="A173" i="6"/>
  <c r="C173" i="6" s="1"/>
  <c r="P172" i="6"/>
  <c r="O172" i="6"/>
  <c r="J172" i="6"/>
  <c r="H172" i="6"/>
  <c r="C172" i="6"/>
  <c r="A172" i="6"/>
  <c r="B172" i="6" s="1"/>
  <c r="Q171" i="6"/>
  <c r="P171" i="6"/>
  <c r="O171" i="6"/>
  <c r="K171" i="6"/>
  <c r="J171" i="6"/>
  <c r="I171" i="6"/>
  <c r="H171" i="6"/>
  <c r="C171" i="6"/>
  <c r="B171" i="6"/>
  <c r="A171" i="6"/>
  <c r="P170" i="6"/>
  <c r="O170" i="6"/>
  <c r="J170" i="6"/>
  <c r="H170" i="6"/>
  <c r="A170" i="6"/>
  <c r="Q169" i="6"/>
  <c r="P169" i="6"/>
  <c r="O169" i="6"/>
  <c r="J169" i="6"/>
  <c r="H169" i="6"/>
  <c r="I169" i="6" s="1"/>
  <c r="K169" i="6" s="1"/>
  <c r="C169" i="6"/>
  <c r="B169" i="6"/>
  <c r="A169" i="6"/>
  <c r="P168" i="6"/>
  <c r="O168" i="6"/>
  <c r="J168" i="6"/>
  <c r="H168" i="6"/>
  <c r="Q168" i="6" s="1"/>
  <c r="C168" i="6"/>
  <c r="A168" i="6"/>
  <c r="B168" i="6" s="1"/>
  <c r="Q167" i="6"/>
  <c r="P167" i="6"/>
  <c r="O167" i="6"/>
  <c r="J167" i="6"/>
  <c r="K167" i="6" s="1"/>
  <c r="I167" i="6"/>
  <c r="H167" i="6"/>
  <c r="C167" i="6"/>
  <c r="B167" i="6"/>
  <c r="A167" i="6"/>
  <c r="P166" i="6"/>
  <c r="O166" i="6"/>
  <c r="J166" i="6"/>
  <c r="H166" i="6"/>
  <c r="A166" i="6"/>
  <c r="Q165" i="6"/>
  <c r="P165" i="6"/>
  <c r="O165" i="6"/>
  <c r="J165" i="6"/>
  <c r="H165" i="6"/>
  <c r="I165" i="6" s="1"/>
  <c r="C165" i="6"/>
  <c r="B165" i="6"/>
  <c r="A165" i="6"/>
  <c r="P164" i="6"/>
  <c r="O164" i="6"/>
  <c r="J164" i="6"/>
  <c r="I164" i="6"/>
  <c r="K164" i="6" s="1"/>
  <c r="H164" i="6"/>
  <c r="Q164" i="6" s="1"/>
  <c r="C164" i="6"/>
  <c r="B164" i="6"/>
  <c r="A164" i="6"/>
  <c r="Q163" i="6"/>
  <c r="P163" i="6"/>
  <c r="O163" i="6"/>
  <c r="J163" i="6"/>
  <c r="I163" i="6"/>
  <c r="K163" i="6" s="1"/>
  <c r="H163" i="6"/>
  <c r="C163" i="6"/>
  <c r="B163" i="6"/>
  <c r="A163" i="6"/>
  <c r="P162" i="6"/>
  <c r="O162" i="6"/>
  <c r="J162" i="6"/>
  <c r="H162" i="6"/>
  <c r="A162" i="6"/>
  <c r="Q161" i="6"/>
  <c r="P161" i="6"/>
  <c r="O161" i="6"/>
  <c r="J161" i="6"/>
  <c r="H161" i="6"/>
  <c r="I161" i="6" s="1"/>
  <c r="B161" i="6"/>
  <c r="A161" i="6"/>
  <c r="C161" i="6" s="1"/>
  <c r="P160" i="6"/>
  <c r="O160" i="6"/>
  <c r="J160" i="6"/>
  <c r="I160" i="6"/>
  <c r="K160" i="6" s="1"/>
  <c r="H160" i="6"/>
  <c r="Q160" i="6" s="1"/>
  <c r="C160" i="6"/>
  <c r="B160" i="6"/>
  <c r="A160" i="6"/>
  <c r="Q159" i="6"/>
  <c r="P159" i="6"/>
  <c r="O159" i="6"/>
  <c r="K159" i="6"/>
  <c r="J159" i="6"/>
  <c r="I159" i="6"/>
  <c r="H159" i="6"/>
  <c r="C159" i="6"/>
  <c r="B159" i="6"/>
  <c r="A159" i="6"/>
  <c r="P158" i="6"/>
  <c r="O158" i="6"/>
  <c r="J158" i="6"/>
  <c r="H158" i="6"/>
  <c r="A158" i="6"/>
  <c r="Q157" i="6"/>
  <c r="P157" i="6"/>
  <c r="O157" i="6"/>
  <c r="J157" i="6"/>
  <c r="H157" i="6"/>
  <c r="I157" i="6" s="1"/>
  <c r="C157" i="6"/>
  <c r="B157" i="6"/>
  <c r="A157" i="6"/>
  <c r="P156" i="6"/>
  <c r="O156" i="6"/>
  <c r="J156" i="6"/>
  <c r="H156" i="6"/>
  <c r="Q156" i="6" s="1"/>
  <c r="C156" i="6"/>
  <c r="B156" i="6"/>
  <c r="A156" i="6"/>
  <c r="Q155" i="6"/>
  <c r="P155" i="6"/>
  <c r="O155" i="6"/>
  <c r="J155" i="6"/>
  <c r="I155" i="6"/>
  <c r="K155" i="6" s="1"/>
  <c r="H155" i="6"/>
  <c r="C155" i="6"/>
  <c r="B155" i="6"/>
  <c r="A155" i="6"/>
  <c r="P154" i="6"/>
  <c r="O154" i="6"/>
  <c r="J154" i="6"/>
  <c r="H154" i="6"/>
  <c r="A154" i="6"/>
  <c r="Q153" i="6"/>
  <c r="P153" i="6"/>
  <c r="O153" i="6"/>
  <c r="J153" i="6"/>
  <c r="H153" i="6"/>
  <c r="I153" i="6" s="1"/>
  <c r="K153" i="6" s="1"/>
  <c r="C153" i="6"/>
  <c r="B153" i="6"/>
  <c r="A153" i="6"/>
  <c r="P152" i="6"/>
  <c r="O152" i="6"/>
  <c r="J152" i="6"/>
  <c r="H152" i="6"/>
  <c r="Q152" i="6" s="1"/>
  <c r="C152" i="6"/>
  <c r="B152" i="6"/>
  <c r="A152" i="6"/>
  <c r="Q151" i="6"/>
  <c r="P151" i="6"/>
  <c r="O151" i="6"/>
  <c r="J151" i="6"/>
  <c r="K151" i="6" s="1"/>
  <c r="I151" i="6"/>
  <c r="H151" i="6"/>
  <c r="C151" i="6"/>
  <c r="B151" i="6"/>
  <c r="A151" i="6"/>
  <c r="P150" i="6"/>
  <c r="O150" i="6"/>
  <c r="J150" i="6"/>
  <c r="H150" i="6"/>
  <c r="A150" i="6"/>
  <c r="Q149" i="6"/>
  <c r="P149" i="6"/>
  <c r="O149" i="6"/>
  <c r="J149" i="6"/>
  <c r="H149" i="6"/>
  <c r="I149" i="6" s="1"/>
  <c r="K149" i="6" s="1"/>
  <c r="A149" i="6"/>
  <c r="C149" i="6" s="1"/>
  <c r="P148" i="6"/>
  <c r="O148" i="6"/>
  <c r="J148" i="6"/>
  <c r="I148" i="6"/>
  <c r="K148" i="6" s="1"/>
  <c r="H148" i="6"/>
  <c r="Q148" i="6" s="1"/>
  <c r="C148" i="6"/>
  <c r="B148" i="6"/>
  <c r="A148" i="6"/>
  <c r="P147" i="6"/>
  <c r="O147" i="6"/>
  <c r="J147" i="6"/>
  <c r="H147" i="6"/>
  <c r="I147" i="6" s="1"/>
  <c r="K147" i="6" s="1"/>
  <c r="C147" i="6"/>
  <c r="B147" i="6"/>
  <c r="A147" i="6"/>
  <c r="Q146" i="6"/>
  <c r="P146" i="6"/>
  <c r="O146" i="6"/>
  <c r="J146" i="6"/>
  <c r="H146" i="6"/>
  <c r="I146" i="6" s="1"/>
  <c r="K146" i="6" s="1"/>
  <c r="B146" i="6"/>
  <c r="A146" i="6"/>
  <c r="C146" i="6" s="1"/>
  <c r="P145" i="6"/>
  <c r="O145" i="6"/>
  <c r="J145" i="6"/>
  <c r="H145" i="6"/>
  <c r="I145" i="6" s="1"/>
  <c r="K145" i="6" s="1"/>
  <c r="C145" i="6"/>
  <c r="B145" i="6"/>
  <c r="A145" i="6"/>
  <c r="Q144" i="6"/>
  <c r="P144" i="6"/>
  <c r="O144" i="6"/>
  <c r="J144" i="6"/>
  <c r="I144" i="6"/>
  <c r="K144" i="6" s="1"/>
  <c r="H144" i="6"/>
  <c r="C144" i="6"/>
  <c r="B144" i="6"/>
  <c r="A144" i="6"/>
  <c r="Q143" i="6"/>
  <c r="P143" i="6"/>
  <c r="O143" i="6"/>
  <c r="K143" i="6"/>
  <c r="J143" i="6"/>
  <c r="I143" i="6"/>
  <c r="H143" i="6"/>
  <c r="C143" i="6"/>
  <c r="B143" i="6"/>
  <c r="A143" i="6"/>
  <c r="P142" i="6"/>
  <c r="O142" i="6"/>
  <c r="J142" i="6"/>
  <c r="H142" i="6"/>
  <c r="I142" i="6" s="1"/>
  <c r="K142" i="6" s="1"/>
  <c r="B142" i="6"/>
  <c r="A142" i="6"/>
  <c r="C142" i="6" s="1"/>
  <c r="P141" i="6"/>
  <c r="O141" i="6"/>
  <c r="J141" i="6"/>
  <c r="H141" i="6"/>
  <c r="I141" i="6" s="1"/>
  <c r="C141" i="6"/>
  <c r="B141" i="6"/>
  <c r="A141" i="6"/>
  <c r="P140" i="6"/>
  <c r="O140" i="6"/>
  <c r="J140" i="6"/>
  <c r="H140" i="6"/>
  <c r="Q140" i="6" s="1"/>
  <c r="C140" i="6"/>
  <c r="B140" i="6"/>
  <c r="A140" i="6"/>
  <c r="Q139" i="6"/>
  <c r="P139" i="6"/>
  <c r="O139" i="6"/>
  <c r="J139" i="6"/>
  <c r="I139" i="6"/>
  <c r="K139" i="6" s="1"/>
  <c r="H139" i="6"/>
  <c r="C139" i="6"/>
  <c r="B139" i="6"/>
  <c r="A139" i="6"/>
  <c r="Q138" i="6"/>
  <c r="P138" i="6"/>
  <c r="O138" i="6"/>
  <c r="K138" i="6"/>
  <c r="J138" i="6"/>
  <c r="H138" i="6"/>
  <c r="I138" i="6" s="1"/>
  <c r="B138" i="6"/>
  <c r="A138" i="6"/>
  <c r="C138" i="6" s="1"/>
  <c r="P137" i="6"/>
  <c r="O137" i="6"/>
  <c r="J137" i="6"/>
  <c r="H137" i="6"/>
  <c r="I137" i="6" s="1"/>
  <c r="B137" i="6"/>
  <c r="A137" i="6"/>
  <c r="C137" i="6" s="1"/>
  <c r="Q136" i="6"/>
  <c r="P136" i="6"/>
  <c r="O136" i="6"/>
  <c r="J136" i="6"/>
  <c r="I136" i="6"/>
  <c r="H136" i="6"/>
  <c r="C136" i="6"/>
  <c r="B136" i="6"/>
  <c r="A136" i="6"/>
  <c r="P135" i="6"/>
  <c r="O135" i="6"/>
  <c r="K135" i="6"/>
  <c r="J135" i="6"/>
  <c r="I135" i="6"/>
  <c r="H135" i="6"/>
  <c r="Q135" i="6" s="1"/>
  <c r="C135" i="6"/>
  <c r="B135" i="6"/>
  <c r="A135" i="6"/>
  <c r="Q134" i="6"/>
  <c r="P134" i="6"/>
  <c r="O134" i="6"/>
  <c r="K134" i="6"/>
  <c r="J134" i="6"/>
  <c r="H134" i="6"/>
  <c r="I134" i="6" s="1"/>
  <c r="A134" i="6"/>
  <c r="C134" i="6" s="1"/>
  <c r="Q133" i="6"/>
  <c r="P133" i="6"/>
  <c r="O133" i="6"/>
  <c r="J133" i="6"/>
  <c r="H133" i="6"/>
  <c r="I133" i="6" s="1"/>
  <c r="A133" i="6"/>
  <c r="C133" i="6" s="1"/>
  <c r="Q132" i="6"/>
  <c r="P132" i="6"/>
  <c r="O132" i="6"/>
  <c r="J132" i="6"/>
  <c r="H132" i="6"/>
  <c r="I132" i="6" s="1"/>
  <c r="K132" i="6" s="1"/>
  <c r="C132" i="6"/>
  <c r="B132" i="6"/>
  <c r="A132" i="6"/>
  <c r="P131" i="6"/>
  <c r="O131" i="6"/>
  <c r="J131" i="6"/>
  <c r="H131" i="6"/>
  <c r="Q131" i="6" s="1"/>
  <c r="C131" i="6"/>
  <c r="B131" i="6"/>
  <c r="A131" i="6"/>
  <c r="P130" i="6"/>
  <c r="O130" i="6"/>
  <c r="J130" i="6"/>
  <c r="H130" i="6"/>
  <c r="I130" i="6" s="1"/>
  <c r="K130" i="6" s="1"/>
  <c r="B130" i="6"/>
  <c r="A130" i="6"/>
  <c r="C130" i="6" s="1"/>
  <c r="P129" i="6"/>
  <c r="O129" i="6"/>
  <c r="J129" i="6"/>
  <c r="H129" i="6"/>
  <c r="I129" i="6" s="1"/>
  <c r="K129" i="6" s="1"/>
  <c r="C129" i="6"/>
  <c r="B129" i="6"/>
  <c r="A129" i="6"/>
  <c r="P128" i="6"/>
  <c r="O128" i="6"/>
  <c r="J128" i="6"/>
  <c r="H128" i="6"/>
  <c r="Q128" i="6" s="1"/>
  <c r="C128" i="6"/>
  <c r="B128" i="6"/>
  <c r="A128" i="6"/>
  <c r="Q127" i="6"/>
  <c r="P127" i="6"/>
  <c r="O127" i="6"/>
  <c r="J127" i="6"/>
  <c r="K127" i="6" s="1"/>
  <c r="I127" i="6"/>
  <c r="H127" i="6"/>
  <c r="C127" i="6"/>
  <c r="B127" i="6"/>
  <c r="A127" i="6"/>
  <c r="P126" i="6"/>
  <c r="O126" i="6"/>
  <c r="J126" i="6"/>
  <c r="H126" i="6"/>
  <c r="I126" i="6" s="1"/>
  <c r="K126" i="6" s="1"/>
  <c r="A126" i="6"/>
  <c r="C126" i="6" s="1"/>
  <c r="Q125" i="6"/>
  <c r="P125" i="6"/>
  <c r="O125" i="6"/>
  <c r="J125" i="6"/>
  <c r="H125" i="6"/>
  <c r="I125" i="6" s="1"/>
  <c r="C125" i="6"/>
  <c r="A125" i="6"/>
  <c r="B125" i="6" s="1"/>
  <c r="P124" i="6"/>
  <c r="O124" i="6"/>
  <c r="J124" i="6"/>
  <c r="H124" i="6"/>
  <c r="I124" i="6" s="1"/>
  <c r="K124" i="6" s="1"/>
  <c r="C124" i="6"/>
  <c r="B124" i="6"/>
  <c r="A124" i="6"/>
  <c r="Q123" i="6"/>
  <c r="P123" i="6"/>
  <c r="O123" i="6"/>
  <c r="J123" i="6"/>
  <c r="H123" i="6"/>
  <c r="I123" i="6" s="1"/>
  <c r="K123" i="6" s="1"/>
  <c r="C123" i="6"/>
  <c r="B123" i="6"/>
  <c r="A123" i="6"/>
  <c r="Q122" i="6"/>
  <c r="P122" i="6"/>
  <c r="O122" i="6"/>
  <c r="J122" i="6"/>
  <c r="K122" i="6" s="1"/>
  <c r="H122" i="6"/>
  <c r="I122" i="6" s="1"/>
  <c r="A122" i="6"/>
  <c r="C122" i="6" s="1"/>
  <c r="Q121" i="6"/>
  <c r="P121" i="6"/>
  <c r="O121" i="6"/>
  <c r="J121" i="6"/>
  <c r="H121" i="6"/>
  <c r="I121" i="6" s="1"/>
  <c r="K121" i="6" s="1"/>
  <c r="A121" i="6"/>
  <c r="C121" i="6" s="1"/>
  <c r="Q120" i="6"/>
  <c r="P120" i="6"/>
  <c r="O120" i="6"/>
  <c r="J120" i="6"/>
  <c r="I120" i="6"/>
  <c r="K120" i="6" s="1"/>
  <c r="H120" i="6"/>
  <c r="C120" i="6"/>
  <c r="B120" i="6"/>
  <c r="A120" i="6"/>
  <c r="P119" i="6"/>
  <c r="O119" i="6"/>
  <c r="J119" i="6"/>
  <c r="H119" i="6"/>
  <c r="Q119" i="6" s="1"/>
  <c r="C119" i="6"/>
  <c r="B119" i="6"/>
  <c r="A119" i="6"/>
  <c r="P118" i="6"/>
  <c r="O118" i="6"/>
  <c r="J118" i="6"/>
  <c r="H118" i="6"/>
  <c r="I118" i="6" s="1"/>
  <c r="K118" i="6" s="1"/>
  <c r="A118" i="6"/>
  <c r="C118" i="6" s="1"/>
  <c r="P117" i="6"/>
  <c r="O117" i="6"/>
  <c r="J117" i="6"/>
  <c r="H117" i="6"/>
  <c r="I117" i="6" s="1"/>
  <c r="K117" i="6" s="1"/>
  <c r="A117" i="6"/>
  <c r="C117" i="6" s="1"/>
  <c r="P116" i="6"/>
  <c r="O116" i="6"/>
  <c r="J116" i="6"/>
  <c r="I116" i="6"/>
  <c r="K116" i="6" s="1"/>
  <c r="H116" i="6"/>
  <c r="Q116" i="6" s="1"/>
  <c r="C116" i="6"/>
  <c r="B116" i="6"/>
  <c r="A116" i="6"/>
  <c r="P115" i="6"/>
  <c r="O115" i="6"/>
  <c r="J115" i="6"/>
  <c r="H115" i="6"/>
  <c r="I115" i="6" s="1"/>
  <c r="K115" i="6" s="1"/>
  <c r="C115" i="6"/>
  <c r="B115" i="6"/>
  <c r="A115" i="6"/>
  <c r="Q114" i="6"/>
  <c r="P114" i="6"/>
  <c r="O114" i="6"/>
  <c r="J114" i="6"/>
  <c r="H114" i="6"/>
  <c r="I114" i="6" s="1"/>
  <c r="K114" i="6" s="1"/>
  <c r="B114" i="6"/>
  <c r="A114" i="6"/>
  <c r="C114" i="6" s="1"/>
  <c r="P113" i="6"/>
  <c r="O113" i="6"/>
  <c r="J113" i="6"/>
  <c r="H113" i="6"/>
  <c r="I113" i="6" s="1"/>
  <c r="K113" i="6" s="1"/>
  <c r="C113" i="6"/>
  <c r="B113" i="6"/>
  <c r="A113" i="6"/>
  <c r="Q112" i="6"/>
  <c r="P112" i="6"/>
  <c r="O112" i="6"/>
  <c r="J112" i="6"/>
  <c r="I112" i="6"/>
  <c r="K112" i="6" s="1"/>
  <c r="H112" i="6"/>
  <c r="C112" i="6"/>
  <c r="B112" i="6"/>
  <c r="A112" i="6"/>
  <c r="Q111" i="6"/>
  <c r="P111" i="6"/>
  <c r="O111" i="6"/>
  <c r="K111" i="6"/>
  <c r="J111" i="6"/>
  <c r="I111" i="6"/>
  <c r="H111" i="6"/>
  <c r="C111" i="6"/>
  <c r="B111" i="6"/>
  <c r="A111" i="6"/>
  <c r="P110" i="6"/>
  <c r="O110" i="6"/>
  <c r="J110" i="6"/>
  <c r="H110" i="6"/>
  <c r="Q110" i="6" s="1"/>
  <c r="B110" i="6"/>
  <c r="A110" i="6"/>
  <c r="C110" i="6" s="1"/>
  <c r="P109" i="6"/>
  <c r="O109" i="6"/>
  <c r="J109" i="6"/>
  <c r="H109" i="6"/>
  <c r="I109" i="6" s="1"/>
  <c r="K109" i="6" s="1"/>
  <c r="A109" i="6"/>
  <c r="C109" i="6" s="1"/>
  <c r="P108" i="6"/>
  <c r="O108" i="6"/>
  <c r="J108" i="6"/>
  <c r="I108" i="6"/>
  <c r="K108" i="6" s="1"/>
  <c r="H108" i="6"/>
  <c r="Q108" i="6" s="1"/>
  <c r="B108" i="6"/>
  <c r="A108" i="6"/>
  <c r="C108" i="6" s="1"/>
  <c r="P107" i="6"/>
  <c r="O107" i="6"/>
  <c r="J107" i="6"/>
  <c r="H107" i="6"/>
  <c r="I107" i="6" s="1"/>
  <c r="K107" i="6" s="1"/>
  <c r="C107" i="6"/>
  <c r="B107" i="6"/>
  <c r="A107" i="6"/>
  <c r="Q106" i="6"/>
  <c r="P106" i="6"/>
  <c r="O106" i="6"/>
  <c r="J106" i="6"/>
  <c r="H106" i="6"/>
  <c r="I106" i="6" s="1"/>
  <c r="K106" i="6" s="1"/>
  <c r="A106" i="6"/>
  <c r="C106" i="6" s="1"/>
  <c r="Q105" i="6"/>
  <c r="P105" i="6"/>
  <c r="O105" i="6"/>
  <c r="K105" i="6"/>
  <c r="J105" i="6"/>
  <c r="H105" i="6"/>
  <c r="I105" i="6" s="1"/>
  <c r="A105" i="6"/>
  <c r="C105" i="6" s="1"/>
  <c r="Q104" i="6"/>
  <c r="P104" i="6"/>
  <c r="O104" i="6"/>
  <c r="J104" i="6"/>
  <c r="I104" i="6"/>
  <c r="K104" i="6" s="1"/>
  <c r="H104" i="6"/>
  <c r="B104" i="6"/>
  <c r="A104" i="6"/>
  <c r="C104" i="6" s="1"/>
  <c r="P103" i="6"/>
  <c r="O103" i="6"/>
  <c r="J103" i="6"/>
  <c r="H103" i="6"/>
  <c r="Q103" i="6" s="1"/>
  <c r="C103" i="6"/>
  <c r="B103" i="6"/>
  <c r="A103" i="6"/>
  <c r="Q102" i="6"/>
  <c r="P102" i="6"/>
  <c r="O102" i="6"/>
  <c r="J102" i="6"/>
  <c r="I102" i="6"/>
  <c r="K102" i="6" s="1"/>
  <c r="H102" i="6"/>
  <c r="B102" i="6"/>
  <c r="A102" i="6"/>
  <c r="C102" i="6" s="1"/>
  <c r="Q101" i="6"/>
  <c r="P101" i="6"/>
  <c r="O101" i="6"/>
  <c r="K101" i="6"/>
  <c r="J101" i="6"/>
  <c r="H101" i="6"/>
  <c r="I101" i="6" s="1"/>
  <c r="C101" i="6"/>
  <c r="A101" i="6"/>
  <c r="B101" i="6" s="1"/>
  <c r="P100" i="6"/>
  <c r="O100" i="6"/>
  <c r="J100" i="6"/>
  <c r="H100" i="6"/>
  <c r="I100" i="6" s="1"/>
  <c r="K100" i="6" s="1"/>
  <c r="C100" i="6"/>
  <c r="B100" i="6"/>
  <c r="A100" i="6"/>
  <c r="Q99" i="6"/>
  <c r="P99" i="6"/>
  <c r="O99" i="6"/>
  <c r="J99" i="6"/>
  <c r="H99" i="6"/>
  <c r="I99" i="6" s="1"/>
  <c r="K99" i="6" s="1"/>
  <c r="C99" i="6"/>
  <c r="B99" i="6"/>
  <c r="A99" i="6"/>
  <c r="Q98" i="6"/>
  <c r="P98" i="6"/>
  <c r="O98" i="6"/>
  <c r="J98" i="6"/>
  <c r="H98" i="6"/>
  <c r="I98" i="6" s="1"/>
  <c r="K98" i="6" s="1"/>
  <c r="B98" i="6"/>
  <c r="A98" i="6"/>
  <c r="C98" i="6" s="1"/>
  <c r="P97" i="6"/>
  <c r="O97" i="6"/>
  <c r="J97" i="6"/>
  <c r="H97" i="6"/>
  <c r="I97" i="6" s="1"/>
  <c r="K97" i="6" s="1"/>
  <c r="C97" i="6"/>
  <c r="B97" i="6"/>
  <c r="A97" i="6"/>
  <c r="P96" i="6"/>
  <c r="O96" i="6"/>
  <c r="J96" i="6"/>
  <c r="H96" i="6"/>
  <c r="Q96" i="6" s="1"/>
  <c r="A96" i="6"/>
  <c r="C96" i="6" s="1"/>
  <c r="Q95" i="6"/>
  <c r="P95" i="6"/>
  <c r="O95" i="6"/>
  <c r="J95" i="6"/>
  <c r="I95" i="6"/>
  <c r="K95" i="6" s="1"/>
  <c r="H95" i="6"/>
  <c r="C95" i="6"/>
  <c r="B95" i="6"/>
  <c r="A95" i="6"/>
  <c r="P94" i="6"/>
  <c r="O94" i="6"/>
  <c r="J94" i="6"/>
  <c r="I94" i="6"/>
  <c r="K94" i="6" s="1"/>
  <c r="H94" i="6"/>
  <c r="Q94" i="6" s="1"/>
  <c r="B94" i="6"/>
  <c r="A94" i="6"/>
  <c r="C94" i="6" s="1"/>
  <c r="Q93" i="6"/>
  <c r="P93" i="6"/>
  <c r="O93" i="6"/>
  <c r="J93" i="6"/>
  <c r="H93" i="6"/>
  <c r="I93" i="6" s="1"/>
  <c r="K93" i="6" s="1"/>
  <c r="A93" i="6"/>
  <c r="C93" i="6" s="1"/>
  <c r="Q92" i="6"/>
  <c r="P92" i="6"/>
  <c r="O92" i="6"/>
  <c r="J92" i="6"/>
  <c r="H92" i="6"/>
  <c r="I92" i="6" s="1"/>
  <c r="K92" i="6" s="1"/>
  <c r="A92" i="6"/>
  <c r="C92" i="6" s="1"/>
  <c r="P91" i="6"/>
  <c r="O91" i="6"/>
  <c r="J91" i="6"/>
  <c r="H91" i="6"/>
  <c r="Q91" i="6" s="1"/>
  <c r="C91" i="6"/>
  <c r="B91" i="6"/>
  <c r="A91" i="6"/>
  <c r="Q90" i="6"/>
  <c r="P90" i="6"/>
  <c r="O90" i="6"/>
  <c r="J90" i="6"/>
  <c r="I90" i="6"/>
  <c r="K90" i="6" s="1"/>
  <c r="H90" i="6"/>
  <c r="A90" i="6"/>
  <c r="C90" i="6" s="1"/>
  <c r="P89" i="6"/>
  <c r="O89" i="6"/>
  <c r="J89" i="6"/>
  <c r="H89" i="6"/>
  <c r="I89" i="6" s="1"/>
  <c r="K89" i="6" s="1"/>
  <c r="B89" i="6"/>
  <c r="A89" i="6"/>
  <c r="C89" i="6" s="1"/>
  <c r="Q88" i="6"/>
  <c r="P88" i="6"/>
  <c r="O88" i="6"/>
  <c r="J88" i="6"/>
  <c r="I88" i="6"/>
  <c r="H88" i="6"/>
  <c r="C88" i="6"/>
  <c r="A88" i="6"/>
  <c r="B88" i="6" s="1"/>
  <c r="P87" i="6"/>
  <c r="O87" i="6"/>
  <c r="J87" i="6"/>
  <c r="I87" i="6"/>
  <c r="K87" i="6" s="1"/>
  <c r="H87" i="6"/>
  <c r="Q87" i="6" s="1"/>
  <c r="C87" i="6"/>
  <c r="B87" i="6"/>
  <c r="A87" i="6"/>
  <c r="Q86" i="6"/>
  <c r="P86" i="6"/>
  <c r="O86" i="6"/>
  <c r="K86" i="6"/>
  <c r="J86" i="6"/>
  <c r="I86" i="6"/>
  <c r="H86" i="6"/>
  <c r="A86" i="6"/>
  <c r="C86" i="6" s="1"/>
  <c r="Q85" i="6"/>
  <c r="P85" i="6"/>
  <c r="O85" i="6"/>
  <c r="J85" i="6"/>
  <c r="K85" i="6" s="1"/>
  <c r="H85" i="6"/>
  <c r="I85" i="6" s="1"/>
  <c r="B85" i="6"/>
  <c r="A85" i="6"/>
  <c r="C85" i="6" s="1"/>
  <c r="P84" i="6"/>
  <c r="O84" i="6"/>
  <c r="J84" i="6"/>
  <c r="H84" i="6"/>
  <c r="Q84" i="6" s="1"/>
  <c r="C84" i="6"/>
  <c r="B84" i="6"/>
  <c r="A84" i="6"/>
  <c r="Q83" i="6"/>
  <c r="P83" i="6"/>
  <c r="O83" i="6"/>
  <c r="J83" i="6"/>
  <c r="I83" i="6"/>
  <c r="K83" i="6" s="1"/>
  <c r="H83" i="6"/>
  <c r="C83" i="6"/>
  <c r="B83" i="6"/>
  <c r="A83" i="6"/>
  <c r="P82" i="6"/>
  <c r="O82" i="6"/>
  <c r="J82" i="6"/>
  <c r="H82" i="6"/>
  <c r="I82" i="6" s="1"/>
  <c r="K82" i="6" s="1"/>
  <c r="A82" i="6"/>
  <c r="C82" i="6" s="1"/>
  <c r="P81" i="6"/>
  <c r="O81" i="6"/>
  <c r="J81" i="6"/>
  <c r="H81" i="6"/>
  <c r="I81" i="6" s="1"/>
  <c r="K81" i="6" s="1"/>
  <c r="C81" i="6"/>
  <c r="B81" i="6"/>
  <c r="A81" i="6"/>
  <c r="Q80" i="6"/>
  <c r="P80" i="6"/>
  <c r="O80" i="6"/>
  <c r="J80" i="6"/>
  <c r="I80" i="6"/>
  <c r="K80" i="6" s="1"/>
  <c r="H80" i="6"/>
  <c r="A80" i="6"/>
  <c r="C80" i="6" s="1"/>
  <c r="Q79" i="6"/>
  <c r="P79" i="6"/>
  <c r="O79" i="6"/>
  <c r="K79" i="6"/>
  <c r="J79" i="6"/>
  <c r="I79" i="6"/>
  <c r="H79" i="6"/>
  <c r="C79" i="6"/>
  <c r="B79" i="6"/>
  <c r="A79" i="6"/>
  <c r="P78" i="6"/>
  <c r="O78" i="6"/>
  <c r="J78" i="6"/>
  <c r="H78" i="6"/>
  <c r="Q78" i="6" s="1"/>
  <c r="B78" i="6"/>
  <c r="A78" i="6"/>
  <c r="C78" i="6" s="1"/>
  <c r="P77" i="6"/>
  <c r="O77" i="6"/>
  <c r="J77" i="6"/>
  <c r="H77" i="6"/>
  <c r="I77" i="6" s="1"/>
  <c r="K77" i="6" s="1"/>
  <c r="A77" i="6"/>
  <c r="C77" i="6" s="1"/>
  <c r="P76" i="6"/>
  <c r="O76" i="6"/>
  <c r="J76" i="6"/>
  <c r="I76" i="6"/>
  <c r="K76" i="6" s="1"/>
  <c r="H76" i="6"/>
  <c r="Q76" i="6" s="1"/>
  <c r="B76" i="6"/>
  <c r="A76" i="6"/>
  <c r="C76" i="6" s="1"/>
  <c r="P75" i="6"/>
  <c r="O75" i="6"/>
  <c r="J75" i="6"/>
  <c r="H75" i="6"/>
  <c r="I75" i="6" s="1"/>
  <c r="K75" i="6" s="1"/>
  <c r="C75" i="6"/>
  <c r="B75" i="6"/>
  <c r="A75" i="6"/>
  <c r="Q74" i="6"/>
  <c r="P74" i="6"/>
  <c r="O74" i="6"/>
  <c r="J74" i="6"/>
  <c r="H74" i="6"/>
  <c r="I74" i="6" s="1"/>
  <c r="K74" i="6" s="1"/>
  <c r="A74" i="6"/>
  <c r="C74" i="6" s="1"/>
  <c r="Q73" i="6"/>
  <c r="P73" i="6"/>
  <c r="O73" i="6"/>
  <c r="K73" i="6"/>
  <c r="J73" i="6"/>
  <c r="H73" i="6"/>
  <c r="I73" i="6" s="1"/>
  <c r="A73" i="6"/>
  <c r="C73" i="6" s="1"/>
  <c r="Q72" i="6"/>
  <c r="P72" i="6"/>
  <c r="O72" i="6"/>
  <c r="J72" i="6"/>
  <c r="I72" i="6"/>
  <c r="K72" i="6" s="1"/>
  <c r="H72" i="6"/>
  <c r="B72" i="6"/>
  <c r="A72" i="6"/>
  <c r="C72" i="6" s="1"/>
  <c r="P71" i="6"/>
  <c r="O71" i="6"/>
  <c r="J71" i="6"/>
  <c r="H71" i="6"/>
  <c r="Q71" i="6" s="1"/>
  <c r="C71" i="6"/>
  <c r="B71" i="6"/>
  <c r="A71" i="6"/>
  <c r="Q70" i="6"/>
  <c r="P70" i="6"/>
  <c r="O70" i="6"/>
  <c r="J70" i="6"/>
  <c r="I70" i="6"/>
  <c r="K70" i="6" s="1"/>
  <c r="H70" i="6"/>
  <c r="B70" i="6"/>
  <c r="A70" i="6"/>
  <c r="C70" i="6" s="1"/>
  <c r="Q69" i="6"/>
  <c r="P69" i="6"/>
  <c r="O69" i="6"/>
  <c r="K69" i="6"/>
  <c r="J69" i="6"/>
  <c r="H69" i="6"/>
  <c r="I69" i="6" s="1"/>
  <c r="C69" i="6"/>
  <c r="A69" i="6"/>
  <c r="B69" i="6" s="1"/>
  <c r="P68" i="6"/>
  <c r="O68" i="6"/>
  <c r="J68" i="6"/>
  <c r="H68" i="6"/>
  <c r="I68" i="6" s="1"/>
  <c r="K68" i="6" s="1"/>
  <c r="C68" i="6"/>
  <c r="B68" i="6"/>
  <c r="A68" i="6"/>
  <c r="Q67" i="6"/>
  <c r="P67" i="6"/>
  <c r="O67" i="6"/>
  <c r="J67" i="6"/>
  <c r="H67" i="6"/>
  <c r="I67" i="6" s="1"/>
  <c r="K67" i="6" s="1"/>
  <c r="C67" i="6"/>
  <c r="B67" i="6"/>
  <c r="A67" i="6"/>
  <c r="Q66" i="6"/>
  <c r="P66" i="6"/>
  <c r="O66" i="6"/>
  <c r="J66" i="6"/>
  <c r="H66" i="6"/>
  <c r="I66" i="6" s="1"/>
  <c r="K66" i="6" s="1"/>
  <c r="B66" i="6"/>
  <c r="A66" i="6"/>
  <c r="C66" i="6" s="1"/>
  <c r="P65" i="6"/>
  <c r="O65" i="6"/>
  <c r="J65" i="6"/>
  <c r="H65" i="6"/>
  <c r="I65" i="6" s="1"/>
  <c r="K65" i="6" s="1"/>
  <c r="C65" i="6"/>
  <c r="B65" i="6"/>
  <c r="A65" i="6"/>
  <c r="P64" i="6"/>
  <c r="O64" i="6"/>
  <c r="J64" i="6"/>
  <c r="H64" i="6"/>
  <c r="Q64" i="6" s="1"/>
  <c r="A64" i="6"/>
  <c r="C64" i="6" s="1"/>
  <c r="Q63" i="6"/>
  <c r="P63" i="6"/>
  <c r="O63" i="6"/>
  <c r="J63" i="6"/>
  <c r="I63" i="6"/>
  <c r="K63" i="6" s="1"/>
  <c r="H63" i="6"/>
  <c r="C63" i="6"/>
  <c r="B63" i="6"/>
  <c r="A63" i="6"/>
  <c r="P62" i="6"/>
  <c r="O62" i="6"/>
  <c r="J62" i="6"/>
  <c r="I62" i="6"/>
  <c r="K62" i="6" s="1"/>
  <c r="H62" i="6"/>
  <c r="Q62" i="6" s="1"/>
  <c r="B62" i="6"/>
  <c r="A62" i="6"/>
  <c r="C62" i="6" s="1"/>
  <c r="Q61" i="6"/>
  <c r="P61" i="6"/>
  <c r="O61" i="6"/>
  <c r="J61" i="6"/>
  <c r="H61" i="6"/>
  <c r="I61" i="6" s="1"/>
  <c r="K61" i="6" s="1"/>
  <c r="A61" i="6"/>
  <c r="C61" i="6" s="1"/>
  <c r="Q60" i="6"/>
  <c r="P60" i="6"/>
  <c r="O60" i="6"/>
  <c r="J60" i="6"/>
  <c r="H60" i="6"/>
  <c r="I60" i="6" s="1"/>
  <c r="K60" i="6" s="1"/>
  <c r="A60" i="6"/>
  <c r="C60" i="6" s="1"/>
  <c r="P59" i="6"/>
  <c r="O59" i="6"/>
  <c r="J59" i="6"/>
  <c r="H59" i="6"/>
  <c r="Q59" i="6" s="1"/>
  <c r="C59" i="6"/>
  <c r="B59" i="6"/>
  <c r="A59" i="6"/>
  <c r="Q58" i="6"/>
  <c r="P58" i="6"/>
  <c r="O58" i="6"/>
  <c r="J58" i="6"/>
  <c r="I58" i="6"/>
  <c r="K58" i="6" s="1"/>
  <c r="H58" i="6"/>
  <c r="A58" i="6"/>
  <c r="C58" i="6" s="1"/>
  <c r="P57" i="6"/>
  <c r="O57" i="6"/>
  <c r="J57" i="6"/>
  <c r="H57" i="6"/>
  <c r="I57" i="6" s="1"/>
  <c r="K57" i="6" s="1"/>
  <c r="B57" i="6"/>
  <c r="A57" i="6"/>
  <c r="C57" i="6" s="1"/>
  <c r="Q56" i="6"/>
  <c r="P56" i="6"/>
  <c r="O56" i="6"/>
  <c r="J56" i="6"/>
  <c r="I56" i="6"/>
  <c r="H56" i="6"/>
  <c r="C56" i="6"/>
  <c r="A56" i="6"/>
  <c r="B56" i="6" s="1"/>
  <c r="P55" i="6"/>
  <c r="O55" i="6"/>
  <c r="J55" i="6"/>
  <c r="I55" i="6"/>
  <c r="K55" i="6" s="1"/>
  <c r="H55" i="6"/>
  <c r="Q55" i="6" s="1"/>
  <c r="C55" i="6"/>
  <c r="B55" i="6"/>
  <c r="A55" i="6"/>
  <c r="Q54" i="6"/>
  <c r="P54" i="6"/>
  <c r="O54" i="6"/>
  <c r="K54" i="6"/>
  <c r="J54" i="6"/>
  <c r="I54" i="6"/>
  <c r="H54" i="6"/>
  <c r="A54" i="6"/>
  <c r="C54" i="6" s="1"/>
  <c r="Q53" i="6"/>
  <c r="P53" i="6"/>
  <c r="O53" i="6"/>
  <c r="J53" i="6"/>
  <c r="K53" i="6" s="1"/>
  <c r="H53" i="6"/>
  <c r="I53" i="6" s="1"/>
  <c r="B53" i="6"/>
  <c r="A53" i="6"/>
  <c r="C53" i="6" s="1"/>
  <c r="P52" i="6"/>
  <c r="O52" i="6"/>
  <c r="J52" i="6"/>
  <c r="H52" i="6"/>
  <c r="Q52" i="6" s="1"/>
  <c r="C52" i="6"/>
  <c r="B52" i="6"/>
  <c r="A52" i="6"/>
  <c r="Q51" i="6"/>
  <c r="P51" i="6"/>
  <c r="O51" i="6"/>
  <c r="J51" i="6"/>
  <c r="I51" i="6"/>
  <c r="K51" i="6" s="1"/>
  <c r="H51" i="6"/>
  <c r="C51" i="6"/>
  <c r="B51" i="6"/>
  <c r="A51" i="6"/>
  <c r="P50" i="6"/>
  <c r="O50" i="6"/>
  <c r="J50" i="6"/>
  <c r="H50" i="6"/>
  <c r="I50" i="6" s="1"/>
  <c r="K50" i="6" s="1"/>
  <c r="A50" i="6"/>
  <c r="C50" i="6" s="1"/>
  <c r="P49" i="6"/>
  <c r="O49" i="6"/>
  <c r="J49" i="6"/>
  <c r="H49" i="6"/>
  <c r="I49" i="6" s="1"/>
  <c r="K49" i="6" s="1"/>
  <c r="C49" i="6"/>
  <c r="B49" i="6"/>
  <c r="A49" i="6"/>
  <c r="Q48" i="6"/>
  <c r="P48" i="6"/>
  <c r="O48" i="6"/>
  <c r="J48" i="6"/>
  <c r="I48" i="6"/>
  <c r="K48" i="6" s="1"/>
  <c r="H48" i="6"/>
  <c r="A48" i="6"/>
  <c r="C48" i="6" s="1"/>
  <c r="Q47" i="6"/>
  <c r="P47" i="6"/>
  <c r="O47" i="6"/>
  <c r="K47" i="6"/>
  <c r="J47" i="6"/>
  <c r="I47" i="6"/>
  <c r="H47" i="6"/>
  <c r="C47" i="6"/>
  <c r="B47" i="6"/>
  <c r="A47" i="6"/>
  <c r="P46" i="6"/>
  <c r="O46" i="6"/>
  <c r="J46" i="6"/>
  <c r="H46" i="6"/>
  <c r="Q46" i="6" s="1"/>
  <c r="B46" i="6"/>
  <c r="A46" i="6"/>
  <c r="C46" i="6" s="1"/>
  <c r="P45" i="6"/>
  <c r="O45" i="6"/>
  <c r="J45" i="6"/>
  <c r="H45" i="6"/>
  <c r="I45" i="6" s="1"/>
  <c r="K45" i="6" s="1"/>
  <c r="A45" i="6"/>
  <c r="C45" i="6" s="1"/>
  <c r="P44" i="6"/>
  <c r="O44" i="6"/>
  <c r="J44" i="6"/>
  <c r="I44" i="6"/>
  <c r="K44" i="6" s="1"/>
  <c r="H44" i="6"/>
  <c r="Q44" i="6" s="1"/>
  <c r="B44" i="6"/>
  <c r="A44" i="6"/>
  <c r="C44" i="6" s="1"/>
  <c r="P43" i="6"/>
  <c r="O43" i="6"/>
  <c r="J43" i="6"/>
  <c r="H43" i="6"/>
  <c r="I43" i="6" s="1"/>
  <c r="K43" i="6" s="1"/>
  <c r="C43" i="6"/>
  <c r="B43" i="6"/>
  <c r="A43" i="6"/>
  <c r="Q42" i="6"/>
  <c r="P42" i="6"/>
  <c r="O42" i="6"/>
  <c r="J42" i="6"/>
  <c r="H42" i="6"/>
  <c r="I42" i="6" s="1"/>
  <c r="K42" i="6" s="1"/>
  <c r="A42" i="6"/>
  <c r="C42" i="6" s="1"/>
  <c r="Q41" i="6"/>
  <c r="P41" i="6"/>
  <c r="O41" i="6"/>
  <c r="K41" i="6"/>
  <c r="J41" i="6"/>
  <c r="H41" i="6"/>
  <c r="I41" i="6" s="1"/>
  <c r="A41" i="6"/>
  <c r="C41" i="6" s="1"/>
  <c r="Q40" i="6"/>
  <c r="P40" i="6"/>
  <c r="O40" i="6"/>
  <c r="J40" i="6"/>
  <c r="I40" i="6"/>
  <c r="K40" i="6" s="1"/>
  <c r="H40" i="6"/>
  <c r="B40" i="6"/>
  <c r="A40" i="6"/>
  <c r="C40" i="6" s="1"/>
  <c r="P39" i="6"/>
  <c r="O39" i="6"/>
  <c r="J39" i="6"/>
  <c r="H39" i="6"/>
  <c r="Q39" i="6" s="1"/>
  <c r="C39" i="6"/>
  <c r="B39" i="6"/>
  <c r="A39" i="6"/>
  <c r="Q38" i="6"/>
  <c r="P38" i="6"/>
  <c r="O38" i="6"/>
  <c r="J38" i="6"/>
  <c r="I38" i="6"/>
  <c r="K38" i="6" s="1"/>
  <c r="H38" i="6"/>
  <c r="B38" i="6"/>
  <c r="A38" i="6"/>
  <c r="C38" i="6" s="1"/>
  <c r="Q37" i="6"/>
  <c r="P37" i="6"/>
  <c r="O37" i="6"/>
  <c r="K37" i="6"/>
  <c r="J37" i="6"/>
  <c r="H37" i="6"/>
  <c r="I37" i="6" s="1"/>
  <c r="C37" i="6"/>
  <c r="A37" i="6"/>
  <c r="B37" i="6" s="1"/>
  <c r="P36" i="6"/>
  <c r="O36" i="6"/>
  <c r="J36" i="6"/>
  <c r="H36" i="6"/>
  <c r="I36" i="6" s="1"/>
  <c r="K36" i="6" s="1"/>
  <c r="C36" i="6"/>
  <c r="B36" i="6"/>
  <c r="A36" i="6"/>
  <c r="Q35" i="6"/>
  <c r="P35" i="6"/>
  <c r="O35" i="6"/>
  <c r="J35" i="6"/>
  <c r="H35" i="6"/>
  <c r="I35" i="6" s="1"/>
  <c r="K35" i="6" s="1"/>
  <c r="C35" i="6"/>
  <c r="B35" i="6"/>
  <c r="A35" i="6"/>
  <c r="Q34" i="6"/>
  <c r="P34" i="6"/>
  <c r="O34" i="6"/>
  <c r="J34" i="6"/>
  <c r="H34" i="6"/>
  <c r="I34" i="6" s="1"/>
  <c r="K34" i="6" s="1"/>
  <c r="B34" i="6"/>
  <c r="A34" i="6"/>
  <c r="C34" i="6" s="1"/>
  <c r="P33" i="6"/>
  <c r="O33" i="6"/>
  <c r="J33" i="6"/>
  <c r="H33" i="6"/>
  <c r="I33" i="6" s="1"/>
  <c r="K33" i="6" s="1"/>
  <c r="C33" i="6"/>
  <c r="B33" i="6"/>
  <c r="A33" i="6"/>
  <c r="P32" i="6"/>
  <c r="O32" i="6"/>
  <c r="J32" i="6"/>
  <c r="H32" i="6"/>
  <c r="Q32" i="6" s="1"/>
  <c r="A32" i="6"/>
  <c r="C32" i="6" s="1"/>
  <c r="Q31" i="6"/>
  <c r="P31" i="6"/>
  <c r="O31" i="6"/>
  <c r="J31" i="6"/>
  <c r="I31" i="6"/>
  <c r="K31" i="6" s="1"/>
  <c r="H31" i="6"/>
  <c r="C31" i="6"/>
  <c r="B31" i="6"/>
  <c r="A31" i="6"/>
  <c r="P30" i="6"/>
  <c r="O30" i="6"/>
  <c r="J30" i="6"/>
  <c r="I30" i="6"/>
  <c r="K30" i="6" s="1"/>
  <c r="H30" i="6"/>
  <c r="Q30" i="6" s="1"/>
  <c r="B30" i="6"/>
  <c r="A30" i="6"/>
  <c r="C30" i="6" s="1"/>
  <c r="Q29" i="6"/>
  <c r="P29" i="6"/>
  <c r="O29" i="6"/>
  <c r="J29" i="6"/>
  <c r="H29" i="6"/>
  <c r="I29" i="6" s="1"/>
  <c r="K29" i="6" s="1"/>
  <c r="A29" i="6"/>
  <c r="C29" i="6" s="1"/>
  <c r="Q28" i="6"/>
  <c r="P28" i="6"/>
  <c r="O28" i="6"/>
  <c r="J28" i="6"/>
  <c r="H28" i="6"/>
  <c r="I28" i="6" s="1"/>
  <c r="K28" i="6" s="1"/>
  <c r="A28" i="6"/>
  <c r="C28" i="6" s="1"/>
  <c r="Q27" i="6"/>
  <c r="P27" i="6"/>
  <c r="O27" i="6"/>
  <c r="J27" i="6"/>
  <c r="H27" i="6"/>
  <c r="I27" i="6" s="1"/>
  <c r="K27" i="6" s="1"/>
  <c r="C27" i="6"/>
  <c r="B27" i="6"/>
  <c r="A27" i="6"/>
  <c r="Q26" i="6"/>
  <c r="P26" i="6"/>
  <c r="O26" i="6"/>
  <c r="J26" i="6"/>
  <c r="I26" i="6"/>
  <c r="K26" i="6" s="1"/>
  <c r="H26" i="6"/>
  <c r="A26" i="6"/>
  <c r="C26" i="6" s="1"/>
  <c r="P25" i="6"/>
  <c r="O25" i="6"/>
  <c r="J25" i="6"/>
  <c r="H25" i="6"/>
  <c r="I25" i="6" s="1"/>
  <c r="K25" i="6" s="1"/>
  <c r="B25" i="6"/>
  <c r="A25" i="6"/>
  <c r="C25" i="6" s="1"/>
  <c r="Q24" i="6"/>
  <c r="P24" i="6"/>
  <c r="O24" i="6"/>
  <c r="J24" i="6"/>
  <c r="I24" i="6"/>
  <c r="H24" i="6"/>
  <c r="C24" i="6"/>
  <c r="A24" i="6"/>
  <c r="B24" i="6" s="1"/>
  <c r="P23" i="6"/>
  <c r="O23" i="6"/>
  <c r="J23" i="6"/>
  <c r="I23" i="6"/>
  <c r="K23" i="6" s="1"/>
  <c r="H23" i="6"/>
  <c r="Q23" i="6" s="1"/>
  <c r="C23" i="6"/>
  <c r="B23" i="6"/>
  <c r="A23" i="6"/>
  <c r="Q22" i="6"/>
  <c r="P22" i="6"/>
  <c r="O22" i="6"/>
  <c r="K22" i="6"/>
  <c r="J22" i="6"/>
  <c r="I22" i="6"/>
  <c r="H22" i="6"/>
  <c r="A22" i="6"/>
  <c r="C22" i="6" s="1"/>
  <c r="Q21" i="6"/>
  <c r="P21" i="6"/>
  <c r="O21" i="6"/>
  <c r="J21" i="6"/>
  <c r="K21" i="6" s="1"/>
  <c r="H21" i="6"/>
  <c r="I21" i="6" s="1"/>
  <c r="B21" i="6"/>
  <c r="A21" i="6"/>
  <c r="C21" i="6" s="1"/>
  <c r="P20" i="6"/>
  <c r="O20" i="6"/>
  <c r="J20" i="6"/>
  <c r="H20" i="6"/>
  <c r="Q20" i="6" s="1"/>
  <c r="C20" i="6"/>
  <c r="B20" i="6"/>
  <c r="A20" i="6"/>
  <c r="Q19" i="6"/>
  <c r="P19" i="6"/>
  <c r="O19" i="6"/>
  <c r="J19" i="6"/>
  <c r="I19" i="6"/>
  <c r="K19" i="6" s="1"/>
  <c r="H19" i="6"/>
  <c r="C19" i="6"/>
  <c r="B19" i="6"/>
  <c r="A19" i="6"/>
  <c r="P18" i="6"/>
  <c r="O18" i="6"/>
  <c r="J18" i="6"/>
  <c r="H18" i="6"/>
  <c r="I18" i="6" s="1"/>
  <c r="K18" i="6" s="1"/>
  <c r="A18" i="6"/>
  <c r="C18" i="6" s="1"/>
  <c r="P17" i="6"/>
  <c r="O17" i="6"/>
  <c r="J17" i="6"/>
  <c r="H17" i="6"/>
  <c r="I17" i="6" s="1"/>
  <c r="K17" i="6" s="1"/>
  <c r="C17" i="6"/>
  <c r="B17" i="6"/>
  <c r="A17" i="6"/>
  <c r="Q16" i="6"/>
  <c r="P16" i="6"/>
  <c r="O16" i="6"/>
  <c r="J16" i="6"/>
  <c r="I16" i="6"/>
  <c r="K16" i="6" s="1"/>
  <c r="H16" i="6"/>
  <c r="A16" i="6"/>
  <c r="C16" i="6" s="1"/>
  <c r="Q15" i="6"/>
  <c r="P15" i="6"/>
  <c r="O15" i="6"/>
  <c r="K15" i="6"/>
  <c r="J15" i="6"/>
  <c r="I15" i="6"/>
  <c r="H15" i="6"/>
  <c r="C15" i="6"/>
  <c r="B15" i="6"/>
  <c r="A15" i="6"/>
  <c r="P14" i="6"/>
  <c r="O14" i="6"/>
  <c r="J14" i="6"/>
  <c r="H14" i="6"/>
  <c r="Q14" i="6" s="1"/>
  <c r="B14" i="6"/>
  <c r="A14" i="6"/>
  <c r="C14" i="6" s="1"/>
  <c r="P13" i="6"/>
  <c r="O13" i="6"/>
  <c r="J13" i="6"/>
  <c r="H13" i="6"/>
  <c r="I13" i="6" s="1"/>
  <c r="K13" i="6" s="1"/>
  <c r="A13" i="6"/>
  <c r="C13" i="6" s="1"/>
  <c r="P12" i="6"/>
  <c r="O12" i="6"/>
  <c r="J12" i="6"/>
  <c r="I12" i="6"/>
  <c r="K12" i="6" s="1"/>
  <c r="H12" i="6"/>
  <c r="Q12" i="6" s="1"/>
  <c r="B12" i="6"/>
  <c r="A12" i="6"/>
  <c r="C12" i="6" s="1"/>
  <c r="P11" i="6"/>
  <c r="O11" i="6"/>
  <c r="J11" i="6"/>
  <c r="H11" i="6"/>
  <c r="I11" i="6" s="1"/>
  <c r="K11" i="6" s="1"/>
  <c r="C11" i="6"/>
  <c r="B11" i="6"/>
  <c r="A11" i="6"/>
  <c r="Q10" i="6"/>
  <c r="P10" i="6"/>
  <c r="O10" i="6"/>
  <c r="J10" i="6"/>
  <c r="H10" i="6"/>
  <c r="I10" i="6" s="1"/>
  <c r="K10" i="6" s="1"/>
  <c r="A10" i="6"/>
  <c r="C10" i="6" s="1"/>
  <c r="Q9" i="6"/>
  <c r="P9" i="6"/>
  <c r="O9" i="6"/>
  <c r="K9" i="6"/>
  <c r="J9" i="6"/>
  <c r="H9" i="6"/>
  <c r="I9" i="6" s="1"/>
  <c r="A9" i="6"/>
  <c r="C9" i="6" s="1"/>
  <c r="Q8" i="6"/>
  <c r="P8" i="6"/>
  <c r="O8" i="6"/>
  <c r="J8" i="6"/>
  <c r="H8" i="6"/>
  <c r="I8" i="6" s="1"/>
  <c r="K8" i="6" s="1"/>
  <c r="C8" i="6"/>
  <c r="B8" i="6"/>
  <c r="A8" i="6"/>
  <c r="P7" i="6"/>
  <c r="O7" i="6"/>
  <c r="J7" i="6"/>
  <c r="I7" i="6"/>
  <c r="K7" i="6" s="1"/>
  <c r="H7" i="6"/>
  <c r="Q7" i="6" s="1"/>
  <c r="B7" i="6"/>
  <c r="A7" i="6"/>
  <c r="C7" i="6" s="1"/>
  <c r="P6" i="6"/>
  <c r="O6" i="6"/>
  <c r="J6" i="6"/>
  <c r="H6" i="6"/>
  <c r="I6" i="6" s="1"/>
  <c r="K6" i="6" s="1"/>
  <c r="C6" i="6"/>
  <c r="B6" i="6"/>
  <c r="A6" i="6"/>
  <c r="Q5" i="6"/>
  <c r="P5" i="6"/>
  <c r="O5" i="6"/>
  <c r="J5" i="6"/>
  <c r="H5" i="6"/>
  <c r="I5" i="6" s="1"/>
  <c r="K5" i="6" s="1"/>
  <c r="A5" i="6"/>
  <c r="C5" i="6" s="1"/>
  <c r="Q4" i="6"/>
  <c r="P4" i="6"/>
  <c r="O4" i="6"/>
  <c r="J4" i="6"/>
  <c r="H4" i="6"/>
  <c r="I4" i="6" s="1"/>
  <c r="K4" i="6" s="1"/>
  <c r="C4" i="6"/>
  <c r="B4" i="6"/>
  <c r="A4" i="6"/>
  <c r="P3" i="6"/>
  <c r="O3" i="6"/>
  <c r="J3" i="6"/>
  <c r="I3" i="6"/>
  <c r="K3" i="6" s="1"/>
  <c r="H3" i="6"/>
  <c r="Q3" i="6" s="1"/>
  <c r="B3" i="6"/>
  <c r="A3" i="6"/>
  <c r="C3" i="6" s="1"/>
  <c r="P2" i="6"/>
  <c r="O2" i="6"/>
  <c r="J2" i="6"/>
  <c r="B5" i="11" s="1"/>
  <c r="H2" i="6"/>
  <c r="I2" i="6" s="1"/>
  <c r="C2" i="6"/>
  <c r="B2" i="6"/>
  <c r="A2" i="6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K2" i="6" l="1"/>
  <c r="I158" i="6"/>
  <c r="K158" i="6" s="1"/>
  <c r="Q158" i="6"/>
  <c r="I162" i="6"/>
  <c r="K162" i="6" s="1"/>
  <c r="Q162" i="6"/>
  <c r="I166" i="6"/>
  <c r="K166" i="6" s="1"/>
  <c r="Q166" i="6"/>
  <c r="Q179" i="6"/>
  <c r="I179" i="6"/>
  <c r="K179" i="6" s="1"/>
  <c r="C188" i="6"/>
  <c r="B188" i="6"/>
  <c r="C220" i="6"/>
  <c r="B220" i="6"/>
  <c r="B9" i="6"/>
  <c r="I14" i="6"/>
  <c r="K14" i="6" s="1"/>
  <c r="B22" i="6"/>
  <c r="B28" i="6"/>
  <c r="I32" i="6"/>
  <c r="K32" i="6" s="1"/>
  <c r="I39" i="6"/>
  <c r="K39" i="6" s="1"/>
  <c r="B41" i="6"/>
  <c r="I46" i="6"/>
  <c r="K46" i="6" s="1"/>
  <c r="B54" i="6"/>
  <c r="B60" i="6"/>
  <c r="I64" i="6"/>
  <c r="K64" i="6" s="1"/>
  <c r="I71" i="6"/>
  <c r="K71" i="6" s="1"/>
  <c r="B73" i="6"/>
  <c r="I78" i="6"/>
  <c r="K78" i="6" s="1"/>
  <c r="B86" i="6"/>
  <c r="B92" i="6"/>
  <c r="I96" i="6"/>
  <c r="K96" i="6" s="1"/>
  <c r="I103" i="6"/>
  <c r="K103" i="6" s="1"/>
  <c r="B105" i="6"/>
  <c r="I110" i="6"/>
  <c r="K110" i="6" s="1"/>
  <c r="Q113" i="6"/>
  <c r="I119" i="6"/>
  <c r="K119" i="6" s="1"/>
  <c r="B121" i="6"/>
  <c r="B122" i="6"/>
  <c r="I128" i="6"/>
  <c r="K128" i="6" s="1"/>
  <c r="Q145" i="6"/>
  <c r="I152" i="6"/>
  <c r="K152" i="6" s="1"/>
  <c r="I168" i="6"/>
  <c r="K168" i="6" s="1"/>
  <c r="C175" i="6"/>
  <c r="B175" i="6"/>
  <c r="B187" i="6"/>
  <c r="B200" i="6"/>
  <c r="Q211" i="6"/>
  <c r="I211" i="6"/>
  <c r="K211" i="6" s="1"/>
  <c r="B219" i="6"/>
  <c r="I252" i="6"/>
  <c r="K252" i="6" s="1"/>
  <c r="Q252" i="6"/>
  <c r="K287" i="6"/>
  <c r="C313" i="6"/>
  <c r="B313" i="6"/>
  <c r="B5" i="6"/>
  <c r="B3" i="11"/>
  <c r="B10" i="6"/>
  <c r="B16" i="6"/>
  <c r="Q17" i="6"/>
  <c r="I20" i="6"/>
  <c r="K20" i="6" s="1"/>
  <c r="B29" i="6"/>
  <c r="Q36" i="6"/>
  <c r="B42" i="6"/>
  <c r="B48" i="6"/>
  <c r="Q49" i="6"/>
  <c r="I52" i="6"/>
  <c r="K52" i="6" s="1"/>
  <c r="I59" i="6"/>
  <c r="K59" i="6" s="1"/>
  <c r="B61" i="6"/>
  <c r="Q68" i="6"/>
  <c r="B74" i="6"/>
  <c r="B80" i="6"/>
  <c r="Q81" i="6"/>
  <c r="I84" i="6"/>
  <c r="K84" i="6" s="1"/>
  <c r="I91" i="6"/>
  <c r="K91" i="6" s="1"/>
  <c r="B93" i="6"/>
  <c r="Q100" i="6"/>
  <c r="B106" i="6"/>
  <c r="Q124" i="6"/>
  <c r="Q126" i="6"/>
  <c r="I131" i="6"/>
  <c r="K131" i="6" s="1"/>
  <c r="B133" i="6"/>
  <c r="B134" i="6"/>
  <c r="I140" i="6"/>
  <c r="K140" i="6" s="1"/>
  <c r="K141" i="6"/>
  <c r="I156" i="6"/>
  <c r="K156" i="6" s="1"/>
  <c r="K157" i="6"/>
  <c r="K161" i="6"/>
  <c r="K165" i="6"/>
  <c r="C207" i="6"/>
  <c r="B207" i="6"/>
  <c r="K210" i="6"/>
  <c r="I251" i="6"/>
  <c r="K251" i="6" s="1"/>
  <c r="I451" i="6"/>
  <c r="K451" i="6" s="1"/>
  <c r="Q451" i="6"/>
  <c r="Q494" i="6"/>
  <c r="I494" i="6"/>
  <c r="K494" i="6" s="1"/>
  <c r="Q2" i="6"/>
  <c r="Q6" i="6"/>
  <c r="Q11" i="6"/>
  <c r="Q18" i="6"/>
  <c r="Q43" i="6"/>
  <c r="Q50" i="6"/>
  <c r="Q75" i="6"/>
  <c r="Q82" i="6"/>
  <c r="Q107" i="6"/>
  <c r="Q115" i="6"/>
  <c r="Q137" i="6"/>
  <c r="Q147" i="6"/>
  <c r="C184" i="6"/>
  <c r="B184" i="6"/>
  <c r="I186" i="6"/>
  <c r="K186" i="6" s="1"/>
  <c r="Q186" i="6"/>
  <c r="Q237" i="6"/>
  <c r="I237" i="6"/>
  <c r="K237" i="6" s="1"/>
  <c r="K249" i="6"/>
  <c r="I250" i="6"/>
  <c r="K250" i="6" s="1"/>
  <c r="Q250" i="6"/>
  <c r="C257" i="6"/>
  <c r="B257" i="6"/>
  <c r="Q269" i="6"/>
  <c r="I269" i="6"/>
  <c r="K269" i="6" s="1"/>
  <c r="K283" i="6"/>
  <c r="I361" i="6"/>
  <c r="K361" i="6" s="1"/>
  <c r="Q361" i="6"/>
  <c r="B18" i="6"/>
  <c r="Q25" i="6"/>
  <c r="B50" i="6"/>
  <c r="Q57" i="6"/>
  <c r="B82" i="6"/>
  <c r="Q89" i="6"/>
  <c r="Q117" i="6"/>
  <c r="Q118" i="6"/>
  <c r="B126" i="6"/>
  <c r="K133" i="6"/>
  <c r="K174" i="6"/>
  <c r="K185" i="6"/>
  <c r="I218" i="6"/>
  <c r="K218" i="6" s="1"/>
  <c r="Q218" i="6"/>
  <c r="Q414" i="6"/>
  <c r="I414" i="6"/>
  <c r="K414" i="6" s="1"/>
  <c r="Q45" i="6"/>
  <c r="Q77" i="6"/>
  <c r="Q109" i="6"/>
  <c r="Q129" i="6"/>
  <c r="Q130" i="6"/>
  <c r="C150" i="6"/>
  <c r="B150" i="6"/>
  <c r="C170" i="6"/>
  <c r="B170" i="6"/>
  <c r="I193" i="6"/>
  <c r="K193" i="6" s="1"/>
  <c r="Q193" i="6"/>
  <c r="I225" i="6"/>
  <c r="K225" i="6" s="1"/>
  <c r="Q225" i="6"/>
  <c r="I236" i="6"/>
  <c r="K236" i="6" s="1"/>
  <c r="Q236" i="6"/>
  <c r="I268" i="6"/>
  <c r="K268" i="6" s="1"/>
  <c r="Q268" i="6"/>
  <c r="I344" i="6"/>
  <c r="K344" i="6" s="1"/>
  <c r="Q344" i="6"/>
  <c r="Q13" i="6"/>
  <c r="B13" i="6"/>
  <c r="B26" i="6"/>
  <c r="B32" i="6"/>
  <c r="Q33" i="6"/>
  <c r="B45" i="6"/>
  <c r="B58" i="6"/>
  <c r="B64" i="6"/>
  <c r="Q65" i="6"/>
  <c r="B77" i="6"/>
  <c r="B90" i="6"/>
  <c r="B96" i="6"/>
  <c r="Q97" i="6"/>
  <c r="B109" i="6"/>
  <c r="B117" i="6"/>
  <c r="B118" i="6"/>
  <c r="K125" i="6"/>
  <c r="Q141" i="6"/>
  <c r="Q142" i="6"/>
  <c r="B149" i="6"/>
  <c r="I150" i="6"/>
  <c r="K150" i="6" s="1"/>
  <c r="Q150" i="6"/>
  <c r="C154" i="6"/>
  <c r="B154" i="6"/>
  <c r="I170" i="6"/>
  <c r="K170" i="6" s="1"/>
  <c r="Q170" i="6"/>
  <c r="I172" i="6"/>
  <c r="K172" i="6" s="1"/>
  <c r="Q172" i="6"/>
  <c r="Q175" i="6"/>
  <c r="B181" i="6"/>
  <c r="I205" i="6"/>
  <c r="K205" i="6" s="1"/>
  <c r="I235" i="6"/>
  <c r="K235" i="6" s="1"/>
  <c r="I267" i="6"/>
  <c r="K267" i="6" s="1"/>
  <c r="K24" i="6"/>
  <c r="K56" i="6"/>
  <c r="K88" i="6"/>
  <c r="K136" i="6"/>
  <c r="K137" i="6"/>
  <c r="I154" i="6"/>
  <c r="K154" i="6" s="1"/>
  <c r="Q154" i="6"/>
  <c r="C158" i="6"/>
  <c r="B158" i="6"/>
  <c r="C162" i="6"/>
  <c r="B162" i="6"/>
  <c r="C166" i="6"/>
  <c r="B166" i="6"/>
  <c r="K181" i="6"/>
  <c r="I182" i="6"/>
  <c r="K182" i="6" s="1"/>
  <c r="Q182" i="6"/>
  <c r="I192" i="6"/>
  <c r="K192" i="6" s="1"/>
  <c r="Q192" i="6"/>
  <c r="C201" i="6"/>
  <c r="B201" i="6"/>
  <c r="I204" i="6"/>
  <c r="K204" i="6" s="1"/>
  <c r="Q204" i="6"/>
  <c r="I224" i="6"/>
  <c r="K224" i="6" s="1"/>
  <c r="Q224" i="6"/>
  <c r="K233" i="6"/>
  <c r="I234" i="6"/>
  <c r="K234" i="6" s="1"/>
  <c r="Q234" i="6"/>
  <c r="C241" i="6"/>
  <c r="B241" i="6"/>
  <c r="Q253" i="6"/>
  <c r="I253" i="6"/>
  <c r="K253" i="6" s="1"/>
  <c r="K265" i="6"/>
  <c r="I266" i="6"/>
  <c r="K266" i="6" s="1"/>
  <c r="Q266" i="6"/>
  <c r="C273" i="6"/>
  <c r="B273" i="6"/>
  <c r="K292" i="6"/>
  <c r="K183" i="6"/>
  <c r="K215" i="6"/>
  <c r="K231" i="6"/>
  <c r="K247" i="6"/>
  <c r="K263" i="6"/>
  <c r="K279" i="6"/>
  <c r="C291" i="6"/>
  <c r="B291" i="6"/>
  <c r="I297" i="6"/>
  <c r="K297" i="6" s="1"/>
  <c r="I299" i="6"/>
  <c r="K299" i="6" s="1"/>
  <c r="C316" i="6"/>
  <c r="B316" i="6"/>
  <c r="K338" i="6"/>
  <c r="I345" i="6"/>
  <c r="K345" i="6" s="1"/>
  <c r="Q345" i="6"/>
  <c r="I389" i="6"/>
  <c r="K389" i="6" s="1"/>
  <c r="Q389" i="6"/>
  <c r="C422" i="6"/>
  <c r="B422" i="6"/>
  <c r="Q442" i="6"/>
  <c r="I442" i="6"/>
  <c r="K442" i="6" s="1"/>
  <c r="C500" i="6"/>
  <c r="B500" i="6"/>
  <c r="Q176" i="6"/>
  <c r="Q189" i="6"/>
  <c r="Q195" i="6"/>
  <c r="Q208" i="6"/>
  <c r="Q214" i="6"/>
  <c r="Q221" i="6"/>
  <c r="Q228" i="6"/>
  <c r="Q229" i="6"/>
  <c r="Q244" i="6"/>
  <c r="Q245" i="6"/>
  <c r="Q260" i="6"/>
  <c r="Q261" i="6"/>
  <c r="Q276" i="6"/>
  <c r="C329" i="6"/>
  <c r="B329" i="6"/>
  <c r="I332" i="6"/>
  <c r="K332" i="6" s="1"/>
  <c r="Q332" i="6"/>
  <c r="C348" i="6"/>
  <c r="B348" i="6"/>
  <c r="I360" i="6"/>
  <c r="K360" i="6" s="1"/>
  <c r="Q360" i="6"/>
  <c r="C410" i="6"/>
  <c r="B410" i="6"/>
  <c r="Q490" i="6"/>
  <c r="I490" i="6"/>
  <c r="K490" i="6" s="1"/>
  <c r="Q177" i="6"/>
  <c r="B189" i="6"/>
  <c r="Q196" i="6"/>
  <c r="Q202" i="6"/>
  <c r="Q209" i="6"/>
  <c r="B221" i="6"/>
  <c r="B227" i="6"/>
  <c r="Q230" i="6"/>
  <c r="B243" i="6"/>
  <c r="Q246" i="6"/>
  <c r="B259" i="6"/>
  <c r="Q262" i="6"/>
  <c r="B275" i="6"/>
  <c r="Q278" i="6"/>
  <c r="K313" i="6"/>
  <c r="I314" i="6"/>
  <c r="K314" i="6" s="1"/>
  <c r="Q314" i="6"/>
  <c r="B328" i="6"/>
  <c r="K341" i="6"/>
  <c r="Q342" i="6"/>
  <c r="I342" i="6"/>
  <c r="K342" i="6" s="1"/>
  <c r="C364" i="6"/>
  <c r="B364" i="6"/>
  <c r="C404" i="6"/>
  <c r="B404" i="6"/>
  <c r="B301" i="6"/>
  <c r="C301" i="6"/>
  <c r="C303" i="6"/>
  <c r="B303" i="6"/>
  <c r="I305" i="6"/>
  <c r="K305" i="6" s="1"/>
  <c r="Q305" i="6"/>
  <c r="Q307" i="6"/>
  <c r="I307" i="6"/>
  <c r="K307" i="6" s="1"/>
  <c r="I321" i="6"/>
  <c r="K321" i="6" s="1"/>
  <c r="Q321" i="6"/>
  <c r="C347" i="6"/>
  <c r="B347" i="6"/>
  <c r="Q358" i="6"/>
  <c r="I358" i="6"/>
  <c r="K358" i="6" s="1"/>
  <c r="I427" i="6"/>
  <c r="K427" i="6" s="1"/>
  <c r="Q427" i="6"/>
  <c r="B197" i="6"/>
  <c r="B203" i="6"/>
  <c r="B216" i="6"/>
  <c r="B231" i="6"/>
  <c r="B247" i="6"/>
  <c r="B263" i="6"/>
  <c r="B279" i="6"/>
  <c r="B297" i="6"/>
  <c r="C297" i="6"/>
  <c r="C299" i="6"/>
  <c r="B299" i="6"/>
  <c r="B319" i="6"/>
  <c r="C319" i="6"/>
  <c r="I326" i="6"/>
  <c r="K326" i="6" s="1"/>
  <c r="I339" i="6"/>
  <c r="K339" i="6" s="1"/>
  <c r="Q339" i="6"/>
  <c r="C363" i="6"/>
  <c r="B363" i="6"/>
  <c r="I396" i="6"/>
  <c r="K396" i="6" s="1"/>
  <c r="Q396" i="6"/>
  <c r="C403" i="6"/>
  <c r="B403" i="6"/>
  <c r="C423" i="6"/>
  <c r="B423" i="6"/>
  <c r="I426" i="6"/>
  <c r="K426" i="6" s="1"/>
  <c r="B185" i="6"/>
  <c r="B217" i="6"/>
  <c r="B233" i="6"/>
  <c r="B249" i="6"/>
  <c r="B265" i="6"/>
  <c r="K277" i="6"/>
  <c r="B281" i="6"/>
  <c r="C283" i="6"/>
  <c r="B283" i="6"/>
  <c r="B285" i="6"/>
  <c r="C287" i="6"/>
  <c r="B287" i="6"/>
  <c r="B289" i="6"/>
  <c r="B293" i="6"/>
  <c r="C293" i="6"/>
  <c r="C295" i="6"/>
  <c r="B295" i="6"/>
  <c r="I301" i="6"/>
  <c r="K301" i="6" s="1"/>
  <c r="I304" i="6"/>
  <c r="K304" i="6" s="1"/>
  <c r="Q304" i="6"/>
  <c r="I320" i="6"/>
  <c r="K320" i="6" s="1"/>
  <c r="Q320" i="6"/>
  <c r="C335" i="6"/>
  <c r="B335" i="6"/>
  <c r="I355" i="6"/>
  <c r="K355" i="6" s="1"/>
  <c r="Q355" i="6"/>
  <c r="C464" i="6"/>
  <c r="B464" i="6"/>
  <c r="Q308" i="6"/>
  <c r="C332" i="6"/>
  <c r="B333" i="6"/>
  <c r="C339" i="6"/>
  <c r="C355" i="6"/>
  <c r="I382" i="6"/>
  <c r="K382" i="6" s="1"/>
  <c r="I407" i="6"/>
  <c r="K407" i="6" s="1"/>
  <c r="Q407" i="6"/>
  <c r="B435" i="6"/>
  <c r="I453" i="6"/>
  <c r="K453" i="6" s="1"/>
  <c r="I470" i="6"/>
  <c r="K470" i="6" s="1"/>
  <c r="Q323" i="6"/>
  <c r="Q336" i="6"/>
  <c r="K343" i="6"/>
  <c r="Q350" i="6"/>
  <c r="Q351" i="6"/>
  <c r="Q352" i="6"/>
  <c r="K359" i="6"/>
  <c r="Q378" i="6"/>
  <c r="K327" i="6"/>
  <c r="Q330" i="6"/>
  <c r="Q337" i="6"/>
  <c r="Q353" i="6"/>
  <c r="B368" i="6"/>
  <c r="B372" i="6"/>
  <c r="B376" i="6"/>
  <c r="C380" i="6"/>
  <c r="B380" i="6"/>
  <c r="B384" i="6"/>
  <c r="I395" i="6"/>
  <c r="K395" i="6" s="1"/>
  <c r="Q395" i="6"/>
  <c r="I433" i="6"/>
  <c r="K433" i="6" s="1"/>
  <c r="K450" i="6"/>
  <c r="K456" i="6"/>
  <c r="I486" i="6"/>
  <c r="K486" i="6" s="1"/>
  <c r="K315" i="6"/>
  <c r="K346" i="6"/>
  <c r="K347" i="6"/>
  <c r="K362" i="6"/>
  <c r="C391" i="6"/>
  <c r="B391" i="6"/>
  <c r="I482" i="6"/>
  <c r="K482" i="6" s="1"/>
  <c r="I377" i="6"/>
  <c r="K377" i="6" s="1"/>
  <c r="I408" i="6"/>
  <c r="K408" i="6" s="1"/>
  <c r="B416" i="6"/>
  <c r="K420" i="6"/>
  <c r="I421" i="6"/>
  <c r="K421" i="6" s="1"/>
  <c r="Q421" i="6"/>
  <c r="C436" i="6"/>
  <c r="B436" i="6"/>
  <c r="I444" i="6"/>
  <c r="K444" i="6" s="1"/>
  <c r="Q444" i="6"/>
  <c r="I478" i="6"/>
  <c r="K478" i="6" s="1"/>
  <c r="B340" i="6"/>
  <c r="B356" i="6"/>
  <c r="B390" i="6"/>
  <c r="I428" i="6"/>
  <c r="K428" i="6" s="1"/>
  <c r="Q428" i="6"/>
  <c r="Q454" i="6"/>
  <c r="I454" i="6"/>
  <c r="K454" i="6" s="1"/>
  <c r="I474" i="6"/>
  <c r="K474" i="6" s="1"/>
  <c r="C369" i="6"/>
  <c r="C373" i="6"/>
  <c r="C377" i="6"/>
  <c r="Q383" i="6"/>
  <c r="K386" i="6"/>
  <c r="C394" i="6"/>
  <c r="Q402" i="6"/>
  <c r="C407" i="6"/>
  <c r="B408" i="6"/>
  <c r="Q415" i="6"/>
  <c r="K418" i="6"/>
  <c r="C426" i="6"/>
  <c r="Q434" i="6"/>
  <c r="K438" i="6"/>
  <c r="K439" i="6"/>
  <c r="C451" i="6"/>
  <c r="C456" i="6"/>
  <c r="B456" i="6"/>
  <c r="C460" i="6"/>
  <c r="B460" i="6"/>
  <c r="C468" i="6"/>
  <c r="B468" i="6"/>
  <c r="C472" i="6"/>
  <c r="B472" i="6"/>
  <c r="C476" i="6"/>
  <c r="B476" i="6"/>
  <c r="C480" i="6"/>
  <c r="B480" i="6"/>
  <c r="C484" i="6"/>
  <c r="B484" i="6"/>
  <c r="C488" i="6"/>
  <c r="B488" i="6"/>
  <c r="C492" i="6"/>
  <c r="B492" i="6"/>
  <c r="C496" i="6"/>
  <c r="B496" i="6"/>
  <c r="B392" i="6"/>
  <c r="B398" i="6"/>
  <c r="B424" i="6"/>
  <c r="B430" i="6"/>
  <c r="B447" i="6"/>
  <c r="B448" i="6"/>
  <c r="I458" i="6"/>
  <c r="K458" i="6" s="1"/>
  <c r="I466" i="6"/>
  <c r="K466" i="6" s="1"/>
  <c r="B386" i="6"/>
  <c r="B399" i="6"/>
  <c r="B412" i="6"/>
  <c r="B418" i="6"/>
  <c r="B431" i="6"/>
  <c r="B387" i="6"/>
  <c r="B400" i="6"/>
  <c r="B406" i="6"/>
  <c r="B432" i="6"/>
  <c r="B388" i="6"/>
  <c r="B420" i="6"/>
  <c r="Q443" i="6"/>
  <c r="B452" i="6"/>
  <c r="Q500" i="6"/>
  <c r="I499" i="6"/>
  <c r="K499" i="6" s="1"/>
  <c r="B498" i="6"/>
  <c r="B9" i="11" l="1"/>
  <c r="B4" i="11"/>
  <c r="B8" i="11" l="1"/>
  <c r="B6" i="11"/>
</calcChain>
</file>

<file path=xl/sharedStrings.xml><?xml version="1.0" encoding="utf-8"?>
<sst xmlns="http://schemas.openxmlformats.org/spreadsheetml/2006/main" count="1137" uniqueCount="109">
  <si>
    <t>CARNE PREMIUM ERP</t>
  </si>
  <si>
    <t>MVP 0.1.5</t>
  </si>
  <si>
    <t>Flujo</t>
  </si>
  <si>
    <t>Cliente → Producto → Kg → Motor Comercial → Precio → Venta</t>
  </si>
  <si>
    <t>Paso 1</t>
  </si>
  <si>
    <t>Escribir nombre del cliente</t>
  </si>
  <si>
    <t>Paso 2</t>
  </si>
  <si>
    <t>Escribir nombre del producto</t>
  </si>
  <si>
    <t>Paso 3</t>
  </si>
  <si>
    <t>Cargar Kg</t>
  </si>
  <si>
    <t>Paso 4</t>
  </si>
  <si>
    <t>El motor determina el precio</t>
  </si>
  <si>
    <t>Paso 5</t>
  </si>
  <si>
    <t>Verificar precio aplicado y motivo</t>
  </si>
  <si>
    <t>Estado</t>
  </si>
  <si>
    <t>Compatibilidad</t>
  </si>
  <si>
    <t>Excel 2019 + Google Sheets</t>
  </si>
  <si>
    <t>Parametro</t>
  </si>
  <si>
    <t>Valor</t>
  </si>
  <si>
    <t>Empresa</t>
  </si>
  <si>
    <t>Carne Premium</t>
  </si>
  <si>
    <t>Moneda</t>
  </si>
  <si>
    <t>ARS</t>
  </si>
  <si>
    <t>TipoPrecioDefault</t>
  </si>
  <si>
    <t>Minorista</t>
  </si>
  <si>
    <t>MedioPagoDefault</t>
  </si>
  <si>
    <t>Efectivo</t>
  </si>
  <si>
    <t>IVA</t>
  </si>
  <si>
    <t>TiposPrecio</t>
  </si>
  <si>
    <t>TiposCliente</t>
  </si>
  <si>
    <t>MediosPago</t>
  </si>
  <si>
    <t>Estados</t>
  </si>
  <si>
    <t>Activo</t>
  </si>
  <si>
    <t>Mayorista</t>
  </si>
  <si>
    <t>Transferencia</t>
  </si>
  <si>
    <t>Inactivo</t>
  </si>
  <si>
    <t>Especial</t>
  </si>
  <si>
    <t>Cuenta Corriente</t>
  </si>
  <si>
    <t>Tarjeta</t>
  </si>
  <si>
    <t>Otro</t>
  </si>
  <si>
    <t>ClienteID</t>
  </si>
  <si>
    <t>Nombre</t>
  </si>
  <si>
    <t>Telefono</t>
  </si>
  <si>
    <t>Direccion</t>
  </si>
  <si>
    <t>TipoCliente</t>
  </si>
  <si>
    <t>Observaciones</t>
  </si>
  <si>
    <t>ProductoID</t>
  </si>
  <si>
    <t>Producto</t>
  </si>
  <si>
    <t>Categoria</t>
  </si>
  <si>
    <t>Costo</t>
  </si>
  <si>
    <t>PrecioMinorista</t>
  </si>
  <si>
    <t>PrecioMayorista</t>
  </si>
  <si>
    <t>PrecioEspecial</t>
  </si>
  <si>
    <t>VentaID</t>
  </si>
  <si>
    <t>Fecha</t>
  </si>
  <si>
    <t>Hora</t>
  </si>
  <si>
    <t>Cliente</t>
  </si>
  <si>
    <t>TipoPrecio</t>
  </si>
  <si>
    <t>Kg</t>
  </si>
  <si>
    <t>PrecioKg</t>
  </si>
  <si>
    <t>Importe</t>
  </si>
  <si>
    <t>Ganancia$</t>
  </si>
  <si>
    <t>Ganancia%</t>
  </si>
  <si>
    <t>MedioPago</t>
  </si>
  <si>
    <t>Vendedor</t>
  </si>
  <si>
    <t>_ClienteID</t>
  </si>
  <si>
    <t>_ProductoID</t>
  </si>
  <si>
    <t>EstadoVenta</t>
  </si>
  <si>
    <t>TipoAplicado</t>
  </si>
  <si>
    <t>MotivoPrecio</t>
  </si>
  <si>
    <t>OfertaID</t>
  </si>
  <si>
    <t>OfertaNombre</t>
  </si>
  <si>
    <t>CARNE PREMIUM ERP - DASHBOARD OPERATIVO</t>
  </si>
  <si>
    <t>Ventas registradas</t>
  </si>
  <si>
    <t>Facturación</t>
  </si>
  <si>
    <t>Ganancia</t>
  </si>
  <si>
    <t>Margen</t>
  </si>
  <si>
    <t>Kg vendidos</t>
  </si>
  <si>
    <t>Ticket promedio</t>
  </si>
  <si>
    <t>Ventas con error</t>
  </si>
  <si>
    <t>Campo</t>
  </si>
  <si>
    <t>Versión</t>
  </si>
  <si>
    <t>0.1.5</t>
  </si>
  <si>
    <t>Build</t>
  </si>
  <si>
    <t>MVP 0.1.5 - Ofertas automáticas en Ventas</t>
  </si>
  <si>
    <t>Generado y validado</t>
  </si>
  <si>
    <t>BuildToken</t>
  </si>
  <si>
    <t>0.1.5-20260902195723</t>
  </si>
  <si>
    <t>Generado</t>
  </si>
  <si>
    <t>2026-09-02T19:23:16</t>
  </si>
  <si>
    <t>Acción</t>
  </si>
  <si>
    <t>Detalle</t>
  </si>
  <si>
    <t>0.1.1</t>
  </si>
  <si>
    <t>BUILD</t>
  </si>
  <si>
    <t>0.1.1-20260826-193631-64b74852</t>
  </si>
  <si>
    <t>0.1.1-20260826-195455-7d9ebd26</t>
  </si>
  <si>
    <t>0.1.2</t>
  </si>
  <si>
    <t>0.1.2-20260831-105229-c07138aa</t>
  </si>
  <si>
    <t>0.1.2-20260831-105716-f5bbeaf2</t>
  </si>
  <si>
    <t>0.1.2-20260901-113839-61339b82</t>
  </si>
  <si>
    <t>0.1.5-20260901-114643-93592eee</t>
  </si>
  <si>
    <t>0.1.5-20260902-192316-28e5886b</t>
  </si>
  <si>
    <t>NombreOferta</t>
  </si>
  <si>
    <t>PrecioOferta</t>
  </si>
  <si>
    <t>Descuento%</t>
  </si>
  <si>
    <t>FechaInicio</t>
  </si>
  <si>
    <t>FechaFin</t>
  </si>
  <si>
    <t>MinKg</t>
  </si>
  <si>
    <t>Prioridad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</si>
</sst>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\ #,##0.00"/>
    <numFmt numFmtId="165" formatCode="hh:mm:ss"/>
    <numFmt numFmtId="166" formatCode="0.000"/>
    <numFmt numFmtId="167" formatCode="0.0%"/>
    <numFmt numFmtId="168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A3E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3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ientesTable" displayName="ClientesTable" ref="A1:G501">
  <autoFilter ref="A1:G501" xr:uid="{00000000-0009-0000-0100-000001000000}"/>
  <tableColumns count="7">
    <tableColumn id="1" xr3:uid="{00000000-0010-0000-0000-000001000000}" name="ClienteID"/>
    <tableColumn id="2" xr3:uid="{00000000-0010-0000-0000-000002000000}" name="Nombre"/>
    <tableColumn id="3" xr3:uid="{00000000-0010-0000-0000-000003000000}" name="Telefono"/>
    <tableColumn id="4" xr3:uid="{00000000-0010-0000-0000-000004000000}" name="Direccion"/>
    <tableColumn id="5" xr3:uid="{00000000-0010-0000-0000-000005000000}" name="TipoCliente"/>
    <tableColumn id="6" xr3:uid="{00000000-0010-0000-0000-000006000000}" name="Estado"/>
    <tableColumn id="7" xr3:uid="{00000000-0010-0000-0000-000007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osTable" displayName="ProductosTable" ref="A1:I501">
  <autoFilter ref="A1:I501" xr:uid="{00000000-0009-0000-0100-000002000000}"/>
  <tableColumns count="9">
    <tableColumn id="1" xr3:uid="{00000000-0010-0000-0100-000001000000}" name="ProductoID"/>
    <tableColumn id="2" xr3:uid="{00000000-0010-0000-0100-000002000000}" name="Producto"/>
    <tableColumn id="3" xr3:uid="{00000000-0010-0000-0100-000003000000}" name="Categoria"/>
    <tableColumn id="4" xr3:uid="{00000000-0010-0000-0100-000004000000}" name="Costo"/>
    <tableColumn id="5" xr3:uid="{00000000-0010-0000-0100-000005000000}" name="PrecioMinorista"/>
    <tableColumn id="6" xr3:uid="{00000000-0010-0000-0100-000006000000}" name="PrecioMayorista"/>
    <tableColumn id="7" xr3:uid="{00000000-0010-0000-0100-000007000000}" name="PrecioEspecial"/>
    <tableColumn id="8" xr3:uid="{00000000-0010-0000-0100-000008000000}" name="Estado"/>
    <tableColumn id="9" xr3:uid="{00000000-0010-0000-0100-000009000000}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entasTable" displayName="VentasTable" ref="A1:U501">
  <autoFilter ref="A1:U501" xr:uid="{00000000-0009-0000-0100-000003000000}"/>
  <tableColumns count="21">
    <tableColumn id="1" xr3:uid="{00000000-0010-0000-0200-000001000000}" name="VentaID"/>
    <tableColumn id="2" xr3:uid="{00000000-0010-0000-0200-000002000000}" name="Fecha"/>
    <tableColumn id="3" xr3:uid="{00000000-0010-0000-0200-000003000000}" name="Hora"/>
    <tableColumn id="4" xr3:uid="{00000000-0010-0000-0200-000004000000}" name="Cliente"/>
    <tableColumn id="5" xr3:uid="{00000000-0010-0000-0200-000005000000}" name="TipoPrecio"/>
    <tableColumn id="6" xr3:uid="{00000000-0010-0000-0200-000006000000}" name="Producto"/>
    <tableColumn id="7" xr3:uid="{00000000-0010-0000-0200-000007000000}" name="Kg"/>
    <tableColumn id="8" xr3:uid="{00000000-0010-0000-0200-000008000000}" name="PrecioKg"/>
    <tableColumn id="9" xr3:uid="{00000000-0010-0000-0200-000009000000}" name="Importe"/>
    <tableColumn id="10" xr3:uid="{00000000-0010-0000-0200-00000A000000}" name="Ganancia$"/>
    <tableColumn id="11" xr3:uid="{00000000-0010-0000-0200-00000B000000}" name="Ganancia%"/>
    <tableColumn id="12" xr3:uid="{00000000-0010-0000-0200-00000C000000}" name="MedioPago"/>
    <tableColumn id="13" xr3:uid="{00000000-0010-0000-0200-00000D000000}" name="Vendedor"/>
    <tableColumn id="14" xr3:uid="{00000000-0010-0000-0200-00000E000000}" name="Observaciones"/>
    <tableColumn id="15" xr3:uid="{00000000-0010-0000-0200-00000F000000}" name="_ClienteID"/>
    <tableColumn id="16" xr3:uid="{00000000-0010-0000-0200-000010000000}" name="_ProductoID"/>
    <tableColumn id="17" xr3:uid="{00000000-0010-0000-0200-000011000000}" name="EstadoVenta"/>
    <tableColumn id="18" xr3:uid="{00000000-0010-0000-0200-000012000000}" name="TipoAplicado"/>
    <tableColumn id="19" xr3:uid="{00000000-0010-0000-0200-000013000000}" name="MotivoPrecio"/>
    <tableColumn id="20" xr3:uid="{00000000-0010-0000-0200-000014000000}" name="OfertaID"/>
    <tableColumn id="21" xr3:uid="{00000000-0010-0000-0200-000015000000}" name="OfertaNomb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fertasTable" displayName="OfertasTable" ref="A1:K501">
  <autoFilter ref="A1:K501" xr:uid="{00000000-0009-0000-0100-000004000000}"/>
  <tableColumns count="11">
    <tableColumn id="1" xr3:uid="{00000000-0010-0000-0300-000001000000}" name="OfertaID"/>
    <tableColumn id="2" xr3:uid="{00000000-0010-0000-0300-000002000000}" name="ProductoID"/>
    <tableColumn id="3" xr3:uid="{00000000-0010-0000-0300-000003000000}" name="Producto"/>
    <tableColumn id="4" xr3:uid="{00000000-0010-0000-0300-000004000000}" name="NombreOferta"/>
    <tableColumn id="5" xr3:uid="{00000000-0010-0000-0300-000005000000}" name="PrecioOferta"/>
    <tableColumn id="6" xr3:uid="{00000000-0010-0000-0300-000006000000}" name="Descuento%"/>
    <tableColumn id="7" xr3:uid="{00000000-0010-0000-0300-000007000000}" name="FechaInicio"/>
    <tableColumn id="8" xr3:uid="{00000000-0010-0000-0300-000008000000}" name="FechaFin"/>
    <tableColumn id="9" xr3:uid="{00000000-0010-0000-0300-000009000000}" name="MinKg"/>
    <tableColumn id="10" xr3:uid="{00000000-0010-0000-0300-00000A000000}" name="Estado"/>
    <tableColumn id="11" xr3:uid="{00000000-0010-0000-0300-00000B000000}" name="Prior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sqref="A1:B1"/>
    </sheetView>
  </sheetViews>
  <sheetFormatPr baseColWidth="10" defaultColWidth="9.140625" defaultRowHeight="15" x14ac:dyDescent="0.25"/>
  <cols>
    <col min="1" max="1" width="24" customWidth="1"/>
    <col min="2" max="2" width="60" customWidth="1"/>
  </cols>
  <sheetData>
    <row r="1" spans="1:2" ht="21" x14ac:dyDescent="0.25">
      <c r="A1" s="9" t="s">
        <v>0</v>
      </c>
      <c r="B1" s="10"/>
    </row>
    <row r="2" spans="1:2" x14ac:dyDescent="0.25">
      <c r="A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</v>
      </c>
    </row>
    <row r="11" spans="1:2" x14ac:dyDescent="0.25">
      <c r="A11" t="s">
        <v>15</v>
      </c>
      <c r="B11" t="s">
        <v>16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9.140625" defaultRowHeight="15" x14ac:dyDescent="0.25"/>
  <cols>
    <col min="1" max="1" width="28" customWidth="1"/>
    <col min="2" max="2" width="24" customWidth="1"/>
  </cols>
  <sheetData>
    <row r="1" spans="1:2" x14ac:dyDescent="0.25">
      <c r="A1" s="2" t="s">
        <v>17</v>
      </c>
      <c r="B1" s="2" t="s">
        <v>18</v>
      </c>
    </row>
    <row r="2" spans="1:2" x14ac:dyDescent="0.25">
      <c r="A2" t="s">
        <v>19</v>
      </c>
      <c r="B2" t="s">
        <v>20</v>
      </c>
    </row>
    <row r="3" spans="1:2" x14ac:dyDescent="0.25">
      <c r="A3" t="s">
        <v>21</v>
      </c>
      <c r="B3" t="s">
        <v>22</v>
      </c>
    </row>
    <row r="4" spans="1:2" x14ac:dyDescent="0.25">
      <c r="A4" t="s">
        <v>23</v>
      </c>
      <c r="B4" t="s">
        <v>24</v>
      </c>
    </row>
    <row r="5" spans="1:2" x14ac:dyDescent="0.25">
      <c r="A5" t="s">
        <v>25</v>
      </c>
      <c r="B5" t="s">
        <v>26</v>
      </c>
    </row>
    <row r="6" spans="1:2" x14ac:dyDescent="0.25">
      <c r="A6" t="s">
        <v>27</v>
      </c>
      <c r="B6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baseColWidth="10" defaultColWidth="9.140625" defaultRowHeight="15" x14ac:dyDescent="0.25"/>
  <cols>
    <col min="1" max="2" width="20" customWidth="1"/>
    <col min="3" max="3" width="24" customWidth="1"/>
    <col min="4" max="4" width="16" customWidth="1"/>
  </cols>
  <sheetData>
    <row r="1" spans="1:4" x14ac:dyDescent="0.25">
      <c r="A1" s="2" t="s">
        <v>28</v>
      </c>
      <c r="B1" s="2" t="s">
        <v>29</v>
      </c>
      <c r="C1" s="2" t="s">
        <v>30</v>
      </c>
      <c r="D1" s="2" t="s">
        <v>31</v>
      </c>
    </row>
    <row r="2" spans="1:4" x14ac:dyDescent="0.25">
      <c r="A2" t="s">
        <v>24</v>
      </c>
      <c r="B2" t="s">
        <v>24</v>
      </c>
      <c r="C2" t="s">
        <v>26</v>
      </c>
      <c r="D2" t="s">
        <v>32</v>
      </c>
    </row>
    <row r="3" spans="1:4" x14ac:dyDescent="0.25">
      <c r="A3" t="s">
        <v>33</v>
      </c>
      <c r="B3" t="s">
        <v>33</v>
      </c>
      <c r="C3" t="s">
        <v>34</v>
      </c>
      <c r="D3" t="s">
        <v>35</v>
      </c>
    </row>
    <row r="4" spans="1:4" x14ac:dyDescent="0.25">
      <c r="A4" t="s">
        <v>36</v>
      </c>
      <c r="B4" t="s">
        <v>36</v>
      </c>
      <c r="C4" t="s">
        <v>37</v>
      </c>
    </row>
    <row r="5" spans="1:4" x14ac:dyDescent="0.25">
      <c r="C5" t="s">
        <v>38</v>
      </c>
    </row>
    <row r="6" spans="1:4" x14ac:dyDescent="0.25">
      <c r="C6" t="s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0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5" customWidth="1"/>
    <col min="2" max="2" width="30" customWidth="1"/>
    <col min="3" max="3" width="18" customWidth="1"/>
    <col min="4" max="4" width="30" customWidth="1"/>
    <col min="5" max="5" width="18" customWidth="1"/>
    <col min="6" max="6" width="14" customWidth="1"/>
    <col min="7" max="7" width="32" customWidth="1"/>
  </cols>
  <sheetData>
    <row r="1" spans="1:7" x14ac:dyDescent="0.25">
      <c r="A1" s="2" t="s">
        <v>40</v>
      </c>
      <c r="B1" s="2" t="s">
        <v>41</v>
      </c>
      <c r="C1" s="2" t="s">
        <v>42</v>
      </c>
      <c r="D1" s="2" t="s">
        <v>43</v>
      </c>
      <c r="E1" s="2" t="s">
        <v>44</v>
      </c>
      <c r="F1" s="2" t="s">
        <v>14</v>
      </c>
      <c r="G1" s="2" t="s">
        <v>45</v>
      </c>
    </row>
    <row r="2" spans="1:7" x14ac:dyDescent="0.25">
      <c r="A2" t="str">
        <f t="shared" ref="A2:A65" si="0">IF(B2="","","CLI"&amp;TEXT(ROW()-1,"000000"))</f>
        <v/>
      </c>
      <c r="F2" t="s">
        <v>32</v>
      </c>
    </row>
    <row r="3" spans="1:7" x14ac:dyDescent="0.25">
      <c r="A3" t="str">
        <f t="shared" si="0"/>
        <v/>
      </c>
      <c r="F3" t="s">
        <v>32</v>
      </c>
    </row>
    <row r="4" spans="1:7" x14ac:dyDescent="0.25">
      <c r="A4" t="str">
        <f t="shared" si="0"/>
        <v/>
      </c>
      <c r="F4" t="s">
        <v>32</v>
      </c>
    </row>
    <row r="5" spans="1:7" x14ac:dyDescent="0.25">
      <c r="A5" t="str">
        <f t="shared" si="0"/>
        <v/>
      </c>
      <c r="F5" t="s">
        <v>32</v>
      </c>
    </row>
    <row r="6" spans="1:7" x14ac:dyDescent="0.25">
      <c r="A6" t="str">
        <f t="shared" si="0"/>
        <v/>
      </c>
      <c r="F6" t="s">
        <v>32</v>
      </c>
    </row>
    <row r="7" spans="1:7" x14ac:dyDescent="0.25">
      <c r="A7" t="str">
        <f t="shared" si="0"/>
        <v/>
      </c>
      <c r="F7" t="s">
        <v>32</v>
      </c>
    </row>
    <row r="8" spans="1:7" x14ac:dyDescent="0.25">
      <c r="A8" t="str">
        <f t="shared" si="0"/>
        <v/>
      </c>
      <c r="F8" t="s">
        <v>32</v>
      </c>
    </row>
    <row r="9" spans="1:7" x14ac:dyDescent="0.25">
      <c r="A9" t="str">
        <f t="shared" si="0"/>
        <v/>
      </c>
      <c r="F9" t="s">
        <v>32</v>
      </c>
    </row>
    <row r="10" spans="1:7" x14ac:dyDescent="0.25">
      <c r="A10" t="str">
        <f t="shared" si="0"/>
        <v/>
      </c>
      <c r="F10" t="s">
        <v>32</v>
      </c>
    </row>
    <row r="11" spans="1:7" x14ac:dyDescent="0.25">
      <c r="A11" t="str">
        <f t="shared" si="0"/>
        <v/>
      </c>
      <c r="F11" t="s">
        <v>32</v>
      </c>
    </row>
    <row r="12" spans="1:7" x14ac:dyDescent="0.25">
      <c r="A12" t="str">
        <f t="shared" si="0"/>
        <v/>
      </c>
      <c r="F12" t="s">
        <v>32</v>
      </c>
    </row>
    <row r="13" spans="1:7" x14ac:dyDescent="0.25">
      <c r="A13" t="str">
        <f t="shared" si="0"/>
        <v/>
      </c>
      <c r="F13" t="s">
        <v>32</v>
      </c>
    </row>
    <row r="14" spans="1:7" x14ac:dyDescent="0.25">
      <c r="A14" t="str">
        <f t="shared" si="0"/>
        <v/>
      </c>
      <c r="F14" t="s">
        <v>32</v>
      </c>
    </row>
    <row r="15" spans="1:7" x14ac:dyDescent="0.25">
      <c r="A15" t="str">
        <f t="shared" si="0"/>
        <v/>
      </c>
      <c r="F15" t="s">
        <v>32</v>
      </c>
    </row>
    <row r="16" spans="1:7" x14ac:dyDescent="0.25">
      <c r="A16" t="str">
        <f t="shared" si="0"/>
        <v/>
      </c>
      <c r="F16" t="s">
        <v>32</v>
      </c>
    </row>
    <row r="17" spans="1:6" x14ac:dyDescent="0.25">
      <c r="A17" t="str">
        <f t="shared" si="0"/>
        <v/>
      </c>
      <c r="F17" t="s">
        <v>32</v>
      </c>
    </row>
    <row r="18" spans="1:6" x14ac:dyDescent="0.25">
      <c r="A18" t="str">
        <f t="shared" si="0"/>
        <v/>
      </c>
      <c r="F18" t="s">
        <v>32</v>
      </c>
    </row>
    <row r="19" spans="1:6" x14ac:dyDescent="0.25">
      <c r="A19" t="str">
        <f t="shared" si="0"/>
        <v/>
      </c>
      <c r="F19" t="s">
        <v>32</v>
      </c>
    </row>
    <row r="20" spans="1:6" x14ac:dyDescent="0.25">
      <c r="A20" t="str">
        <f t="shared" si="0"/>
        <v/>
      </c>
      <c r="F20" t="s">
        <v>32</v>
      </c>
    </row>
    <row r="21" spans="1:6" x14ac:dyDescent="0.25">
      <c r="A21" t="str">
        <f t="shared" si="0"/>
        <v/>
      </c>
      <c r="F21" t="s">
        <v>32</v>
      </c>
    </row>
    <row r="22" spans="1:6" x14ac:dyDescent="0.25">
      <c r="A22" t="str">
        <f t="shared" si="0"/>
        <v/>
      </c>
      <c r="F22" t="s">
        <v>32</v>
      </c>
    </row>
    <row r="23" spans="1:6" x14ac:dyDescent="0.25">
      <c r="A23" t="str">
        <f t="shared" si="0"/>
        <v/>
      </c>
      <c r="F23" t="s">
        <v>32</v>
      </c>
    </row>
    <row r="24" spans="1:6" x14ac:dyDescent="0.25">
      <c r="A24" t="str">
        <f t="shared" si="0"/>
        <v/>
      </c>
      <c r="F24" t="s">
        <v>32</v>
      </c>
    </row>
    <row r="25" spans="1:6" x14ac:dyDescent="0.25">
      <c r="A25" t="str">
        <f t="shared" si="0"/>
        <v/>
      </c>
      <c r="F25" t="s">
        <v>32</v>
      </c>
    </row>
    <row r="26" spans="1:6" x14ac:dyDescent="0.25">
      <c r="A26" t="str">
        <f t="shared" si="0"/>
        <v/>
      </c>
      <c r="F26" t="s">
        <v>32</v>
      </c>
    </row>
    <row r="27" spans="1:6" x14ac:dyDescent="0.25">
      <c r="A27" t="str">
        <f t="shared" si="0"/>
        <v/>
      </c>
      <c r="F27" t="s">
        <v>32</v>
      </c>
    </row>
    <row r="28" spans="1:6" x14ac:dyDescent="0.25">
      <c r="A28" t="str">
        <f t="shared" si="0"/>
        <v/>
      </c>
      <c r="F28" t="s">
        <v>32</v>
      </c>
    </row>
    <row r="29" spans="1:6" x14ac:dyDescent="0.25">
      <c r="A29" t="str">
        <f t="shared" si="0"/>
        <v/>
      </c>
      <c r="F29" t="s">
        <v>32</v>
      </c>
    </row>
    <row r="30" spans="1:6" x14ac:dyDescent="0.25">
      <c r="A30" t="str">
        <f t="shared" si="0"/>
        <v/>
      </c>
      <c r="F30" t="s">
        <v>32</v>
      </c>
    </row>
    <row r="31" spans="1:6" x14ac:dyDescent="0.25">
      <c r="A31" t="str">
        <f t="shared" si="0"/>
        <v/>
      </c>
      <c r="F31" t="s">
        <v>32</v>
      </c>
    </row>
    <row r="32" spans="1:6" x14ac:dyDescent="0.25">
      <c r="A32" t="str">
        <f t="shared" si="0"/>
        <v/>
      </c>
      <c r="F32" t="s">
        <v>32</v>
      </c>
    </row>
    <row r="33" spans="1:6" x14ac:dyDescent="0.25">
      <c r="A33" t="str">
        <f t="shared" si="0"/>
        <v/>
      </c>
      <c r="F33" t="s">
        <v>32</v>
      </c>
    </row>
    <row r="34" spans="1:6" x14ac:dyDescent="0.25">
      <c r="A34" t="str">
        <f t="shared" si="0"/>
        <v/>
      </c>
      <c r="F34" t="s">
        <v>32</v>
      </c>
    </row>
    <row r="35" spans="1:6" x14ac:dyDescent="0.25">
      <c r="A35" t="str">
        <f t="shared" si="0"/>
        <v/>
      </c>
      <c r="F35" t="s">
        <v>32</v>
      </c>
    </row>
    <row r="36" spans="1:6" x14ac:dyDescent="0.25">
      <c r="A36" t="str">
        <f t="shared" si="0"/>
        <v/>
      </c>
      <c r="F36" t="s">
        <v>32</v>
      </c>
    </row>
    <row r="37" spans="1:6" x14ac:dyDescent="0.25">
      <c r="A37" t="str">
        <f t="shared" si="0"/>
        <v/>
      </c>
      <c r="F37" t="s">
        <v>32</v>
      </c>
    </row>
    <row r="38" spans="1:6" x14ac:dyDescent="0.25">
      <c r="A38" t="str">
        <f t="shared" si="0"/>
        <v/>
      </c>
      <c r="F38" t="s">
        <v>32</v>
      </c>
    </row>
    <row r="39" spans="1:6" x14ac:dyDescent="0.25">
      <c r="A39" t="str">
        <f t="shared" si="0"/>
        <v/>
      </c>
      <c r="F39" t="s">
        <v>32</v>
      </c>
    </row>
    <row r="40" spans="1:6" x14ac:dyDescent="0.25">
      <c r="A40" t="str">
        <f t="shared" si="0"/>
        <v/>
      </c>
      <c r="F40" t="s">
        <v>32</v>
      </c>
    </row>
    <row r="41" spans="1:6" x14ac:dyDescent="0.25">
      <c r="A41" t="str">
        <f t="shared" si="0"/>
        <v/>
      </c>
      <c r="F41" t="s">
        <v>32</v>
      </c>
    </row>
    <row r="42" spans="1:6" x14ac:dyDescent="0.25">
      <c r="A42" t="str">
        <f t="shared" si="0"/>
        <v/>
      </c>
      <c r="F42" t="s">
        <v>32</v>
      </c>
    </row>
    <row r="43" spans="1:6" x14ac:dyDescent="0.25">
      <c r="A43" t="str">
        <f t="shared" si="0"/>
        <v/>
      </c>
      <c r="F43" t="s">
        <v>32</v>
      </c>
    </row>
    <row r="44" spans="1:6" x14ac:dyDescent="0.25">
      <c r="A44" t="str">
        <f t="shared" si="0"/>
        <v/>
      </c>
      <c r="F44" t="s">
        <v>32</v>
      </c>
    </row>
    <row r="45" spans="1:6" x14ac:dyDescent="0.25">
      <c r="A45" t="str">
        <f t="shared" si="0"/>
        <v/>
      </c>
      <c r="F45" t="s">
        <v>32</v>
      </c>
    </row>
    <row r="46" spans="1:6" x14ac:dyDescent="0.25">
      <c r="A46" t="str">
        <f t="shared" si="0"/>
        <v/>
      </c>
      <c r="F46" t="s">
        <v>32</v>
      </c>
    </row>
    <row r="47" spans="1:6" x14ac:dyDescent="0.25">
      <c r="A47" t="str">
        <f t="shared" si="0"/>
        <v/>
      </c>
      <c r="F47" t="s">
        <v>32</v>
      </c>
    </row>
    <row r="48" spans="1:6" x14ac:dyDescent="0.25">
      <c r="A48" t="str">
        <f t="shared" si="0"/>
        <v/>
      </c>
      <c r="F48" t="s">
        <v>32</v>
      </c>
    </row>
    <row r="49" spans="1:6" x14ac:dyDescent="0.25">
      <c r="A49" t="str">
        <f t="shared" si="0"/>
        <v/>
      </c>
      <c r="F49" t="s">
        <v>32</v>
      </c>
    </row>
    <row r="50" spans="1:6" x14ac:dyDescent="0.25">
      <c r="A50" t="str">
        <f t="shared" si="0"/>
        <v/>
      </c>
      <c r="F50" t="s">
        <v>32</v>
      </c>
    </row>
    <row r="51" spans="1:6" x14ac:dyDescent="0.25">
      <c r="A51" t="str">
        <f t="shared" si="0"/>
        <v/>
      </c>
      <c r="F51" t="s">
        <v>32</v>
      </c>
    </row>
    <row r="52" spans="1:6" x14ac:dyDescent="0.25">
      <c r="A52" t="str">
        <f t="shared" si="0"/>
        <v/>
      </c>
      <c r="F52" t="s">
        <v>32</v>
      </c>
    </row>
    <row r="53" spans="1:6" x14ac:dyDescent="0.25">
      <c r="A53" t="str">
        <f t="shared" si="0"/>
        <v/>
      </c>
      <c r="F53" t="s">
        <v>32</v>
      </c>
    </row>
    <row r="54" spans="1:6" x14ac:dyDescent="0.25">
      <c r="A54" t="str">
        <f t="shared" si="0"/>
        <v/>
      </c>
      <c r="F54" t="s">
        <v>32</v>
      </c>
    </row>
    <row r="55" spans="1:6" x14ac:dyDescent="0.25">
      <c r="A55" t="str">
        <f t="shared" si="0"/>
        <v/>
      </c>
      <c r="F55" t="s">
        <v>32</v>
      </c>
    </row>
    <row r="56" spans="1:6" x14ac:dyDescent="0.25">
      <c r="A56" t="str">
        <f t="shared" si="0"/>
        <v/>
      </c>
      <c r="F56" t="s">
        <v>32</v>
      </c>
    </row>
    <row r="57" spans="1:6" x14ac:dyDescent="0.25">
      <c r="A57" t="str">
        <f t="shared" si="0"/>
        <v/>
      </c>
      <c r="F57" t="s">
        <v>32</v>
      </c>
    </row>
    <row r="58" spans="1:6" x14ac:dyDescent="0.25">
      <c r="A58" t="str">
        <f t="shared" si="0"/>
        <v/>
      </c>
      <c r="F58" t="s">
        <v>32</v>
      </c>
    </row>
    <row r="59" spans="1:6" x14ac:dyDescent="0.25">
      <c r="A59" t="str">
        <f t="shared" si="0"/>
        <v/>
      </c>
      <c r="F59" t="s">
        <v>32</v>
      </c>
    </row>
    <row r="60" spans="1:6" x14ac:dyDescent="0.25">
      <c r="A60" t="str">
        <f t="shared" si="0"/>
        <v/>
      </c>
      <c r="F60" t="s">
        <v>32</v>
      </c>
    </row>
    <row r="61" spans="1:6" x14ac:dyDescent="0.25">
      <c r="A61" t="str">
        <f t="shared" si="0"/>
        <v/>
      </c>
      <c r="F61" t="s">
        <v>32</v>
      </c>
    </row>
    <row r="62" spans="1:6" x14ac:dyDescent="0.25">
      <c r="A62" t="str">
        <f t="shared" si="0"/>
        <v/>
      </c>
      <c r="F62" t="s">
        <v>32</v>
      </c>
    </row>
    <row r="63" spans="1:6" x14ac:dyDescent="0.25">
      <c r="A63" t="str">
        <f t="shared" si="0"/>
        <v/>
      </c>
      <c r="F63" t="s">
        <v>32</v>
      </c>
    </row>
    <row r="64" spans="1:6" x14ac:dyDescent="0.25">
      <c r="A64" t="str">
        <f t="shared" si="0"/>
        <v/>
      </c>
      <c r="F64" t="s">
        <v>32</v>
      </c>
    </row>
    <row r="65" spans="1:6" x14ac:dyDescent="0.25">
      <c r="A65" t="str">
        <f t="shared" si="0"/>
        <v/>
      </c>
      <c r="F65" t="s">
        <v>32</v>
      </c>
    </row>
    <row r="66" spans="1:6" x14ac:dyDescent="0.25">
      <c r="A66" t="str">
        <f t="shared" ref="A66:A129" si="1">IF(B66="","","CLI"&amp;TEXT(ROW()-1,"000000"))</f>
        <v/>
      </c>
      <c r="F66" t="s">
        <v>32</v>
      </c>
    </row>
    <row r="67" spans="1:6" x14ac:dyDescent="0.25">
      <c r="A67" t="str">
        <f t="shared" si="1"/>
        <v/>
      </c>
      <c r="F67" t="s">
        <v>32</v>
      </c>
    </row>
    <row r="68" spans="1:6" x14ac:dyDescent="0.25">
      <c r="A68" t="str">
        <f t="shared" si="1"/>
        <v/>
      </c>
      <c r="F68" t="s">
        <v>32</v>
      </c>
    </row>
    <row r="69" spans="1:6" x14ac:dyDescent="0.25">
      <c r="A69" t="str">
        <f t="shared" si="1"/>
        <v/>
      </c>
      <c r="F69" t="s">
        <v>32</v>
      </c>
    </row>
    <row r="70" spans="1:6" x14ac:dyDescent="0.25">
      <c r="A70" t="str">
        <f t="shared" si="1"/>
        <v/>
      </c>
      <c r="F70" t="s">
        <v>32</v>
      </c>
    </row>
    <row r="71" spans="1:6" x14ac:dyDescent="0.25">
      <c r="A71" t="str">
        <f t="shared" si="1"/>
        <v/>
      </c>
      <c r="F71" t="s">
        <v>32</v>
      </c>
    </row>
    <row r="72" spans="1:6" x14ac:dyDescent="0.25">
      <c r="A72" t="str">
        <f t="shared" si="1"/>
        <v/>
      </c>
      <c r="F72" t="s">
        <v>32</v>
      </c>
    </row>
    <row r="73" spans="1:6" x14ac:dyDescent="0.25">
      <c r="A73" t="str">
        <f t="shared" si="1"/>
        <v/>
      </c>
      <c r="F73" t="s">
        <v>32</v>
      </c>
    </row>
    <row r="74" spans="1:6" x14ac:dyDescent="0.25">
      <c r="A74" t="str">
        <f t="shared" si="1"/>
        <v/>
      </c>
      <c r="F74" t="s">
        <v>32</v>
      </c>
    </row>
    <row r="75" spans="1:6" x14ac:dyDescent="0.25">
      <c r="A75" t="str">
        <f t="shared" si="1"/>
        <v/>
      </c>
      <c r="F75" t="s">
        <v>32</v>
      </c>
    </row>
    <row r="76" spans="1:6" x14ac:dyDescent="0.25">
      <c r="A76" t="str">
        <f t="shared" si="1"/>
        <v/>
      </c>
      <c r="F76" t="s">
        <v>32</v>
      </c>
    </row>
    <row r="77" spans="1:6" x14ac:dyDescent="0.25">
      <c r="A77" t="str">
        <f t="shared" si="1"/>
        <v/>
      </c>
      <c r="F77" t="s">
        <v>32</v>
      </c>
    </row>
    <row r="78" spans="1:6" x14ac:dyDescent="0.25">
      <c r="A78" t="str">
        <f t="shared" si="1"/>
        <v/>
      </c>
      <c r="F78" t="s">
        <v>32</v>
      </c>
    </row>
    <row r="79" spans="1:6" x14ac:dyDescent="0.25">
      <c r="A79" t="str">
        <f t="shared" si="1"/>
        <v/>
      </c>
      <c r="F79" t="s">
        <v>32</v>
      </c>
    </row>
    <row r="80" spans="1:6" x14ac:dyDescent="0.25">
      <c r="A80" t="str">
        <f t="shared" si="1"/>
        <v/>
      </c>
      <c r="F80" t="s">
        <v>32</v>
      </c>
    </row>
    <row r="81" spans="1:6" x14ac:dyDescent="0.25">
      <c r="A81" t="str">
        <f t="shared" si="1"/>
        <v/>
      </c>
      <c r="F81" t="s">
        <v>32</v>
      </c>
    </row>
    <row r="82" spans="1:6" x14ac:dyDescent="0.25">
      <c r="A82" t="str">
        <f t="shared" si="1"/>
        <v/>
      </c>
      <c r="F82" t="s">
        <v>32</v>
      </c>
    </row>
    <row r="83" spans="1:6" x14ac:dyDescent="0.25">
      <c r="A83" t="str">
        <f t="shared" si="1"/>
        <v/>
      </c>
      <c r="F83" t="s">
        <v>32</v>
      </c>
    </row>
    <row r="84" spans="1:6" x14ac:dyDescent="0.25">
      <c r="A84" t="str">
        <f t="shared" si="1"/>
        <v/>
      </c>
      <c r="F84" t="s">
        <v>32</v>
      </c>
    </row>
    <row r="85" spans="1:6" x14ac:dyDescent="0.25">
      <c r="A85" t="str">
        <f t="shared" si="1"/>
        <v/>
      </c>
      <c r="F85" t="s">
        <v>32</v>
      </c>
    </row>
    <row r="86" spans="1:6" x14ac:dyDescent="0.25">
      <c r="A86" t="str">
        <f t="shared" si="1"/>
        <v/>
      </c>
      <c r="F86" t="s">
        <v>32</v>
      </c>
    </row>
    <row r="87" spans="1:6" x14ac:dyDescent="0.25">
      <c r="A87" t="str">
        <f t="shared" si="1"/>
        <v/>
      </c>
      <c r="F87" t="s">
        <v>32</v>
      </c>
    </row>
    <row r="88" spans="1:6" x14ac:dyDescent="0.25">
      <c r="A88" t="str">
        <f t="shared" si="1"/>
        <v/>
      </c>
      <c r="F88" t="s">
        <v>32</v>
      </c>
    </row>
    <row r="89" spans="1:6" x14ac:dyDescent="0.25">
      <c r="A89" t="str">
        <f t="shared" si="1"/>
        <v/>
      </c>
      <c r="F89" t="s">
        <v>32</v>
      </c>
    </row>
    <row r="90" spans="1:6" x14ac:dyDescent="0.25">
      <c r="A90" t="str">
        <f t="shared" si="1"/>
        <v/>
      </c>
      <c r="F90" t="s">
        <v>32</v>
      </c>
    </row>
    <row r="91" spans="1:6" x14ac:dyDescent="0.25">
      <c r="A91" t="str">
        <f t="shared" si="1"/>
        <v/>
      </c>
      <c r="F91" t="s">
        <v>32</v>
      </c>
    </row>
    <row r="92" spans="1:6" x14ac:dyDescent="0.25">
      <c r="A92" t="str">
        <f t="shared" si="1"/>
        <v/>
      </c>
      <c r="F92" t="s">
        <v>32</v>
      </c>
    </row>
    <row r="93" spans="1:6" x14ac:dyDescent="0.25">
      <c r="A93" t="str">
        <f t="shared" si="1"/>
        <v/>
      </c>
      <c r="F93" t="s">
        <v>32</v>
      </c>
    </row>
    <row r="94" spans="1:6" x14ac:dyDescent="0.25">
      <c r="A94" t="str">
        <f t="shared" si="1"/>
        <v/>
      </c>
      <c r="F94" t="s">
        <v>32</v>
      </c>
    </row>
    <row r="95" spans="1:6" x14ac:dyDescent="0.25">
      <c r="A95" t="str">
        <f t="shared" si="1"/>
        <v/>
      </c>
      <c r="F95" t="s">
        <v>32</v>
      </c>
    </row>
    <row r="96" spans="1:6" x14ac:dyDescent="0.25">
      <c r="A96" t="str">
        <f t="shared" si="1"/>
        <v/>
      </c>
      <c r="F96" t="s">
        <v>32</v>
      </c>
    </row>
    <row r="97" spans="1:6" x14ac:dyDescent="0.25">
      <c r="A97" t="str">
        <f t="shared" si="1"/>
        <v/>
      </c>
      <c r="F97" t="s">
        <v>32</v>
      </c>
    </row>
    <row r="98" spans="1:6" x14ac:dyDescent="0.25">
      <c r="A98" t="str">
        <f t="shared" si="1"/>
        <v/>
      </c>
      <c r="F98" t="s">
        <v>32</v>
      </c>
    </row>
    <row r="99" spans="1:6" x14ac:dyDescent="0.25">
      <c r="A99" t="str">
        <f t="shared" si="1"/>
        <v/>
      </c>
      <c r="F99" t="s">
        <v>32</v>
      </c>
    </row>
    <row r="100" spans="1:6" x14ac:dyDescent="0.25">
      <c r="A100" t="str">
        <f t="shared" si="1"/>
        <v/>
      </c>
      <c r="F100" t="s">
        <v>32</v>
      </c>
    </row>
    <row r="101" spans="1:6" x14ac:dyDescent="0.25">
      <c r="A101" t="str">
        <f t="shared" si="1"/>
        <v/>
      </c>
      <c r="F101" t="s">
        <v>32</v>
      </c>
    </row>
    <row r="102" spans="1:6" x14ac:dyDescent="0.25">
      <c r="A102" t="str">
        <f t="shared" si="1"/>
        <v/>
      </c>
      <c r="F102" t="s">
        <v>32</v>
      </c>
    </row>
    <row r="103" spans="1:6" x14ac:dyDescent="0.25">
      <c r="A103" t="str">
        <f t="shared" si="1"/>
        <v/>
      </c>
      <c r="F103" t="s">
        <v>32</v>
      </c>
    </row>
    <row r="104" spans="1:6" x14ac:dyDescent="0.25">
      <c r="A104" t="str">
        <f t="shared" si="1"/>
        <v/>
      </c>
      <c r="F104" t="s">
        <v>32</v>
      </c>
    </row>
    <row r="105" spans="1:6" x14ac:dyDescent="0.25">
      <c r="A105" t="str">
        <f t="shared" si="1"/>
        <v/>
      </c>
      <c r="F105" t="s">
        <v>32</v>
      </c>
    </row>
    <row r="106" spans="1:6" x14ac:dyDescent="0.25">
      <c r="A106" t="str">
        <f t="shared" si="1"/>
        <v/>
      </c>
      <c r="F106" t="s">
        <v>32</v>
      </c>
    </row>
    <row r="107" spans="1:6" x14ac:dyDescent="0.25">
      <c r="A107" t="str">
        <f t="shared" si="1"/>
        <v/>
      </c>
      <c r="F107" t="s">
        <v>32</v>
      </c>
    </row>
    <row r="108" spans="1:6" x14ac:dyDescent="0.25">
      <c r="A108" t="str">
        <f t="shared" si="1"/>
        <v/>
      </c>
      <c r="F108" t="s">
        <v>32</v>
      </c>
    </row>
    <row r="109" spans="1:6" x14ac:dyDescent="0.25">
      <c r="A109" t="str">
        <f t="shared" si="1"/>
        <v/>
      </c>
      <c r="F109" t="s">
        <v>32</v>
      </c>
    </row>
    <row r="110" spans="1:6" x14ac:dyDescent="0.25">
      <c r="A110" t="str">
        <f t="shared" si="1"/>
        <v/>
      </c>
      <c r="F110" t="s">
        <v>32</v>
      </c>
    </row>
    <row r="111" spans="1:6" x14ac:dyDescent="0.25">
      <c r="A111" t="str">
        <f t="shared" si="1"/>
        <v/>
      </c>
      <c r="F111" t="s">
        <v>32</v>
      </c>
    </row>
    <row r="112" spans="1:6" x14ac:dyDescent="0.25">
      <c r="A112" t="str">
        <f t="shared" si="1"/>
        <v/>
      </c>
      <c r="F112" t="s">
        <v>32</v>
      </c>
    </row>
    <row r="113" spans="1:6" x14ac:dyDescent="0.25">
      <c r="A113" t="str">
        <f t="shared" si="1"/>
        <v/>
      </c>
      <c r="F113" t="s">
        <v>32</v>
      </c>
    </row>
    <row r="114" spans="1:6" x14ac:dyDescent="0.25">
      <c r="A114" t="str">
        <f t="shared" si="1"/>
        <v/>
      </c>
      <c r="F114" t="s">
        <v>32</v>
      </c>
    </row>
    <row r="115" spans="1:6" x14ac:dyDescent="0.25">
      <c r="A115" t="str">
        <f t="shared" si="1"/>
        <v/>
      </c>
      <c r="F115" t="s">
        <v>32</v>
      </c>
    </row>
    <row r="116" spans="1:6" x14ac:dyDescent="0.25">
      <c r="A116" t="str">
        <f t="shared" si="1"/>
        <v/>
      </c>
      <c r="F116" t="s">
        <v>32</v>
      </c>
    </row>
    <row r="117" spans="1:6" x14ac:dyDescent="0.25">
      <c r="A117" t="str">
        <f t="shared" si="1"/>
        <v/>
      </c>
      <c r="F117" t="s">
        <v>32</v>
      </c>
    </row>
    <row r="118" spans="1:6" x14ac:dyDescent="0.25">
      <c r="A118" t="str">
        <f t="shared" si="1"/>
        <v/>
      </c>
      <c r="F118" t="s">
        <v>32</v>
      </c>
    </row>
    <row r="119" spans="1:6" x14ac:dyDescent="0.25">
      <c r="A119" t="str">
        <f t="shared" si="1"/>
        <v/>
      </c>
      <c r="F119" t="s">
        <v>32</v>
      </c>
    </row>
    <row r="120" spans="1:6" x14ac:dyDescent="0.25">
      <c r="A120" t="str">
        <f t="shared" si="1"/>
        <v/>
      </c>
      <c r="F120" t="s">
        <v>32</v>
      </c>
    </row>
    <row r="121" spans="1:6" x14ac:dyDescent="0.25">
      <c r="A121" t="str">
        <f t="shared" si="1"/>
        <v/>
      </c>
      <c r="F121" t="s">
        <v>32</v>
      </c>
    </row>
    <row r="122" spans="1:6" x14ac:dyDescent="0.25">
      <c r="A122" t="str">
        <f t="shared" si="1"/>
        <v/>
      </c>
      <c r="F122" t="s">
        <v>32</v>
      </c>
    </row>
    <row r="123" spans="1:6" x14ac:dyDescent="0.25">
      <c r="A123" t="str">
        <f t="shared" si="1"/>
        <v/>
      </c>
      <c r="F123" t="s">
        <v>32</v>
      </c>
    </row>
    <row r="124" spans="1:6" x14ac:dyDescent="0.25">
      <c r="A124" t="str">
        <f t="shared" si="1"/>
        <v/>
      </c>
      <c r="F124" t="s">
        <v>32</v>
      </c>
    </row>
    <row r="125" spans="1:6" x14ac:dyDescent="0.25">
      <c r="A125" t="str">
        <f t="shared" si="1"/>
        <v/>
      </c>
      <c r="F125" t="s">
        <v>32</v>
      </c>
    </row>
    <row r="126" spans="1:6" x14ac:dyDescent="0.25">
      <c r="A126" t="str">
        <f t="shared" si="1"/>
        <v/>
      </c>
      <c r="F126" t="s">
        <v>32</v>
      </c>
    </row>
    <row r="127" spans="1:6" x14ac:dyDescent="0.25">
      <c r="A127" t="str">
        <f t="shared" si="1"/>
        <v/>
      </c>
      <c r="F127" t="s">
        <v>32</v>
      </c>
    </row>
    <row r="128" spans="1:6" x14ac:dyDescent="0.25">
      <c r="A128" t="str">
        <f t="shared" si="1"/>
        <v/>
      </c>
      <c r="F128" t="s">
        <v>32</v>
      </c>
    </row>
    <row r="129" spans="1:6" x14ac:dyDescent="0.25">
      <c r="A129" t="str">
        <f t="shared" si="1"/>
        <v/>
      </c>
      <c r="F129" t="s">
        <v>32</v>
      </c>
    </row>
    <row r="130" spans="1:6" x14ac:dyDescent="0.25">
      <c r="A130" t="str">
        <f t="shared" ref="A130:A193" si="2">IF(B130="","","CLI"&amp;TEXT(ROW()-1,"000000"))</f>
        <v/>
      </c>
      <c r="F130" t="s">
        <v>32</v>
      </c>
    </row>
    <row r="131" spans="1:6" x14ac:dyDescent="0.25">
      <c r="A131" t="str">
        <f t="shared" si="2"/>
        <v/>
      </c>
      <c r="F131" t="s">
        <v>32</v>
      </c>
    </row>
    <row r="132" spans="1:6" x14ac:dyDescent="0.25">
      <c r="A132" t="str">
        <f t="shared" si="2"/>
        <v/>
      </c>
      <c r="F132" t="s">
        <v>32</v>
      </c>
    </row>
    <row r="133" spans="1:6" x14ac:dyDescent="0.25">
      <c r="A133" t="str">
        <f t="shared" si="2"/>
        <v/>
      </c>
      <c r="F133" t="s">
        <v>32</v>
      </c>
    </row>
    <row r="134" spans="1:6" x14ac:dyDescent="0.25">
      <c r="A134" t="str">
        <f t="shared" si="2"/>
        <v/>
      </c>
      <c r="F134" t="s">
        <v>32</v>
      </c>
    </row>
    <row r="135" spans="1:6" x14ac:dyDescent="0.25">
      <c r="A135" t="str">
        <f t="shared" si="2"/>
        <v/>
      </c>
      <c r="F135" t="s">
        <v>32</v>
      </c>
    </row>
    <row r="136" spans="1:6" x14ac:dyDescent="0.25">
      <c r="A136" t="str">
        <f t="shared" si="2"/>
        <v/>
      </c>
      <c r="F136" t="s">
        <v>32</v>
      </c>
    </row>
    <row r="137" spans="1:6" x14ac:dyDescent="0.25">
      <c r="A137" t="str">
        <f t="shared" si="2"/>
        <v/>
      </c>
      <c r="F137" t="s">
        <v>32</v>
      </c>
    </row>
    <row r="138" spans="1:6" x14ac:dyDescent="0.25">
      <c r="A138" t="str">
        <f t="shared" si="2"/>
        <v/>
      </c>
      <c r="F138" t="s">
        <v>32</v>
      </c>
    </row>
    <row r="139" spans="1:6" x14ac:dyDescent="0.25">
      <c r="A139" t="str">
        <f t="shared" si="2"/>
        <v/>
      </c>
      <c r="F139" t="s">
        <v>32</v>
      </c>
    </row>
    <row r="140" spans="1:6" x14ac:dyDescent="0.25">
      <c r="A140" t="str">
        <f t="shared" si="2"/>
        <v/>
      </c>
      <c r="F140" t="s">
        <v>32</v>
      </c>
    </row>
    <row r="141" spans="1:6" x14ac:dyDescent="0.25">
      <c r="A141" t="str">
        <f t="shared" si="2"/>
        <v/>
      </c>
      <c r="F141" t="s">
        <v>32</v>
      </c>
    </row>
    <row r="142" spans="1:6" x14ac:dyDescent="0.25">
      <c r="A142" t="str">
        <f t="shared" si="2"/>
        <v/>
      </c>
      <c r="F142" t="s">
        <v>32</v>
      </c>
    </row>
    <row r="143" spans="1:6" x14ac:dyDescent="0.25">
      <c r="A143" t="str">
        <f t="shared" si="2"/>
        <v/>
      </c>
      <c r="F143" t="s">
        <v>32</v>
      </c>
    </row>
    <row r="144" spans="1:6" x14ac:dyDescent="0.25">
      <c r="A144" t="str">
        <f t="shared" si="2"/>
        <v/>
      </c>
      <c r="F144" t="s">
        <v>32</v>
      </c>
    </row>
    <row r="145" spans="1:6" x14ac:dyDescent="0.25">
      <c r="A145" t="str">
        <f t="shared" si="2"/>
        <v/>
      </c>
      <c r="F145" t="s">
        <v>32</v>
      </c>
    </row>
    <row r="146" spans="1:6" x14ac:dyDescent="0.25">
      <c r="A146" t="str">
        <f t="shared" si="2"/>
        <v/>
      </c>
      <c r="F146" t="s">
        <v>32</v>
      </c>
    </row>
    <row r="147" spans="1:6" x14ac:dyDescent="0.25">
      <c r="A147" t="str">
        <f t="shared" si="2"/>
        <v/>
      </c>
      <c r="F147" t="s">
        <v>32</v>
      </c>
    </row>
    <row r="148" spans="1:6" x14ac:dyDescent="0.25">
      <c r="A148" t="str">
        <f t="shared" si="2"/>
        <v/>
      </c>
      <c r="F148" t="s">
        <v>32</v>
      </c>
    </row>
    <row r="149" spans="1:6" x14ac:dyDescent="0.25">
      <c r="A149" t="str">
        <f t="shared" si="2"/>
        <v/>
      </c>
      <c r="F149" t="s">
        <v>32</v>
      </c>
    </row>
    <row r="150" spans="1:6" x14ac:dyDescent="0.25">
      <c r="A150" t="str">
        <f t="shared" si="2"/>
        <v/>
      </c>
      <c r="F150" t="s">
        <v>32</v>
      </c>
    </row>
    <row r="151" spans="1:6" x14ac:dyDescent="0.25">
      <c r="A151" t="str">
        <f t="shared" si="2"/>
        <v/>
      </c>
      <c r="F151" t="s">
        <v>32</v>
      </c>
    </row>
    <row r="152" spans="1:6" x14ac:dyDescent="0.25">
      <c r="A152" t="str">
        <f t="shared" si="2"/>
        <v/>
      </c>
      <c r="F152" t="s">
        <v>32</v>
      </c>
    </row>
    <row r="153" spans="1:6" x14ac:dyDescent="0.25">
      <c r="A153" t="str">
        <f t="shared" si="2"/>
        <v/>
      </c>
      <c r="F153" t="s">
        <v>32</v>
      </c>
    </row>
    <row r="154" spans="1:6" x14ac:dyDescent="0.25">
      <c r="A154" t="str">
        <f t="shared" si="2"/>
        <v/>
      </c>
      <c r="F154" t="s">
        <v>32</v>
      </c>
    </row>
    <row r="155" spans="1:6" x14ac:dyDescent="0.25">
      <c r="A155" t="str">
        <f t="shared" si="2"/>
        <v/>
      </c>
      <c r="F155" t="s">
        <v>32</v>
      </c>
    </row>
    <row r="156" spans="1:6" x14ac:dyDescent="0.25">
      <c r="A156" t="str">
        <f t="shared" si="2"/>
        <v/>
      </c>
      <c r="F156" t="s">
        <v>32</v>
      </c>
    </row>
    <row r="157" spans="1:6" x14ac:dyDescent="0.25">
      <c r="A157" t="str">
        <f t="shared" si="2"/>
        <v/>
      </c>
      <c r="F157" t="s">
        <v>32</v>
      </c>
    </row>
    <row r="158" spans="1:6" x14ac:dyDescent="0.25">
      <c r="A158" t="str">
        <f t="shared" si="2"/>
        <v/>
      </c>
      <c r="F158" t="s">
        <v>32</v>
      </c>
    </row>
    <row r="159" spans="1:6" x14ac:dyDescent="0.25">
      <c r="A159" t="str">
        <f t="shared" si="2"/>
        <v/>
      </c>
      <c r="F159" t="s">
        <v>32</v>
      </c>
    </row>
    <row r="160" spans="1:6" x14ac:dyDescent="0.25">
      <c r="A160" t="str">
        <f t="shared" si="2"/>
        <v/>
      </c>
      <c r="F160" t="s">
        <v>32</v>
      </c>
    </row>
    <row r="161" spans="1:6" x14ac:dyDescent="0.25">
      <c r="A161" t="str">
        <f t="shared" si="2"/>
        <v/>
      </c>
      <c r="F161" t="s">
        <v>32</v>
      </c>
    </row>
    <row r="162" spans="1:6" x14ac:dyDescent="0.25">
      <c r="A162" t="str">
        <f t="shared" si="2"/>
        <v/>
      </c>
      <c r="F162" t="s">
        <v>32</v>
      </c>
    </row>
    <row r="163" spans="1:6" x14ac:dyDescent="0.25">
      <c r="A163" t="str">
        <f t="shared" si="2"/>
        <v/>
      </c>
      <c r="F163" t="s">
        <v>32</v>
      </c>
    </row>
    <row r="164" spans="1:6" x14ac:dyDescent="0.25">
      <c r="A164" t="str">
        <f t="shared" si="2"/>
        <v/>
      </c>
      <c r="F164" t="s">
        <v>32</v>
      </c>
    </row>
    <row r="165" spans="1:6" x14ac:dyDescent="0.25">
      <c r="A165" t="str">
        <f t="shared" si="2"/>
        <v/>
      </c>
      <c r="F165" t="s">
        <v>32</v>
      </c>
    </row>
    <row r="166" spans="1:6" x14ac:dyDescent="0.25">
      <c r="A166" t="str">
        <f t="shared" si="2"/>
        <v/>
      </c>
      <c r="F166" t="s">
        <v>32</v>
      </c>
    </row>
    <row r="167" spans="1:6" x14ac:dyDescent="0.25">
      <c r="A167" t="str">
        <f t="shared" si="2"/>
        <v/>
      </c>
      <c r="F167" t="s">
        <v>32</v>
      </c>
    </row>
    <row r="168" spans="1:6" x14ac:dyDescent="0.25">
      <c r="A168" t="str">
        <f t="shared" si="2"/>
        <v/>
      </c>
      <c r="F168" t="s">
        <v>32</v>
      </c>
    </row>
    <row r="169" spans="1:6" x14ac:dyDescent="0.25">
      <c r="A169" t="str">
        <f t="shared" si="2"/>
        <v/>
      </c>
      <c r="F169" t="s">
        <v>32</v>
      </c>
    </row>
    <row r="170" spans="1:6" x14ac:dyDescent="0.25">
      <c r="A170" t="str">
        <f t="shared" si="2"/>
        <v/>
      </c>
      <c r="F170" t="s">
        <v>32</v>
      </c>
    </row>
    <row r="171" spans="1:6" x14ac:dyDescent="0.25">
      <c r="A171" t="str">
        <f t="shared" si="2"/>
        <v/>
      </c>
      <c r="F171" t="s">
        <v>32</v>
      </c>
    </row>
    <row r="172" spans="1:6" x14ac:dyDescent="0.25">
      <c r="A172" t="str">
        <f t="shared" si="2"/>
        <v/>
      </c>
      <c r="F172" t="s">
        <v>32</v>
      </c>
    </row>
    <row r="173" spans="1:6" x14ac:dyDescent="0.25">
      <c r="A173" t="str">
        <f t="shared" si="2"/>
        <v/>
      </c>
      <c r="F173" t="s">
        <v>32</v>
      </c>
    </row>
    <row r="174" spans="1:6" x14ac:dyDescent="0.25">
      <c r="A174" t="str">
        <f t="shared" si="2"/>
        <v/>
      </c>
      <c r="F174" t="s">
        <v>32</v>
      </c>
    </row>
    <row r="175" spans="1:6" x14ac:dyDescent="0.25">
      <c r="A175" t="str">
        <f t="shared" si="2"/>
        <v/>
      </c>
      <c r="F175" t="s">
        <v>32</v>
      </c>
    </row>
    <row r="176" spans="1:6" x14ac:dyDescent="0.25">
      <c r="A176" t="str">
        <f t="shared" si="2"/>
        <v/>
      </c>
      <c r="F176" t="s">
        <v>32</v>
      </c>
    </row>
    <row r="177" spans="1:6" x14ac:dyDescent="0.25">
      <c r="A177" t="str">
        <f t="shared" si="2"/>
        <v/>
      </c>
      <c r="F177" t="s">
        <v>32</v>
      </c>
    </row>
    <row r="178" spans="1:6" x14ac:dyDescent="0.25">
      <c r="A178" t="str">
        <f t="shared" si="2"/>
        <v/>
      </c>
      <c r="F178" t="s">
        <v>32</v>
      </c>
    </row>
    <row r="179" spans="1:6" x14ac:dyDescent="0.25">
      <c r="A179" t="str">
        <f t="shared" si="2"/>
        <v/>
      </c>
      <c r="F179" t="s">
        <v>32</v>
      </c>
    </row>
    <row r="180" spans="1:6" x14ac:dyDescent="0.25">
      <c r="A180" t="str">
        <f t="shared" si="2"/>
        <v/>
      </c>
      <c r="F180" t="s">
        <v>32</v>
      </c>
    </row>
    <row r="181" spans="1:6" x14ac:dyDescent="0.25">
      <c r="A181" t="str">
        <f t="shared" si="2"/>
        <v/>
      </c>
      <c r="F181" t="s">
        <v>32</v>
      </c>
    </row>
    <row r="182" spans="1:6" x14ac:dyDescent="0.25">
      <c r="A182" t="str">
        <f t="shared" si="2"/>
        <v/>
      </c>
      <c r="F182" t="s">
        <v>32</v>
      </c>
    </row>
    <row r="183" spans="1:6" x14ac:dyDescent="0.25">
      <c r="A183" t="str">
        <f t="shared" si="2"/>
        <v/>
      </c>
      <c r="F183" t="s">
        <v>32</v>
      </c>
    </row>
    <row r="184" spans="1:6" x14ac:dyDescent="0.25">
      <c r="A184" t="str">
        <f t="shared" si="2"/>
        <v/>
      </c>
      <c r="F184" t="s">
        <v>32</v>
      </c>
    </row>
    <row r="185" spans="1:6" x14ac:dyDescent="0.25">
      <c r="A185" t="str">
        <f t="shared" si="2"/>
        <v/>
      </c>
      <c r="F185" t="s">
        <v>32</v>
      </c>
    </row>
    <row r="186" spans="1:6" x14ac:dyDescent="0.25">
      <c r="A186" t="str">
        <f t="shared" si="2"/>
        <v/>
      </c>
      <c r="F186" t="s">
        <v>32</v>
      </c>
    </row>
    <row r="187" spans="1:6" x14ac:dyDescent="0.25">
      <c r="A187" t="str">
        <f t="shared" si="2"/>
        <v/>
      </c>
      <c r="F187" t="s">
        <v>32</v>
      </c>
    </row>
    <row r="188" spans="1:6" x14ac:dyDescent="0.25">
      <c r="A188" t="str">
        <f t="shared" si="2"/>
        <v/>
      </c>
      <c r="F188" t="s">
        <v>32</v>
      </c>
    </row>
    <row r="189" spans="1:6" x14ac:dyDescent="0.25">
      <c r="A189" t="str">
        <f t="shared" si="2"/>
        <v/>
      </c>
      <c r="F189" t="s">
        <v>32</v>
      </c>
    </row>
    <row r="190" spans="1:6" x14ac:dyDescent="0.25">
      <c r="A190" t="str">
        <f t="shared" si="2"/>
        <v/>
      </c>
      <c r="F190" t="s">
        <v>32</v>
      </c>
    </row>
    <row r="191" spans="1:6" x14ac:dyDescent="0.25">
      <c r="A191" t="str">
        <f t="shared" si="2"/>
        <v/>
      </c>
      <c r="F191" t="s">
        <v>32</v>
      </c>
    </row>
    <row r="192" spans="1:6" x14ac:dyDescent="0.25">
      <c r="A192" t="str">
        <f t="shared" si="2"/>
        <v/>
      </c>
      <c r="F192" t="s">
        <v>32</v>
      </c>
    </row>
    <row r="193" spans="1:6" x14ac:dyDescent="0.25">
      <c r="A193" t="str">
        <f t="shared" si="2"/>
        <v/>
      </c>
      <c r="F193" t="s">
        <v>32</v>
      </c>
    </row>
    <row r="194" spans="1:6" x14ac:dyDescent="0.25">
      <c r="A194" t="str">
        <f t="shared" ref="A194:A257" si="3">IF(B194="","","CLI"&amp;TEXT(ROW()-1,"000000"))</f>
        <v/>
      </c>
      <c r="F194" t="s">
        <v>32</v>
      </c>
    </row>
    <row r="195" spans="1:6" x14ac:dyDescent="0.25">
      <c r="A195" t="str">
        <f t="shared" si="3"/>
        <v/>
      </c>
      <c r="F195" t="s">
        <v>32</v>
      </c>
    </row>
    <row r="196" spans="1:6" x14ac:dyDescent="0.25">
      <c r="A196" t="str">
        <f t="shared" si="3"/>
        <v/>
      </c>
      <c r="F196" t="s">
        <v>32</v>
      </c>
    </row>
    <row r="197" spans="1:6" x14ac:dyDescent="0.25">
      <c r="A197" t="str">
        <f t="shared" si="3"/>
        <v/>
      </c>
      <c r="F197" t="s">
        <v>32</v>
      </c>
    </row>
    <row r="198" spans="1:6" x14ac:dyDescent="0.25">
      <c r="A198" t="str">
        <f t="shared" si="3"/>
        <v/>
      </c>
      <c r="F198" t="s">
        <v>32</v>
      </c>
    </row>
    <row r="199" spans="1:6" x14ac:dyDescent="0.25">
      <c r="A199" t="str">
        <f t="shared" si="3"/>
        <v/>
      </c>
      <c r="F199" t="s">
        <v>32</v>
      </c>
    </row>
    <row r="200" spans="1:6" x14ac:dyDescent="0.25">
      <c r="A200" t="str">
        <f t="shared" si="3"/>
        <v/>
      </c>
      <c r="F200" t="s">
        <v>32</v>
      </c>
    </row>
    <row r="201" spans="1:6" x14ac:dyDescent="0.25">
      <c r="A201" t="str">
        <f t="shared" si="3"/>
        <v/>
      </c>
      <c r="F201" t="s">
        <v>32</v>
      </c>
    </row>
    <row r="202" spans="1:6" x14ac:dyDescent="0.25">
      <c r="A202" t="str">
        <f t="shared" si="3"/>
        <v/>
      </c>
      <c r="F202" t="s">
        <v>32</v>
      </c>
    </row>
    <row r="203" spans="1:6" x14ac:dyDescent="0.25">
      <c r="A203" t="str">
        <f t="shared" si="3"/>
        <v/>
      </c>
      <c r="F203" t="s">
        <v>32</v>
      </c>
    </row>
    <row r="204" spans="1:6" x14ac:dyDescent="0.25">
      <c r="A204" t="str">
        <f t="shared" si="3"/>
        <v/>
      </c>
      <c r="F204" t="s">
        <v>32</v>
      </c>
    </row>
    <row r="205" spans="1:6" x14ac:dyDescent="0.25">
      <c r="A205" t="str">
        <f t="shared" si="3"/>
        <v/>
      </c>
      <c r="F205" t="s">
        <v>32</v>
      </c>
    </row>
    <row r="206" spans="1:6" x14ac:dyDescent="0.25">
      <c r="A206" t="str">
        <f t="shared" si="3"/>
        <v/>
      </c>
      <c r="F206" t="s">
        <v>32</v>
      </c>
    </row>
    <row r="207" spans="1:6" x14ac:dyDescent="0.25">
      <c r="A207" t="str">
        <f t="shared" si="3"/>
        <v/>
      </c>
      <c r="F207" t="s">
        <v>32</v>
      </c>
    </row>
    <row r="208" spans="1:6" x14ac:dyDescent="0.25">
      <c r="A208" t="str">
        <f t="shared" si="3"/>
        <v/>
      </c>
      <c r="F208" t="s">
        <v>32</v>
      </c>
    </row>
    <row r="209" spans="1:6" x14ac:dyDescent="0.25">
      <c r="A209" t="str">
        <f t="shared" si="3"/>
        <v/>
      </c>
      <c r="F209" t="s">
        <v>32</v>
      </c>
    </row>
    <row r="210" spans="1:6" x14ac:dyDescent="0.25">
      <c r="A210" t="str">
        <f t="shared" si="3"/>
        <v/>
      </c>
      <c r="F210" t="s">
        <v>32</v>
      </c>
    </row>
    <row r="211" spans="1:6" x14ac:dyDescent="0.25">
      <c r="A211" t="str">
        <f t="shared" si="3"/>
        <v/>
      </c>
      <c r="F211" t="s">
        <v>32</v>
      </c>
    </row>
    <row r="212" spans="1:6" x14ac:dyDescent="0.25">
      <c r="A212" t="str">
        <f t="shared" si="3"/>
        <v/>
      </c>
      <c r="F212" t="s">
        <v>32</v>
      </c>
    </row>
    <row r="213" spans="1:6" x14ac:dyDescent="0.25">
      <c r="A213" t="str">
        <f t="shared" si="3"/>
        <v/>
      </c>
      <c r="F213" t="s">
        <v>32</v>
      </c>
    </row>
    <row r="214" spans="1:6" x14ac:dyDescent="0.25">
      <c r="A214" t="str">
        <f t="shared" si="3"/>
        <v/>
      </c>
      <c r="F214" t="s">
        <v>32</v>
      </c>
    </row>
    <row r="215" spans="1:6" x14ac:dyDescent="0.25">
      <c r="A215" t="str">
        <f t="shared" si="3"/>
        <v/>
      </c>
      <c r="F215" t="s">
        <v>32</v>
      </c>
    </row>
    <row r="216" spans="1:6" x14ac:dyDescent="0.25">
      <c r="A216" t="str">
        <f t="shared" si="3"/>
        <v/>
      </c>
      <c r="F216" t="s">
        <v>32</v>
      </c>
    </row>
    <row r="217" spans="1:6" x14ac:dyDescent="0.25">
      <c r="A217" t="str">
        <f t="shared" si="3"/>
        <v/>
      </c>
      <c r="F217" t="s">
        <v>32</v>
      </c>
    </row>
    <row r="218" spans="1:6" x14ac:dyDescent="0.25">
      <c r="A218" t="str">
        <f t="shared" si="3"/>
        <v/>
      </c>
      <c r="F218" t="s">
        <v>32</v>
      </c>
    </row>
    <row r="219" spans="1:6" x14ac:dyDescent="0.25">
      <c r="A219" t="str">
        <f t="shared" si="3"/>
        <v/>
      </c>
      <c r="F219" t="s">
        <v>32</v>
      </c>
    </row>
    <row r="220" spans="1:6" x14ac:dyDescent="0.25">
      <c r="A220" t="str">
        <f t="shared" si="3"/>
        <v/>
      </c>
      <c r="F220" t="s">
        <v>32</v>
      </c>
    </row>
    <row r="221" spans="1:6" x14ac:dyDescent="0.25">
      <c r="A221" t="str">
        <f t="shared" si="3"/>
        <v/>
      </c>
      <c r="F221" t="s">
        <v>32</v>
      </c>
    </row>
    <row r="222" spans="1:6" x14ac:dyDescent="0.25">
      <c r="A222" t="str">
        <f t="shared" si="3"/>
        <v/>
      </c>
      <c r="F222" t="s">
        <v>32</v>
      </c>
    </row>
    <row r="223" spans="1:6" x14ac:dyDescent="0.25">
      <c r="A223" t="str">
        <f t="shared" si="3"/>
        <v/>
      </c>
      <c r="F223" t="s">
        <v>32</v>
      </c>
    </row>
    <row r="224" spans="1:6" x14ac:dyDescent="0.25">
      <c r="A224" t="str">
        <f t="shared" si="3"/>
        <v/>
      </c>
      <c r="F224" t="s">
        <v>32</v>
      </c>
    </row>
    <row r="225" spans="1:6" x14ac:dyDescent="0.25">
      <c r="A225" t="str">
        <f t="shared" si="3"/>
        <v/>
      </c>
      <c r="F225" t="s">
        <v>32</v>
      </c>
    </row>
    <row r="226" spans="1:6" x14ac:dyDescent="0.25">
      <c r="A226" t="str">
        <f t="shared" si="3"/>
        <v/>
      </c>
      <c r="F226" t="s">
        <v>32</v>
      </c>
    </row>
    <row r="227" spans="1:6" x14ac:dyDescent="0.25">
      <c r="A227" t="str">
        <f t="shared" si="3"/>
        <v/>
      </c>
      <c r="F227" t="s">
        <v>32</v>
      </c>
    </row>
    <row r="228" spans="1:6" x14ac:dyDescent="0.25">
      <c r="A228" t="str">
        <f t="shared" si="3"/>
        <v/>
      </c>
      <c r="F228" t="s">
        <v>32</v>
      </c>
    </row>
    <row r="229" spans="1:6" x14ac:dyDescent="0.25">
      <c r="A229" t="str">
        <f t="shared" si="3"/>
        <v/>
      </c>
      <c r="F229" t="s">
        <v>32</v>
      </c>
    </row>
    <row r="230" spans="1:6" x14ac:dyDescent="0.25">
      <c r="A230" t="str">
        <f t="shared" si="3"/>
        <v/>
      </c>
      <c r="F230" t="s">
        <v>32</v>
      </c>
    </row>
    <row r="231" spans="1:6" x14ac:dyDescent="0.25">
      <c r="A231" t="str">
        <f t="shared" si="3"/>
        <v/>
      </c>
      <c r="F231" t="s">
        <v>32</v>
      </c>
    </row>
    <row r="232" spans="1:6" x14ac:dyDescent="0.25">
      <c r="A232" t="str">
        <f t="shared" si="3"/>
        <v/>
      </c>
      <c r="F232" t="s">
        <v>32</v>
      </c>
    </row>
    <row r="233" spans="1:6" x14ac:dyDescent="0.25">
      <c r="A233" t="str">
        <f t="shared" si="3"/>
        <v/>
      </c>
      <c r="F233" t="s">
        <v>32</v>
      </c>
    </row>
    <row r="234" spans="1:6" x14ac:dyDescent="0.25">
      <c r="A234" t="str">
        <f t="shared" si="3"/>
        <v/>
      </c>
      <c r="F234" t="s">
        <v>32</v>
      </c>
    </row>
    <row r="235" spans="1:6" x14ac:dyDescent="0.25">
      <c r="A235" t="str">
        <f t="shared" si="3"/>
        <v/>
      </c>
      <c r="F235" t="s">
        <v>32</v>
      </c>
    </row>
    <row r="236" spans="1:6" x14ac:dyDescent="0.25">
      <c r="A236" t="str">
        <f t="shared" si="3"/>
        <v/>
      </c>
      <c r="F236" t="s">
        <v>32</v>
      </c>
    </row>
    <row r="237" spans="1:6" x14ac:dyDescent="0.25">
      <c r="A237" t="str">
        <f t="shared" si="3"/>
        <v/>
      </c>
      <c r="F237" t="s">
        <v>32</v>
      </c>
    </row>
    <row r="238" spans="1:6" x14ac:dyDescent="0.25">
      <c r="A238" t="str">
        <f t="shared" si="3"/>
        <v/>
      </c>
      <c r="F238" t="s">
        <v>32</v>
      </c>
    </row>
    <row r="239" spans="1:6" x14ac:dyDescent="0.25">
      <c r="A239" t="str">
        <f t="shared" si="3"/>
        <v/>
      </c>
      <c r="F239" t="s">
        <v>32</v>
      </c>
    </row>
    <row r="240" spans="1:6" x14ac:dyDescent="0.25">
      <c r="A240" t="str">
        <f t="shared" si="3"/>
        <v/>
      </c>
      <c r="F240" t="s">
        <v>32</v>
      </c>
    </row>
    <row r="241" spans="1:6" x14ac:dyDescent="0.25">
      <c r="A241" t="str">
        <f t="shared" si="3"/>
        <v/>
      </c>
      <c r="F241" t="s">
        <v>32</v>
      </c>
    </row>
    <row r="242" spans="1:6" x14ac:dyDescent="0.25">
      <c r="A242" t="str">
        <f t="shared" si="3"/>
        <v/>
      </c>
      <c r="F242" t="s">
        <v>32</v>
      </c>
    </row>
    <row r="243" spans="1:6" x14ac:dyDescent="0.25">
      <c r="A243" t="str">
        <f t="shared" si="3"/>
        <v/>
      </c>
      <c r="F243" t="s">
        <v>32</v>
      </c>
    </row>
    <row r="244" spans="1:6" x14ac:dyDescent="0.25">
      <c r="A244" t="str">
        <f t="shared" si="3"/>
        <v/>
      </c>
      <c r="F244" t="s">
        <v>32</v>
      </c>
    </row>
    <row r="245" spans="1:6" x14ac:dyDescent="0.25">
      <c r="A245" t="str">
        <f t="shared" si="3"/>
        <v/>
      </c>
      <c r="F245" t="s">
        <v>32</v>
      </c>
    </row>
    <row r="246" spans="1:6" x14ac:dyDescent="0.25">
      <c r="A246" t="str">
        <f t="shared" si="3"/>
        <v/>
      </c>
      <c r="F246" t="s">
        <v>32</v>
      </c>
    </row>
    <row r="247" spans="1:6" x14ac:dyDescent="0.25">
      <c r="A247" t="str">
        <f t="shared" si="3"/>
        <v/>
      </c>
      <c r="F247" t="s">
        <v>32</v>
      </c>
    </row>
    <row r="248" spans="1:6" x14ac:dyDescent="0.25">
      <c r="A248" t="str">
        <f t="shared" si="3"/>
        <v/>
      </c>
      <c r="F248" t="s">
        <v>32</v>
      </c>
    </row>
    <row r="249" spans="1:6" x14ac:dyDescent="0.25">
      <c r="A249" t="str">
        <f t="shared" si="3"/>
        <v/>
      </c>
      <c r="F249" t="s">
        <v>32</v>
      </c>
    </row>
    <row r="250" spans="1:6" x14ac:dyDescent="0.25">
      <c r="A250" t="str">
        <f t="shared" si="3"/>
        <v/>
      </c>
      <c r="F250" t="s">
        <v>32</v>
      </c>
    </row>
    <row r="251" spans="1:6" x14ac:dyDescent="0.25">
      <c r="A251" t="str">
        <f t="shared" si="3"/>
        <v/>
      </c>
      <c r="F251" t="s">
        <v>32</v>
      </c>
    </row>
    <row r="252" spans="1:6" x14ac:dyDescent="0.25">
      <c r="A252" t="str">
        <f t="shared" si="3"/>
        <v/>
      </c>
      <c r="F252" t="s">
        <v>32</v>
      </c>
    </row>
    <row r="253" spans="1:6" x14ac:dyDescent="0.25">
      <c r="A253" t="str">
        <f t="shared" si="3"/>
        <v/>
      </c>
      <c r="F253" t="s">
        <v>32</v>
      </c>
    </row>
    <row r="254" spans="1:6" x14ac:dyDescent="0.25">
      <c r="A254" t="str">
        <f t="shared" si="3"/>
        <v/>
      </c>
      <c r="F254" t="s">
        <v>32</v>
      </c>
    </row>
    <row r="255" spans="1:6" x14ac:dyDescent="0.25">
      <c r="A255" t="str">
        <f t="shared" si="3"/>
        <v/>
      </c>
      <c r="F255" t="s">
        <v>32</v>
      </c>
    </row>
    <row r="256" spans="1:6" x14ac:dyDescent="0.25">
      <c r="A256" t="str">
        <f t="shared" si="3"/>
        <v/>
      </c>
      <c r="F256" t="s">
        <v>32</v>
      </c>
    </row>
    <row r="257" spans="1:6" x14ac:dyDescent="0.25">
      <c r="A257" t="str">
        <f t="shared" si="3"/>
        <v/>
      </c>
      <c r="F257" t="s">
        <v>32</v>
      </c>
    </row>
    <row r="258" spans="1:6" x14ac:dyDescent="0.25">
      <c r="A258" t="str">
        <f t="shared" ref="A258:A321" si="4">IF(B258="","","CLI"&amp;TEXT(ROW()-1,"000000"))</f>
        <v/>
      </c>
      <c r="F258" t="s">
        <v>32</v>
      </c>
    </row>
    <row r="259" spans="1:6" x14ac:dyDescent="0.25">
      <c r="A259" t="str">
        <f t="shared" si="4"/>
        <v/>
      </c>
      <c r="F259" t="s">
        <v>32</v>
      </c>
    </row>
    <row r="260" spans="1:6" x14ac:dyDescent="0.25">
      <c r="A260" t="str">
        <f t="shared" si="4"/>
        <v/>
      </c>
      <c r="F260" t="s">
        <v>32</v>
      </c>
    </row>
    <row r="261" spans="1:6" x14ac:dyDescent="0.25">
      <c r="A261" t="str">
        <f t="shared" si="4"/>
        <v/>
      </c>
      <c r="F261" t="s">
        <v>32</v>
      </c>
    </row>
    <row r="262" spans="1:6" x14ac:dyDescent="0.25">
      <c r="A262" t="str">
        <f t="shared" si="4"/>
        <v/>
      </c>
      <c r="F262" t="s">
        <v>32</v>
      </c>
    </row>
    <row r="263" spans="1:6" x14ac:dyDescent="0.25">
      <c r="A263" t="str">
        <f t="shared" si="4"/>
        <v/>
      </c>
      <c r="F263" t="s">
        <v>32</v>
      </c>
    </row>
    <row r="264" spans="1:6" x14ac:dyDescent="0.25">
      <c r="A264" t="str">
        <f t="shared" si="4"/>
        <v/>
      </c>
      <c r="F264" t="s">
        <v>32</v>
      </c>
    </row>
    <row r="265" spans="1:6" x14ac:dyDescent="0.25">
      <c r="A265" t="str">
        <f t="shared" si="4"/>
        <v/>
      </c>
      <c r="F265" t="s">
        <v>32</v>
      </c>
    </row>
    <row r="266" spans="1:6" x14ac:dyDescent="0.25">
      <c r="A266" t="str">
        <f t="shared" si="4"/>
        <v/>
      </c>
      <c r="F266" t="s">
        <v>32</v>
      </c>
    </row>
    <row r="267" spans="1:6" x14ac:dyDescent="0.25">
      <c r="A267" t="str">
        <f t="shared" si="4"/>
        <v/>
      </c>
      <c r="F267" t="s">
        <v>32</v>
      </c>
    </row>
    <row r="268" spans="1:6" x14ac:dyDescent="0.25">
      <c r="A268" t="str">
        <f t="shared" si="4"/>
        <v/>
      </c>
      <c r="F268" t="s">
        <v>32</v>
      </c>
    </row>
    <row r="269" spans="1:6" x14ac:dyDescent="0.25">
      <c r="A269" t="str">
        <f t="shared" si="4"/>
        <v/>
      </c>
      <c r="F269" t="s">
        <v>32</v>
      </c>
    </row>
    <row r="270" spans="1:6" x14ac:dyDescent="0.25">
      <c r="A270" t="str">
        <f t="shared" si="4"/>
        <v/>
      </c>
      <c r="F270" t="s">
        <v>32</v>
      </c>
    </row>
    <row r="271" spans="1:6" x14ac:dyDescent="0.25">
      <c r="A271" t="str">
        <f t="shared" si="4"/>
        <v/>
      </c>
      <c r="F271" t="s">
        <v>32</v>
      </c>
    </row>
    <row r="272" spans="1:6" x14ac:dyDescent="0.25">
      <c r="A272" t="str">
        <f t="shared" si="4"/>
        <v/>
      </c>
      <c r="F272" t="s">
        <v>32</v>
      </c>
    </row>
    <row r="273" spans="1:6" x14ac:dyDescent="0.25">
      <c r="A273" t="str">
        <f t="shared" si="4"/>
        <v/>
      </c>
      <c r="F273" t="s">
        <v>32</v>
      </c>
    </row>
    <row r="274" spans="1:6" x14ac:dyDescent="0.25">
      <c r="A274" t="str">
        <f t="shared" si="4"/>
        <v/>
      </c>
      <c r="F274" t="s">
        <v>32</v>
      </c>
    </row>
    <row r="275" spans="1:6" x14ac:dyDescent="0.25">
      <c r="A275" t="str">
        <f t="shared" si="4"/>
        <v/>
      </c>
      <c r="F275" t="s">
        <v>32</v>
      </c>
    </row>
    <row r="276" spans="1:6" x14ac:dyDescent="0.25">
      <c r="A276" t="str">
        <f t="shared" si="4"/>
        <v/>
      </c>
      <c r="F276" t="s">
        <v>32</v>
      </c>
    </row>
    <row r="277" spans="1:6" x14ac:dyDescent="0.25">
      <c r="A277" t="str">
        <f t="shared" si="4"/>
        <v/>
      </c>
      <c r="F277" t="s">
        <v>32</v>
      </c>
    </row>
    <row r="278" spans="1:6" x14ac:dyDescent="0.25">
      <c r="A278" t="str">
        <f t="shared" si="4"/>
        <v/>
      </c>
      <c r="F278" t="s">
        <v>32</v>
      </c>
    </row>
    <row r="279" spans="1:6" x14ac:dyDescent="0.25">
      <c r="A279" t="str">
        <f t="shared" si="4"/>
        <v/>
      </c>
      <c r="F279" t="s">
        <v>32</v>
      </c>
    </row>
    <row r="280" spans="1:6" x14ac:dyDescent="0.25">
      <c r="A280" t="str">
        <f t="shared" si="4"/>
        <v/>
      </c>
      <c r="F280" t="s">
        <v>32</v>
      </c>
    </row>
    <row r="281" spans="1:6" x14ac:dyDescent="0.25">
      <c r="A281" t="str">
        <f t="shared" si="4"/>
        <v/>
      </c>
      <c r="F281" t="s">
        <v>32</v>
      </c>
    </row>
    <row r="282" spans="1:6" x14ac:dyDescent="0.25">
      <c r="A282" t="str">
        <f t="shared" si="4"/>
        <v/>
      </c>
      <c r="F282" t="s">
        <v>32</v>
      </c>
    </row>
    <row r="283" spans="1:6" x14ac:dyDescent="0.25">
      <c r="A283" t="str">
        <f t="shared" si="4"/>
        <v/>
      </c>
      <c r="F283" t="s">
        <v>32</v>
      </c>
    </row>
    <row r="284" spans="1:6" x14ac:dyDescent="0.25">
      <c r="A284" t="str">
        <f t="shared" si="4"/>
        <v/>
      </c>
      <c r="F284" t="s">
        <v>32</v>
      </c>
    </row>
    <row r="285" spans="1:6" x14ac:dyDescent="0.25">
      <c r="A285" t="str">
        <f t="shared" si="4"/>
        <v/>
      </c>
      <c r="F285" t="s">
        <v>32</v>
      </c>
    </row>
    <row r="286" spans="1:6" x14ac:dyDescent="0.25">
      <c r="A286" t="str">
        <f t="shared" si="4"/>
        <v/>
      </c>
      <c r="F286" t="s">
        <v>32</v>
      </c>
    </row>
    <row r="287" spans="1:6" x14ac:dyDescent="0.25">
      <c r="A287" t="str">
        <f t="shared" si="4"/>
        <v/>
      </c>
      <c r="F287" t="s">
        <v>32</v>
      </c>
    </row>
    <row r="288" spans="1:6" x14ac:dyDescent="0.25">
      <c r="A288" t="str">
        <f t="shared" si="4"/>
        <v/>
      </c>
      <c r="F288" t="s">
        <v>32</v>
      </c>
    </row>
    <row r="289" spans="1:6" x14ac:dyDescent="0.25">
      <c r="A289" t="str">
        <f t="shared" si="4"/>
        <v/>
      </c>
      <c r="F289" t="s">
        <v>32</v>
      </c>
    </row>
    <row r="290" spans="1:6" x14ac:dyDescent="0.25">
      <c r="A290" t="str">
        <f t="shared" si="4"/>
        <v/>
      </c>
      <c r="F290" t="s">
        <v>32</v>
      </c>
    </row>
    <row r="291" spans="1:6" x14ac:dyDescent="0.25">
      <c r="A291" t="str">
        <f t="shared" si="4"/>
        <v/>
      </c>
      <c r="F291" t="s">
        <v>32</v>
      </c>
    </row>
    <row r="292" spans="1:6" x14ac:dyDescent="0.25">
      <c r="A292" t="str">
        <f t="shared" si="4"/>
        <v/>
      </c>
      <c r="F292" t="s">
        <v>32</v>
      </c>
    </row>
    <row r="293" spans="1:6" x14ac:dyDescent="0.25">
      <c r="A293" t="str">
        <f t="shared" si="4"/>
        <v/>
      </c>
      <c r="F293" t="s">
        <v>32</v>
      </c>
    </row>
    <row r="294" spans="1:6" x14ac:dyDescent="0.25">
      <c r="A294" t="str">
        <f t="shared" si="4"/>
        <v/>
      </c>
      <c r="F294" t="s">
        <v>32</v>
      </c>
    </row>
    <row r="295" spans="1:6" x14ac:dyDescent="0.25">
      <c r="A295" t="str">
        <f t="shared" si="4"/>
        <v/>
      </c>
      <c r="F295" t="s">
        <v>32</v>
      </c>
    </row>
    <row r="296" spans="1:6" x14ac:dyDescent="0.25">
      <c r="A296" t="str">
        <f t="shared" si="4"/>
        <v/>
      </c>
      <c r="F296" t="s">
        <v>32</v>
      </c>
    </row>
    <row r="297" spans="1:6" x14ac:dyDescent="0.25">
      <c r="A297" t="str">
        <f t="shared" si="4"/>
        <v/>
      </c>
      <c r="F297" t="s">
        <v>32</v>
      </c>
    </row>
    <row r="298" spans="1:6" x14ac:dyDescent="0.25">
      <c r="A298" t="str">
        <f t="shared" si="4"/>
        <v/>
      </c>
      <c r="F298" t="s">
        <v>32</v>
      </c>
    </row>
    <row r="299" spans="1:6" x14ac:dyDescent="0.25">
      <c r="A299" t="str">
        <f t="shared" si="4"/>
        <v/>
      </c>
      <c r="F299" t="s">
        <v>32</v>
      </c>
    </row>
    <row r="300" spans="1:6" x14ac:dyDescent="0.25">
      <c r="A300" t="str">
        <f t="shared" si="4"/>
        <v/>
      </c>
      <c r="F300" t="s">
        <v>32</v>
      </c>
    </row>
    <row r="301" spans="1:6" x14ac:dyDescent="0.25">
      <c r="A301" t="str">
        <f t="shared" si="4"/>
        <v/>
      </c>
      <c r="F301" t="s">
        <v>32</v>
      </c>
    </row>
    <row r="302" spans="1:6" x14ac:dyDescent="0.25">
      <c r="A302" t="str">
        <f t="shared" si="4"/>
        <v/>
      </c>
      <c r="F302" t="s">
        <v>32</v>
      </c>
    </row>
    <row r="303" spans="1:6" x14ac:dyDescent="0.25">
      <c r="A303" t="str">
        <f t="shared" si="4"/>
        <v/>
      </c>
      <c r="F303" t="s">
        <v>32</v>
      </c>
    </row>
    <row r="304" spans="1:6" x14ac:dyDescent="0.25">
      <c r="A304" t="str">
        <f t="shared" si="4"/>
        <v/>
      </c>
      <c r="F304" t="s">
        <v>32</v>
      </c>
    </row>
    <row r="305" spans="1:6" x14ac:dyDescent="0.25">
      <c r="A305" t="str">
        <f t="shared" si="4"/>
        <v/>
      </c>
      <c r="F305" t="s">
        <v>32</v>
      </c>
    </row>
    <row r="306" spans="1:6" x14ac:dyDescent="0.25">
      <c r="A306" t="str">
        <f t="shared" si="4"/>
        <v/>
      </c>
      <c r="F306" t="s">
        <v>32</v>
      </c>
    </row>
    <row r="307" spans="1:6" x14ac:dyDescent="0.25">
      <c r="A307" t="str">
        <f t="shared" si="4"/>
        <v/>
      </c>
      <c r="F307" t="s">
        <v>32</v>
      </c>
    </row>
    <row r="308" spans="1:6" x14ac:dyDescent="0.25">
      <c r="A308" t="str">
        <f t="shared" si="4"/>
        <v/>
      </c>
      <c r="F308" t="s">
        <v>32</v>
      </c>
    </row>
    <row r="309" spans="1:6" x14ac:dyDescent="0.25">
      <c r="A309" t="str">
        <f t="shared" si="4"/>
        <v/>
      </c>
      <c r="F309" t="s">
        <v>32</v>
      </c>
    </row>
    <row r="310" spans="1:6" x14ac:dyDescent="0.25">
      <c r="A310" t="str">
        <f t="shared" si="4"/>
        <v/>
      </c>
      <c r="F310" t="s">
        <v>32</v>
      </c>
    </row>
    <row r="311" spans="1:6" x14ac:dyDescent="0.25">
      <c r="A311" t="str">
        <f t="shared" si="4"/>
        <v/>
      </c>
      <c r="F311" t="s">
        <v>32</v>
      </c>
    </row>
    <row r="312" spans="1:6" x14ac:dyDescent="0.25">
      <c r="A312" t="str">
        <f t="shared" si="4"/>
        <v/>
      </c>
      <c r="F312" t="s">
        <v>32</v>
      </c>
    </row>
    <row r="313" spans="1:6" x14ac:dyDescent="0.25">
      <c r="A313" t="str">
        <f t="shared" si="4"/>
        <v/>
      </c>
      <c r="F313" t="s">
        <v>32</v>
      </c>
    </row>
    <row r="314" spans="1:6" x14ac:dyDescent="0.25">
      <c r="A314" t="str">
        <f t="shared" si="4"/>
        <v/>
      </c>
      <c r="F314" t="s">
        <v>32</v>
      </c>
    </row>
    <row r="315" spans="1:6" x14ac:dyDescent="0.25">
      <c r="A315" t="str">
        <f t="shared" si="4"/>
        <v/>
      </c>
      <c r="F315" t="s">
        <v>32</v>
      </c>
    </row>
    <row r="316" spans="1:6" x14ac:dyDescent="0.25">
      <c r="A316" t="str">
        <f t="shared" si="4"/>
        <v/>
      </c>
      <c r="F316" t="s">
        <v>32</v>
      </c>
    </row>
    <row r="317" spans="1:6" x14ac:dyDescent="0.25">
      <c r="A317" t="str">
        <f t="shared" si="4"/>
        <v/>
      </c>
      <c r="F317" t="s">
        <v>32</v>
      </c>
    </row>
    <row r="318" spans="1:6" x14ac:dyDescent="0.25">
      <c r="A318" t="str">
        <f t="shared" si="4"/>
        <v/>
      </c>
      <c r="F318" t="s">
        <v>32</v>
      </c>
    </row>
    <row r="319" spans="1:6" x14ac:dyDescent="0.25">
      <c r="A319" t="str">
        <f t="shared" si="4"/>
        <v/>
      </c>
      <c r="F319" t="s">
        <v>32</v>
      </c>
    </row>
    <row r="320" spans="1:6" x14ac:dyDescent="0.25">
      <c r="A320" t="str">
        <f t="shared" si="4"/>
        <v/>
      </c>
      <c r="F320" t="s">
        <v>32</v>
      </c>
    </row>
    <row r="321" spans="1:6" x14ac:dyDescent="0.25">
      <c r="A321" t="str">
        <f t="shared" si="4"/>
        <v/>
      </c>
      <c r="F321" t="s">
        <v>32</v>
      </c>
    </row>
    <row r="322" spans="1:6" x14ac:dyDescent="0.25">
      <c r="A322" t="str">
        <f t="shared" ref="A322:A385" si="5">IF(B322="","","CLI"&amp;TEXT(ROW()-1,"000000"))</f>
        <v/>
      </c>
      <c r="F322" t="s">
        <v>32</v>
      </c>
    </row>
    <row r="323" spans="1:6" x14ac:dyDescent="0.25">
      <c r="A323" t="str">
        <f t="shared" si="5"/>
        <v/>
      </c>
      <c r="F323" t="s">
        <v>32</v>
      </c>
    </row>
    <row r="324" spans="1:6" x14ac:dyDescent="0.25">
      <c r="A324" t="str">
        <f t="shared" si="5"/>
        <v/>
      </c>
      <c r="F324" t="s">
        <v>32</v>
      </c>
    </row>
    <row r="325" spans="1:6" x14ac:dyDescent="0.25">
      <c r="A325" t="str">
        <f t="shared" si="5"/>
        <v/>
      </c>
      <c r="F325" t="s">
        <v>32</v>
      </c>
    </row>
    <row r="326" spans="1:6" x14ac:dyDescent="0.25">
      <c r="A326" t="str">
        <f t="shared" si="5"/>
        <v/>
      </c>
      <c r="F326" t="s">
        <v>32</v>
      </c>
    </row>
    <row r="327" spans="1:6" x14ac:dyDescent="0.25">
      <c r="A327" t="str">
        <f t="shared" si="5"/>
        <v/>
      </c>
      <c r="F327" t="s">
        <v>32</v>
      </c>
    </row>
    <row r="328" spans="1:6" x14ac:dyDescent="0.25">
      <c r="A328" t="str">
        <f t="shared" si="5"/>
        <v/>
      </c>
      <c r="F328" t="s">
        <v>32</v>
      </c>
    </row>
    <row r="329" spans="1:6" x14ac:dyDescent="0.25">
      <c r="A329" t="str">
        <f t="shared" si="5"/>
        <v/>
      </c>
      <c r="F329" t="s">
        <v>32</v>
      </c>
    </row>
    <row r="330" spans="1:6" x14ac:dyDescent="0.25">
      <c r="A330" t="str">
        <f t="shared" si="5"/>
        <v/>
      </c>
      <c r="F330" t="s">
        <v>32</v>
      </c>
    </row>
    <row r="331" spans="1:6" x14ac:dyDescent="0.25">
      <c r="A331" t="str">
        <f t="shared" si="5"/>
        <v/>
      </c>
      <c r="F331" t="s">
        <v>32</v>
      </c>
    </row>
    <row r="332" spans="1:6" x14ac:dyDescent="0.25">
      <c r="A332" t="str">
        <f t="shared" si="5"/>
        <v/>
      </c>
      <c r="F332" t="s">
        <v>32</v>
      </c>
    </row>
    <row r="333" spans="1:6" x14ac:dyDescent="0.25">
      <c r="A333" t="str">
        <f t="shared" si="5"/>
        <v/>
      </c>
      <c r="F333" t="s">
        <v>32</v>
      </c>
    </row>
    <row r="334" spans="1:6" x14ac:dyDescent="0.25">
      <c r="A334" t="str">
        <f t="shared" si="5"/>
        <v/>
      </c>
      <c r="F334" t="s">
        <v>32</v>
      </c>
    </row>
    <row r="335" spans="1:6" x14ac:dyDescent="0.25">
      <c r="A335" t="str">
        <f t="shared" si="5"/>
        <v/>
      </c>
      <c r="F335" t="s">
        <v>32</v>
      </c>
    </row>
    <row r="336" spans="1:6" x14ac:dyDescent="0.25">
      <c r="A336" t="str">
        <f t="shared" si="5"/>
        <v/>
      </c>
      <c r="F336" t="s">
        <v>32</v>
      </c>
    </row>
    <row r="337" spans="1:6" x14ac:dyDescent="0.25">
      <c r="A337" t="str">
        <f t="shared" si="5"/>
        <v/>
      </c>
      <c r="F337" t="s">
        <v>32</v>
      </c>
    </row>
    <row r="338" spans="1:6" x14ac:dyDescent="0.25">
      <c r="A338" t="str">
        <f t="shared" si="5"/>
        <v/>
      </c>
      <c r="F338" t="s">
        <v>32</v>
      </c>
    </row>
    <row r="339" spans="1:6" x14ac:dyDescent="0.25">
      <c r="A339" t="str">
        <f t="shared" si="5"/>
        <v/>
      </c>
      <c r="F339" t="s">
        <v>32</v>
      </c>
    </row>
    <row r="340" spans="1:6" x14ac:dyDescent="0.25">
      <c r="A340" t="str">
        <f t="shared" si="5"/>
        <v/>
      </c>
      <c r="F340" t="s">
        <v>32</v>
      </c>
    </row>
    <row r="341" spans="1:6" x14ac:dyDescent="0.25">
      <c r="A341" t="str">
        <f t="shared" si="5"/>
        <v/>
      </c>
      <c r="F341" t="s">
        <v>32</v>
      </c>
    </row>
    <row r="342" spans="1:6" x14ac:dyDescent="0.25">
      <c r="A342" t="str">
        <f t="shared" si="5"/>
        <v/>
      </c>
      <c r="F342" t="s">
        <v>32</v>
      </c>
    </row>
    <row r="343" spans="1:6" x14ac:dyDescent="0.25">
      <c r="A343" t="str">
        <f t="shared" si="5"/>
        <v/>
      </c>
      <c r="F343" t="s">
        <v>32</v>
      </c>
    </row>
    <row r="344" spans="1:6" x14ac:dyDescent="0.25">
      <c r="A344" t="str">
        <f t="shared" si="5"/>
        <v/>
      </c>
      <c r="F344" t="s">
        <v>32</v>
      </c>
    </row>
    <row r="345" spans="1:6" x14ac:dyDescent="0.25">
      <c r="A345" t="str">
        <f t="shared" si="5"/>
        <v/>
      </c>
      <c r="F345" t="s">
        <v>32</v>
      </c>
    </row>
    <row r="346" spans="1:6" x14ac:dyDescent="0.25">
      <c r="A346" t="str">
        <f t="shared" si="5"/>
        <v/>
      </c>
      <c r="F346" t="s">
        <v>32</v>
      </c>
    </row>
    <row r="347" spans="1:6" x14ac:dyDescent="0.25">
      <c r="A347" t="str">
        <f t="shared" si="5"/>
        <v/>
      </c>
      <c r="F347" t="s">
        <v>32</v>
      </c>
    </row>
    <row r="348" spans="1:6" x14ac:dyDescent="0.25">
      <c r="A348" t="str">
        <f t="shared" si="5"/>
        <v/>
      </c>
      <c r="F348" t="s">
        <v>32</v>
      </c>
    </row>
    <row r="349" spans="1:6" x14ac:dyDescent="0.25">
      <c r="A349" t="str">
        <f t="shared" si="5"/>
        <v/>
      </c>
      <c r="F349" t="s">
        <v>32</v>
      </c>
    </row>
    <row r="350" spans="1:6" x14ac:dyDescent="0.25">
      <c r="A350" t="str">
        <f t="shared" si="5"/>
        <v/>
      </c>
      <c r="F350" t="s">
        <v>32</v>
      </c>
    </row>
    <row r="351" spans="1:6" x14ac:dyDescent="0.25">
      <c r="A351" t="str">
        <f t="shared" si="5"/>
        <v/>
      </c>
      <c r="F351" t="s">
        <v>32</v>
      </c>
    </row>
    <row r="352" spans="1:6" x14ac:dyDescent="0.25">
      <c r="A352" t="str">
        <f t="shared" si="5"/>
        <v/>
      </c>
      <c r="F352" t="s">
        <v>32</v>
      </c>
    </row>
    <row r="353" spans="1:6" x14ac:dyDescent="0.25">
      <c r="A353" t="str">
        <f t="shared" si="5"/>
        <v/>
      </c>
      <c r="F353" t="s">
        <v>32</v>
      </c>
    </row>
    <row r="354" spans="1:6" x14ac:dyDescent="0.25">
      <c r="A354" t="str">
        <f t="shared" si="5"/>
        <v/>
      </c>
      <c r="F354" t="s">
        <v>32</v>
      </c>
    </row>
    <row r="355" spans="1:6" x14ac:dyDescent="0.25">
      <c r="A355" t="str">
        <f t="shared" si="5"/>
        <v/>
      </c>
      <c r="F355" t="s">
        <v>32</v>
      </c>
    </row>
    <row r="356" spans="1:6" x14ac:dyDescent="0.25">
      <c r="A356" t="str">
        <f t="shared" si="5"/>
        <v/>
      </c>
      <c r="F356" t="s">
        <v>32</v>
      </c>
    </row>
    <row r="357" spans="1:6" x14ac:dyDescent="0.25">
      <c r="A357" t="str">
        <f t="shared" si="5"/>
        <v/>
      </c>
      <c r="F357" t="s">
        <v>32</v>
      </c>
    </row>
    <row r="358" spans="1:6" x14ac:dyDescent="0.25">
      <c r="A358" t="str">
        <f t="shared" si="5"/>
        <v/>
      </c>
      <c r="F358" t="s">
        <v>32</v>
      </c>
    </row>
    <row r="359" spans="1:6" x14ac:dyDescent="0.25">
      <c r="A359" t="str">
        <f t="shared" si="5"/>
        <v/>
      </c>
      <c r="F359" t="s">
        <v>32</v>
      </c>
    </row>
    <row r="360" spans="1:6" x14ac:dyDescent="0.25">
      <c r="A360" t="str">
        <f t="shared" si="5"/>
        <v/>
      </c>
      <c r="F360" t="s">
        <v>32</v>
      </c>
    </row>
    <row r="361" spans="1:6" x14ac:dyDescent="0.25">
      <c r="A361" t="str">
        <f t="shared" si="5"/>
        <v/>
      </c>
      <c r="F361" t="s">
        <v>32</v>
      </c>
    </row>
    <row r="362" spans="1:6" x14ac:dyDescent="0.25">
      <c r="A362" t="str">
        <f t="shared" si="5"/>
        <v/>
      </c>
      <c r="F362" t="s">
        <v>32</v>
      </c>
    </row>
    <row r="363" spans="1:6" x14ac:dyDescent="0.25">
      <c r="A363" t="str">
        <f t="shared" si="5"/>
        <v/>
      </c>
      <c r="F363" t="s">
        <v>32</v>
      </c>
    </row>
    <row r="364" spans="1:6" x14ac:dyDescent="0.25">
      <c r="A364" t="str">
        <f t="shared" si="5"/>
        <v/>
      </c>
      <c r="F364" t="s">
        <v>32</v>
      </c>
    </row>
    <row r="365" spans="1:6" x14ac:dyDescent="0.25">
      <c r="A365" t="str">
        <f t="shared" si="5"/>
        <v/>
      </c>
      <c r="F365" t="s">
        <v>32</v>
      </c>
    </row>
    <row r="366" spans="1:6" x14ac:dyDescent="0.25">
      <c r="A366" t="str">
        <f t="shared" si="5"/>
        <v/>
      </c>
      <c r="F366" t="s">
        <v>32</v>
      </c>
    </row>
    <row r="367" spans="1:6" x14ac:dyDescent="0.25">
      <c r="A367" t="str">
        <f t="shared" si="5"/>
        <v/>
      </c>
      <c r="F367" t="s">
        <v>32</v>
      </c>
    </row>
    <row r="368" spans="1:6" x14ac:dyDescent="0.25">
      <c r="A368" t="str">
        <f t="shared" si="5"/>
        <v/>
      </c>
      <c r="F368" t="s">
        <v>32</v>
      </c>
    </row>
    <row r="369" spans="1:6" x14ac:dyDescent="0.25">
      <c r="A369" t="str">
        <f t="shared" si="5"/>
        <v/>
      </c>
      <c r="F369" t="s">
        <v>32</v>
      </c>
    </row>
    <row r="370" spans="1:6" x14ac:dyDescent="0.25">
      <c r="A370" t="str">
        <f t="shared" si="5"/>
        <v/>
      </c>
      <c r="F370" t="s">
        <v>32</v>
      </c>
    </row>
    <row r="371" spans="1:6" x14ac:dyDescent="0.25">
      <c r="A371" t="str">
        <f t="shared" si="5"/>
        <v/>
      </c>
      <c r="F371" t="s">
        <v>32</v>
      </c>
    </row>
    <row r="372" spans="1:6" x14ac:dyDescent="0.25">
      <c r="A372" t="str">
        <f t="shared" si="5"/>
        <v/>
      </c>
      <c r="F372" t="s">
        <v>32</v>
      </c>
    </row>
    <row r="373" spans="1:6" x14ac:dyDescent="0.25">
      <c r="A373" t="str">
        <f t="shared" si="5"/>
        <v/>
      </c>
      <c r="F373" t="s">
        <v>32</v>
      </c>
    </row>
    <row r="374" spans="1:6" x14ac:dyDescent="0.25">
      <c r="A374" t="str">
        <f t="shared" si="5"/>
        <v/>
      </c>
      <c r="F374" t="s">
        <v>32</v>
      </c>
    </row>
    <row r="375" spans="1:6" x14ac:dyDescent="0.25">
      <c r="A375" t="str">
        <f t="shared" si="5"/>
        <v/>
      </c>
      <c r="F375" t="s">
        <v>32</v>
      </c>
    </row>
    <row r="376" spans="1:6" x14ac:dyDescent="0.25">
      <c r="A376" t="str">
        <f t="shared" si="5"/>
        <v/>
      </c>
      <c r="F376" t="s">
        <v>32</v>
      </c>
    </row>
    <row r="377" spans="1:6" x14ac:dyDescent="0.25">
      <c r="A377" t="str">
        <f t="shared" si="5"/>
        <v/>
      </c>
      <c r="F377" t="s">
        <v>32</v>
      </c>
    </row>
    <row r="378" spans="1:6" x14ac:dyDescent="0.25">
      <c r="A378" t="str">
        <f t="shared" si="5"/>
        <v/>
      </c>
      <c r="F378" t="s">
        <v>32</v>
      </c>
    </row>
    <row r="379" spans="1:6" x14ac:dyDescent="0.25">
      <c r="A379" t="str">
        <f t="shared" si="5"/>
        <v/>
      </c>
      <c r="F379" t="s">
        <v>32</v>
      </c>
    </row>
    <row r="380" spans="1:6" x14ac:dyDescent="0.25">
      <c r="A380" t="str">
        <f t="shared" si="5"/>
        <v/>
      </c>
      <c r="F380" t="s">
        <v>32</v>
      </c>
    </row>
    <row r="381" spans="1:6" x14ac:dyDescent="0.25">
      <c r="A381" t="str">
        <f t="shared" si="5"/>
        <v/>
      </c>
      <c r="F381" t="s">
        <v>32</v>
      </c>
    </row>
    <row r="382" spans="1:6" x14ac:dyDescent="0.25">
      <c r="A382" t="str">
        <f t="shared" si="5"/>
        <v/>
      </c>
      <c r="F382" t="s">
        <v>32</v>
      </c>
    </row>
    <row r="383" spans="1:6" x14ac:dyDescent="0.25">
      <c r="A383" t="str">
        <f t="shared" si="5"/>
        <v/>
      </c>
      <c r="F383" t="s">
        <v>32</v>
      </c>
    </row>
    <row r="384" spans="1:6" x14ac:dyDescent="0.25">
      <c r="A384" t="str">
        <f t="shared" si="5"/>
        <v/>
      </c>
      <c r="F384" t="s">
        <v>32</v>
      </c>
    </row>
    <row r="385" spans="1:6" x14ac:dyDescent="0.25">
      <c r="A385" t="str">
        <f t="shared" si="5"/>
        <v/>
      </c>
      <c r="F385" t="s">
        <v>32</v>
      </c>
    </row>
    <row r="386" spans="1:6" x14ac:dyDescent="0.25">
      <c r="A386" t="str">
        <f t="shared" ref="A386:A449" si="6">IF(B386="","","CLI"&amp;TEXT(ROW()-1,"000000"))</f>
        <v/>
      </c>
      <c r="F386" t="s">
        <v>32</v>
      </c>
    </row>
    <row r="387" spans="1:6" x14ac:dyDescent="0.25">
      <c r="A387" t="str">
        <f t="shared" si="6"/>
        <v/>
      </c>
      <c r="F387" t="s">
        <v>32</v>
      </c>
    </row>
    <row r="388" spans="1:6" x14ac:dyDescent="0.25">
      <c r="A388" t="str">
        <f t="shared" si="6"/>
        <v/>
      </c>
      <c r="F388" t="s">
        <v>32</v>
      </c>
    </row>
    <row r="389" spans="1:6" x14ac:dyDescent="0.25">
      <c r="A389" t="str">
        <f t="shared" si="6"/>
        <v/>
      </c>
      <c r="F389" t="s">
        <v>32</v>
      </c>
    </row>
    <row r="390" spans="1:6" x14ac:dyDescent="0.25">
      <c r="A390" t="str">
        <f t="shared" si="6"/>
        <v/>
      </c>
      <c r="F390" t="s">
        <v>32</v>
      </c>
    </row>
    <row r="391" spans="1:6" x14ac:dyDescent="0.25">
      <c r="A391" t="str">
        <f t="shared" si="6"/>
        <v/>
      </c>
      <c r="F391" t="s">
        <v>32</v>
      </c>
    </row>
    <row r="392" spans="1:6" x14ac:dyDescent="0.25">
      <c r="A392" t="str">
        <f t="shared" si="6"/>
        <v/>
      </c>
      <c r="F392" t="s">
        <v>32</v>
      </c>
    </row>
    <row r="393" spans="1:6" x14ac:dyDescent="0.25">
      <c r="A393" t="str">
        <f t="shared" si="6"/>
        <v/>
      </c>
      <c r="F393" t="s">
        <v>32</v>
      </c>
    </row>
    <row r="394" spans="1:6" x14ac:dyDescent="0.25">
      <c r="A394" t="str">
        <f t="shared" si="6"/>
        <v/>
      </c>
      <c r="F394" t="s">
        <v>32</v>
      </c>
    </row>
    <row r="395" spans="1:6" x14ac:dyDescent="0.25">
      <c r="A395" t="str">
        <f t="shared" si="6"/>
        <v/>
      </c>
      <c r="F395" t="s">
        <v>32</v>
      </c>
    </row>
    <row r="396" spans="1:6" x14ac:dyDescent="0.25">
      <c r="A396" t="str">
        <f t="shared" si="6"/>
        <v/>
      </c>
      <c r="F396" t="s">
        <v>32</v>
      </c>
    </row>
    <row r="397" spans="1:6" x14ac:dyDescent="0.25">
      <c r="A397" t="str">
        <f t="shared" si="6"/>
        <v/>
      </c>
      <c r="F397" t="s">
        <v>32</v>
      </c>
    </row>
    <row r="398" spans="1:6" x14ac:dyDescent="0.25">
      <c r="A398" t="str">
        <f t="shared" si="6"/>
        <v/>
      </c>
      <c r="F398" t="s">
        <v>32</v>
      </c>
    </row>
    <row r="399" spans="1:6" x14ac:dyDescent="0.25">
      <c r="A399" t="str">
        <f t="shared" si="6"/>
        <v/>
      </c>
      <c r="F399" t="s">
        <v>32</v>
      </c>
    </row>
    <row r="400" spans="1:6" x14ac:dyDescent="0.25">
      <c r="A400" t="str">
        <f t="shared" si="6"/>
        <v/>
      </c>
      <c r="F400" t="s">
        <v>32</v>
      </c>
    </row>
    <row r="401" spans="1:6" x14ac:dyDescent="0.25">
      <c r="A401" t="str">
        <f t="shared" si="6"/>
        <v/>
      </c>
      <c r="F401" t="s">
        <v>32</v>
      </c>
    </row>
    <row r="402" spans="1:6" x14ac:dyDescent="0.25">
      <c r="A402" t="str">
        <f t="shared" si="6"/>
        <v/>
      </c>
      <c r="F402" t="s">
        <v>32</v>
      </c>
    </row>
    <row r="403" spans="1:6" x14ac:dyDescent="0.25">
      <c r="A403" t="str">
        <f t="shared" si="6"/>
        <v/>
      </c>
      <c r="F403" t="s">
        <v>32</v>
      </c>
    </row>
    <row r="404" spans="1:6" x14ac:dyDescent="0.25">
      <c r="A404" t="str">
        <f t="shared" si="6"/>
        <v/>
      </c>
      <c r="F404" t="s">
        <v>32</v>
      </c>
    </row>
    <row r="405" spans="1:6" x14ac:dyDescent="0.25">
      <c r="A405" t="str">
        <f t="shared" si="6"/>
        <v/>
      </c>
      <c r="F405" t="s">
        <v>32</v>
      </c>
    </row>
    <row r="406" spans="1:6" x14ac:dyDescent="0.25">
      <c r="A406" t="str">
        <f t="shared" si="6"/>
        <v/>
      </c>
      <c r="F406" t="s">
        <v>32</v>
      </c>
    </row>
    <row r="407" spans="1:6" x14ac:dyDescent="0.25">
      <c r="A407" t="str">
        <f t="shared" si="6"/>
        <v/>
      </c>
      <c r="F407" t="s">
        <v>32</v>
      </c>
    </row>
    <row r="408" spans="1:6" x14ac:dyDescent="0.25">
      <c r="A408" t="str">
        <f t="shared" si="6"/>
        <v/>
      </c>
      <c r="F408" t="s">
        <v>32</v>
      </c>
    </row>
    <row r="409" spans="1:6" x14ac:dyDescent="0.25">
      <c r="A409" t="str">
        <f t="shared" si="6"/>
        <v/>
      </c>
      <c r="F409" t="s">
        <v>32</v>
      </c>
    </row>
    <row r="410" spans="1:6" x14ac:dyDescent="0.25">
      <c r="A410" t="str">
        <f t="shared" si="6"/>
        <v/>
      </c>
      <c r="F410" t="s">
        <v>32</v>
      </c>
    </row>
    <row r="411" spans="1:6" x14ac:dyDescent="0.25">
      <c r="A411" t="str">
        <f t="shared" si="6"/>
        <v/>
      </c>
      <c r="F411" t="s">
        <v>32</v>
      </c>
    </row>
    <row r="412" spans="1:6" x14ac:dyDescent="0.25">
      <c r="A412" t="str">
        <f t="shared" si="6"/>
        <v/>
      </c>
      <c r="F412" t="s">
        <v>32</v>
      </c>
    </row>
    <row r="413" spans="1:6" x14ac:dyDescent="0.25">
      <c r="A413" t="str">
        <f t="shared" si="6"/>
        <v/>
      </c>
      <c r="F413" t="s">
        <v>32</v>
      </c>
    </row>
    <row r="414" spans="1:6" x14ac:dyDescent="0.25">
      <c r="A414" t="str">
        <f t="shared" si="6"/>
        <v/>
      </c>
      <c r="F414" t="s">
        <v>32</v>
      </c>
    </row>
    <row r="415" spans="1:6" x14ac:dyDescent="0.25">
      <c r="A415" t="str">
        <f t="shared" si="6"/>
        <v/>
      </c>
      <c r="F415" t="s">
        <v>32</v>
      </c>
    </row>
    <row r="416" spans="1:6" x14ac:dyDescent="0.25">
      <c r="A416" t="str">
        <f t="shared" si="6"/>
        <v/>
      </c>
      <c r="F416" t="s">
        <v>32</v>
      </c>
    </row>
    <row r="417" spans="1:6" x14ac:dyDescent="0.25">
      <c r="A417" t="str">
        <f t="shared" si="6"/>
        <v/>
      </c>
      <c r="F417" t="s">
        <v>32</v>
      </c>
    </row>
    <row r="418" spans="1:6" x14ac:dyDescent="0.25">
      <c r="A418" t="str">
        <f t="shared" si="6"/>
        <v/>
      </c>
      <c r="F418" t="s">
        <v>32</v>
      </c>
    </row>
    <row r="419" spans="1:6" x14ac:dyDescent="0.25">
      <c r="A419" t="str">
        <f t="shared" si="6"/>
        <v/>
      </c>
      <c r="F419" t="s">
        <v>32</v>
      </c>
    </row>
    <row r="420" spans="1:6" x14ac:dyDescent="0.25">
      <c r="A420" t="str">
        <f t="shared" si="6"/>
        <v/>
      </c>
      <c r="F420" t="s">
        <v>32</v>
      </c>
    </row>
    <row r="421" spans="1:6" x14ac:dyDescent="0.25">
      <c r="A421" t="str">
        <f t="shared" si="6"/>
        <v/>
      </c>
      <c r="F421" t="s">
        <v>32</v>
      </c>
    </row>
    <row r="422" spans="1:6" x14ac:dyDescent="0.25">
      <c r="A422" t="str">
        <f t="shared" si="6"/>
        <v/>
      </c>
      <c r="F422" t="s">
        <v>32</v>
      </c>
    </row>
    <row r="423" spans="1:6" x14ac:dyDescent="0.25">
      <c r="A423" t="str">
        <f t="shared" si="6"/>
        <v/>
      </c>
      <c r="F423" t="s">
        <v>32</v>
      </c>
    </row>
    <row r="424" spans="1:6" x14ac:dyDescent="0.25">
      <c r="A424" t="str">
        <f t="shared" si="6"/>
        <v/>
      </c>
      <c r="F424" t="s">
        <v>32</v>
      </c>
    </row>
    <row r="425" spans="1:6" x14ac:dyDescent="0.25">
      <c r="A425" t="str">
        <f t="shared" si="6"/>
        <v/>
      </c>
      <c r="F425" t="s">
        <v>32</v>
      </c>
    </row>
    <row r="426" spans="1:6" x14ac:dyDescent="0.25">
      <c r="A426" t="str">
        <f t="shared" si="6"/>
        <v/>
      </c>
      <c r="F426" t="s">
        <v>32</v>
      </c>
    </row>
    <row r="427" spans="1:6" x14ac:dyDescent="0.25">
      <c r="A427" t="str">
        <f t="shared" si="6"/>
        <v/>
      </c>
      <c r="F427" t="s">
        <v>32</v>
      </c>
    </row>
    <row r="428" spans="1:6" x14ac:dyDescent="0.25">
      <c r="A428" t="str">
        <f t="shared" si="6"/>
        <v/>
      </c>
      <c r="F428" t="s">
        <v>32</v>
      </c>
    </row>
    <row r="429" spans="1:6" x14ac:dyDescent="0.25">
      <c r="A429" t="str">
        <f t="shared" si="6"/>
        <v/>
      </c>
      <c r="F429" t="s">
        <v>32</v>
      </c>
    </row>
    <row r="430" spans="1:6" x14ac:dyDescent="0.25">
      <c r="A430" t="str">
        <f t="shared" si="6"/>
        <v/>
      </c>
      <c r="F430" t="s">
        <v>32</v>
      </c>
    </row>
    <row r="431" spans="1:6" x14ac:dyDescent="0.25">
      <c r="A431" t="str">
        <f t="shared" si="6"/>
        <v/>
      </c>
      <c r="F431" t="s">
        <v>32</v>
      </c>
    </row>
    <row r="432" spans="1:6" x14ac:dyDescent="0.25">
      <c r="A432" t="str">
        <f t="shared" si="6"/>
        <v/>
      </c>
      <c r="F432" t="s">
        <v>32</v>
      </c>
    </row>
    <row r="433" spans="1:6" x14ac:dyDescent="0.25">
      <c r="A433" t="str">
        <f t="shared" si="6"/>
        <v/>
      </c>
      <c r="F433" t="s">
        <v>32</v>
      </c>
    </row>
    <row r="434" spans="1:6" x14ac:dyDescent="0.25">
      <c r="A434" t="str">
        <f t="shared" si="6"/>
        <v/>
      </c>
      <c r="F434" t="s">
        <v>32</v>
      </c>
    </row>
    <row r="435" spans="1:6" x14ac:dyDescent="0.25">
      <c r="A435" t="str">
        <f t="shared" si="6"/>
        <v/>
      </c>
      <c r="F435" t="s">
        <v>32</v>
      </c>
    </row>
    <row r="436" spans="1:6" x14ac:dyDescent="0.25">
      <c r="A436" t="str">
        <f t="shared" si="6"/>
        <v/>
      </c>
      <c r="F436" t="s">
        <v>32</v>
      </c>
    </row>
    <row r="437" spans="1:6" x14ac:dyDescent="0.25">
      <c r="A437" t="str">
        <f t="shared" si="6"/>
        <v/>
      </c>
      <c r="F437" t="s">
        <v>32</v>
      </c>
    </row>
    <row r="438" spans="1:6" x14ac:dyDescent="0.25">
      <c r="A438" t="str">
        <f t="shared" si="6"/>
        <v/>
      </c>
      <c r="F438" t="s">
        <v>32</v>
      </c>
    </row>
    <row r="439" spans="1:6" x14ac:dyDescent="0.25">
      <c r="A439" t="str">
        <f t="shared" si="6"/>
        <v/>
      </c>
      <c r="F439" t="s">
        <v>32</v>
      </c>
    </row>
    <row r="440" spans="1:6" x14ac:dyDescent="0.25">
      <c r="A440" t="str">
        <f t="shared" si="6"/>
        <v/>
      </c>
      <c r="F440" t="s">
        <v>32</v>
      </c>
    </row>
    <row r="441" spans="1:6" x14ac:dyDescent="0.25">
      <c r="A441" t="str">
        <f t="shared" si="6"/>
        <v/>
      </c>
      <c r="F441" t="s">
        <v>32</v>
      </c>
    </row>
    <row r="442" spans="1:6" x14ac:dyDescent="0.25">
      <c r="A442" t="str">
        <f t="shared" si="6"/>
        <v/>
      </c>
      <c r="F442" t="s">
        <v>32</v>
      </c>
    </row>
    <row r="443" spans="1:6" x14ac:dyDescent="0.25">
      <c r="A443" t="str">
        <f t="shared" si="6"/>
        <v/>
      </c>
      <c r="F443" t="s">
        <v>32</v>
      </c>
    </row>
    <row r="444" spans="1:6" x14ac:dyDescent="0.25">
      <c r="A444" t="str">
        <f t="shared" si="6"/>
        <v/>
      </c>
      <c r="F444" t="s">
        <v>32</v>
      </c>
    </row>
    <row r="445" spans="1:6" x14ac:dyDescent="0.25">
      <c r="A445" t="str">
        <f t="shared" si="6"/>
        <v/>
      </c>
      <c r="F445" t="s">
        <v>32</v>
      </c>
    </row>
    <row r="446" spans="1:6" x14ac:dyDescent="0.25">
      <c r="A446" t="str">
        <f t="shared" si="6"/>
        <v/>
      </c>
      <c r="F446" t="s">
        <v>32</v>
      </c>
    </row>
    <row r="447" spans="1:6" x14ac:dyDescent="0.25">
      <c r="A447" t="str">
        <f t="shared" si="6"/>
        <v/>
      </c>
      <c r="F447" t="s">
        <v>32</v>
      </c>
    </row>
    <row r="448" spans="1:6" x14ac:dyDescent="0.25">
      <c r="A448" t="str">
        <f t="shared" si="6"/>
        <v/>
      </c>
      <c r="F448" t="s">
        <v>32</v>
      </c>
    </row>
    <row r="449" spans="1:6" x14ac:dyDescent="0.25">
      <c r="A449" t="str">
        <f t="shared" si="6"/>
        <v/>
      </c>
      <c r="F449" t="s">
        <v>32</v>
      </c>
    </row>
    <row r="450" spans="1:6" x14ac:dyDescent="0.25">
      <c r="A450" t="str">
        <f t="shared" ref="A450:A513" si="7">IF(B450="","","CLI"&amp;TEXT(ROW()-1,"000000"))</f>
        <v/>
      </c>
      <c r="F450" t="s">
        <v>32</v>
      </c>
    </row>
    <row r="451" spans="1:6" x14ac:dyDescent="0.25">
      <c r="A451" t="str">
        <f t="shared" si="7"/>
        <v/>
      </c>
      <c r="F451" t="s">
        <v>32</v>
      </c>
    </row>
    <row r="452" spans="1:6" x14ac:dyDescent="0.25">
      <c r="A452" t="str">
        <f t="shared" si="7"/>
        <v/>
      </c>
      <c r="F452" t="s">
        <v>32</v>
      </c>
    </row>
    <row r="453" spans="1:6" x14ac:dyDescent="0.25">
      <c r="A453" t="str">
        <f t="shared" si="7"/>
        <v/>
      </c>
      <c r="F453" t="s">
        <v>32</v>
      </c>
    </row>
    <row r="454" spans="1:6" x14ac:dyDescent="0.25">
      <c r="A454" t="str">
        <f t="shared" si="7"/>
        <v/>
      </c>
      <c r="F454" t="s">
        <v>32</v>
      </c>
    </row>
    <row r="455" spans="1:6" x14ac:dyDescent="0.25">
      <c r="A455" t="str">
        <f t="shared" si="7"/>
        <v/>
      </c>
      <c r="F455" t="s">
        <v>32</v>
      </c>
    </row>
    <row r="456" spans="1:6" x14ac:dyDescent="0.25">
      <c r="A456" t="str">
        <f t="shared" si="7"/>
        <v/>
      </c>
      <c r="F456" t="s">
        <v>32</v>
      </c>
    </row>
    <row r="457" spans="1:6" x14ac:dyDescent="0.25">
      <c r="A457" t="str">
        <f t="shared" si="7"/>
        <v/>
      </c>
      <c r="F457" t="s">
        <v>32</v>
      </c>
    </row>
    <row r="458" spans="1:6" x14ac:dyDescent="0.25">
      <c r="A458" t="str">
        <f t="shared" si="7"/>
        <v/>
      </c>
      <c r="F458" t="s">
        <v>32</v>
      </c>
    </row>
    <row r="459" spans="1:6" x14ac:dyDescent="0.25">
      <c r="A459" t="str">
        <f t="shared" si="7"/>
        <v/>
      </c>
      <c r="F459" t="s">
        <v>32</v>
      </c>
    </row>
    <row r="460" spans="1:6" x14ac:dyDescent="0.25">
      <c r="A460" t="str">
        <f t="shared" si="7"/>
        <v/>
      </c>
      <c r="F460" t="s">
        <v>32</v>
      </c>
    </row>
    <row r="461" spans="1:6" x14ac:dyDescent="0.25">
      <c r="A461" t="str">
        <f t="shared" si="7"/>
        <v/>
      </c>
      <c r="F461" t="s">
        <v>32</v>
      </c>
    </row>
    <row r="462" spans="1:6" x14ac:dyDescent="0.25">
      <c r="A462" t="str">
        <f t="shared" si="7"/>
        <v/>
      </c>
      <c r="F462" t="s">
        <v>32</v>
      </c>
    </row>
    <row r="463" spans="1:6" x14ac:dyDescent="0.25">
      <c r="A463" t="str">
        <f t="shared" si="7"/>
        <v/>
      </c>
      <c r="F463" t="s">
        <v>32</v>
      </c>
    </row>
    <row r="464" spans="1:6" x14ac:dyDescent="0.25">
      <c r="A464" t="str">
        <f t="shared" si="7"/>
        <v/>
      </c>
      <c r="F464" t="s">
        <v>32</v>
      </c>
    </row>
    <row r="465" spans="1:6" x14ac:dyDescent="0.25">
      <c r="A465" t="str">
        <f t="shared" si="7"/>
        <v/>
      </c>
      <c r="F465" t="s">
        <v>32</v>
      </c>
    </row>
    <row r="466" spans="1:6" x14ac:dyDescent="0.25">
      <c r="A466" t="str">
        <f t="shared" si="7"/>
        <v/>
      </c>
      <c r="F466" t="s">
        <v>32</v>
      </c>
    </row>
    <row r="467" spans="1:6" x14ac:dyDescent="0.25">
      <c r="A467" t="str">
        <f t="shared" si="7"/>
        <v/>
      </c>
      <c r="F467" t="s">
        <v>32</v>
      </c>
    </row>
    <row r="468" spans="1:6" x14ac:dyDescent="0.25">
      <c r="A468" t="str">
        <f t="shared" si="7"/>
        <v/>
      </c>
      <c r="F468" t="s">
        <v>32</v>
      </c>
    </row>
    <row r="469" spans="1:6" x14ac:dyDescent="0.25">
      <c r="A469" t="str">
        <f t="shared" si="7"/>
        <v/>
      </c>
      <c r="F469" t="s">
        <v>32</v>
      </c>
    </row>
    <row r="470" spans="1:6" x14ac:dyDescent="0.25">
      <c r="A470" t="str">
        <f t="shared" si="7"/>
        <v/>
      </c>
      <c r="F470" t="s">
        <v>32</v>
      </c>
    </row>
    <row r="471" spans="1:6" x14ac:dyDescent="0.25">
      <c r="A471" t="str">
        <f t="shared" si="7"/>
        <v/>
      </c>
      <c r="F471" t="s">
        <v>32</v>
      </c>
    </row>
    <row r="472" spans="1:6" x14ac:dyDescent="0.25">
      <c r="A472" t="str">
        <f t="shared" si="7"/>
        <v/>
      </c>
      <c r="F472" t="s">
        <v>32</v>
      </c>
    </row>
    <row r="473" spans="1:6" x14ac:dyDescent="0.25">
      <c r="A473" t="str">
        <f t="shared" si="7"/>
        <v/>
      </c>
      <c r="F473" t="s">
        <v>32</v>
      </c>
    </row>
    <row r="474" spans="1:6" x14ac:dyDescent="0.25">
      <c r="A474" t="str">
        <f t="shared" si="7"/>
        <v/>
      </c>
      <c r="F474" t="s">
        <v>32</v>
      </c>
    </row>
    <row r="475" spans="1:6" x14ac:dyDescent="0.25">
      <c r="A475" t="str">
        <f t="shared" si="7"/>
        <v/>
      </c>
      <c r="F475" t="s">
        <v>32</v>
      </c>
    </row>
    <row r="476" spans="1:6" x14ac:dyDescent="0.25">
      <c r="A476" t="str">
        <f t="shared" si="7"/>
        <v/>
      </c>
      <c r="F476" t="s">
        <v>32</v>
      </c>
    </row>
    <row r="477" spans="1:6" x14ac:dyDescent="0.25">
      <c r="A477" t="str">
        <f t="shared" si="7"/>
        <v/>
      </c>
      <c r="F477" t="s">
        <v>32</v>
      </c>
    </row>
    <row r="478" spans="1:6" x14ac:dyDescent="0.25">
      <c r="A478" t="str">
        <f t="shared" si="7"/>
        <v/>
      </c>
      <c r="F478" t="s">
        <v>32</v>
      </c>
    </row>
    <row r="479" spans="1:6" x14ac:dyDescent="0.25">
      <c r="A479" t="str">
        <f t="shared" si="7"/>
        <v/>
      </c>
      <c r="F479" t="s">
        <v>32</v>
      </c>
    </row>
    <row r="480" spans="1:6" x14ac:dyDescent="0.25">
      <c r="A480" t="str">
        <f t="shared" si="7"/>
        <v/>
      </c>
      <c r="F480" t="s">
        <v>32</v>
      </c>
    </row>
    <row r="481" spans="1:6" x14ac:dyDescent="0.25">
      <c r="A481" t="str">
        <f t="shared" si="7"/>
        <v/>
      </c>
      <c r="F481" t="s">
        <v>32</v>
      </c>
    </row>
    <row r="482" spans="1:6" x14ac:dyDescent="0.25">
      <c r="A482" t="str">
        <f t="shared" si="7"/>
        <v/>
      </c>
      <c r="F482" t="s">
        <v>32</v>
      </c>
    </row>
    <row r="483" spans="1:6" x14ac:dyDescent="0.25">
      <c r="A483" t="str">
        <f t="shared" si="7"/>
        <v/>
      </c>
      <c r="F483" t="s">
        <v>32</v>
      </c>
    </row>
    <row r="484" spans="1:6" x14ac:dyDescent="0.25">
      <c r="A484" t="str">
        <f t="shared" si="7"/>
        <v/>
      </c>
      <c r="F484" t="s">
        <v>32</v>
      </c>
    </row>
    <row r="485" spans="1:6" x14ac:dyDescent="0.25">
      <c r="A485" t="str">
        <f t="shared" si="7"/>
        <v/>
      </c>
      <c r="F485" t="s">
        <v>32</v>
      </c>
    </row>
    <row r="486" spans="1:6" x14ac:dyDescent="0.25">
      <c r="A486" t="str">
        <f t="shared" si="7"/>
        <v/>
      </c>
      <c r="F486" t="s">
        <v>32</v>
      </c>
    </row>
    <row r="487" spans="1:6" x14ac:dyDescent="0.25">
      <c r="A487" t="str">
        <f t="shared" si="7"/>
        <v/>
      </c>
      <c r="F487" t="s">
        <v>32</v>
      </c>
    </row>
    <row r="488" spans="1:6" x14ac:dyDescent="0.25">
      <c r="A488" t="str">
        <f t="shared" si="7"/>
        <v/>
      </c>
      <c r="F488" t="s">
        <v>32</v>
      </c>
    </row>
    <row r="489" spans="1:6" x14ac:dyDescent="0.25">
      <c r="A489" t="str">
        <f t="shared" si="7"/>
        <v/>
      </c>
      <c r="F489" t="s">
        <v>32</v>
      </c>
    </row>
    <row r="490" spans="1:6" x14ac:dyDescent="0.25">
      <c r="A490" t="str">
        <f t="shared" si="7"/>
        <v/>
      </c>
      <c r="F490" t="s">
        <v>32</v>
      </c>
    </row>
    <row r="491" spans="1:6" x14ac:dyDescent="0.25">
      <c r="A491" t="str">
        <f t="shared" si="7"/>
        <v/>
      </c>
      <c r="F491" t="s">
        <v>32</v>
      </c>
    </row>
    <row r="492" spans="1:6" x14ac:dyDescent="0.25">
      <c r="A492" t="str">
        <f t="shared" si="7"/>
        <v/>
      </c>
      <c r="F492" t="s">
        <v>32</v>
      </c>
    </row>
    <row r="493" spans="1:6" x14ac:dyDescent="0.25">
      <c r="A493" t="str">
        <f t="shared" si="7"/>
        <v/>
      </c>
      <c r="F493" t="s">
        <v>32</v>
      </c>
    </row>
    <row r="494" spans="1:6" x14ac:dyDescent="0.25">
      <c r="A494" t="str">
        <f t="shared" si="7"/>
        <v/>
      </c>
      <c r="F494" t="s">
        <v>32</v>
      </c>
    </row>
    <row r="495" spans="1:6" x14ac:dyDescent="0.25">
      <c r="A495" t="str">
        <f t="shared" si="7"/>
        <v/>
      </c>
      <c r="F495" t="s">
        <v>32</v>
      </c>
    </row>
    <row r="496" spans="1:6" x14ac:dyDescent="0.25">
      <c r="A496" t="str">
        <f t="shared" si="7"/>
        <v/>
      </c>
      <c r="F496" t="s">
        <v>32</v>
      </c>
    </row>
    <row r="497" spans="1:6" x14ac:dyDescent="0.25">
      <c r="A497" t="str">
        <f t="shared" si="7"/>
        <v/>
      </c>
      <c r="F497" t="s">
        <v>32</v>
      </c>
    </row>
    <row r="498" spans="1:6" x14ac:dyDescent="0.25">
      <c r="A498" t="str">
        <f t="shared" si="7"/>
        <v/>
      </c>
      <c r="F498" t="s">
        <v>32</v>
      </c>
    </row>
    <row r="499" spans="1:6" x14ac:dyDescent="0.25">
      <c r="A499" t="str">
        <f t="shared" si="7"/>
        <v/>
      </c>
      <c r="F499" t="s">
        <v>32</v>
      </c>
    </row>
    <row r="500" spans="1:6" x14ac:dyDescent="0.25">
      <c r="A500" t="str">
        <f t="shared" si="7"/>
        <v/>
      </c>
      <c r="F500" t="s">
        <v>32</v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Valor no válido" error="Seleccione un valor permitido." promptTitle="Carne Premium ERP" prompt="Seleccione un valor." xr:uid="{00000000-0002-0000-0300-000000000000}">
          <x14:formula1>
            <xm:f>'02_CATALOGOS'!$B$2:$B$4</xm:f>
          </x14:formula1>
          <xm:sqref>E2:E501</xm:sqref>
        </x14:dataValidation>
        <x14:dataValidation type="list" allowBlank="1" errorTitle="Valor no válido" error="Seleccione un valor permitido." promptTitle="Carne Premium ERP" prompt="Seleccione un valor." xr:uid="{00000000-0002-0000-0300-000001000000}">
          <x14:formula1>
            <xm:f>'02_CATALOGOS'!$D$2:$D$3</xm:f>
          </x14:formula1>
          <xm:sqref>F2:F501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0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5" customWidth="1"/>
    <col min="2" max="2" width="30" customWidth="1"/>
    <col min="3" max="3" width="20" customWidth="1"/>
    <col min="4" max="4" width="16" customWidth="1"/>
    <col min="5" max="7" width="18" customWidth="1"/>
    <col min="8" max="8" width="14" customWidth="1"/>
    <col min="9" max="9" width="32" customWidth="1"/>
  </cols>
  <sheetData>
    <row r="1" spans="1:10" x14ac:dyDescent="0.25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14</v>
      </c>
      <c r="I1" s="2" t="s">
        <v>45</v>
      </c>
      <c r="J1" s="1"/>
    </row>
    <row r="2" spans="1:10" x14ac:dyDescent="0.25">
      <c r="A2" t="str">
        <f t="shared" ref="A2:A65" si="0">IF(B2="","","PRO"&amp;TEXT(ROW()-1,"000000"))</f>
        <v/>
      </c>
      <c r="D2" s="3"/>
      <c r="E2" s="3"/>
      <c r="F2" s="3"/>
      <c r="G2" s="3"/>
      <c r="H2" t="s">
        <v>32</v>
      </c>
    </row>
    <row r="3" spans="1:10" x14ac:dyDescent="0.25">
      <c r="A3" t="str">
        <f t="shared" si="0"/>
        <v/>
      </c>
      <c r="D3" s="3"/>
      <c r="E3" s="3"/>
      <c r="F3" s="3"/>
      <c r="G3" s="3"/>
      <c r="H3" t="s">
        <v>32</v>
      </c>
    </row>
    <row r="4" spans="1:10" x14ac:dyDescent="0.25">
      <c r="A4" t="str">
        <f t="shared" si="0"/>
        <v/>
      </c>
      <c r="D4" s="3"/>
      <c r="E4" s="3"/>
      <c r="F4" s="3"/>
      <c r="G4" s="3"/>
      <c r="H4" t="s">
        <v>32</v>
      </c>
    </row>
    <row r="5" spans="1:10" x14ac:dyDescent="0.25">
      <c r="A5" t="str">
        <f t="shared" si="0"/>
        <v/>
      </c>
      <c r="D5" s="3"/>
      <c r="E5" s="3"/>
      <c r="F5" s="3"/>
      <c r="G5" s="3"/>
      <c r="H5" t="s">
        <v>32</v>
      </c>
    </row>
    <row r="6" spans="1:10" x14ac:dyDescent="0.25">
      <c r="A6" t="str">
        <f t="shared" si="0"/>
        <v/>
      </c>
      <c r="D6" s="3"/>
      <c r="E6" s="3"/>
      <c r="F6" s="3"/>
      <c r="G6" s="3"/>
      <c r="H6" t="s">
        <v>32</v>
      </c>
    </row>
    <row r="7" spans="1:10" x14ac:dyDescent="0.25">
      <c r="A7" t="str">
        <f t="shared" si="0"/>
        <v/>
      </c>
      <c r="D7" s="3"/>
      <c r="E7" s="3"/>
      <c r="F7" s="3"/>
      <c r="G7" s="3"/>
      <c r="H7" t="s">
        <v>32</v>
      </c>
    </row>
    <row r="8" spans="1:10" x14ac:dyDescent="0.25">
      <c r="A8" t="str">
        <f t="shared" si="0"/>
        <v/>
      </c>
      <c r="D8" s="3"/>
      <c r="E8" s="3"/>
      <c r="F8" s="3"/>
      <c r="G8" s="3"/>
      <c r="H8" t="s">
        <v>32</v>
      </c>
    </row>
    <row r="9" spans="1:10" x14ac:dyDescent="0.25">
      <c r="A9" t="str">
        <f t="shared" si="0"/>
        <v/>
      </c>
      <c r="D9" s="3"/>
      <c r="E9" s="3"/>
      <c r="F9" s="3"/>
      <c r="G9" s="3"/>
      <c r="H9" t="s">
        <v>32</v>
      </c>
    </row>
    <row r="10" spans="1:10" x14ac:dyDescent="0.25">
      <c r="A10" t="str">
        <f t="shared" si="0"/>
        <v/>
      </c>
      <c r="D10" s="3"/>
      <c r="E10" s="3"/>
      <c r="F10" s="3"/>
      <c r="G10" s="3"/>
      <c r="H10" t="s">
        <v>32</v>
      </c>
    </row>
    <row r="11" spans="1:10" x14ac:dyDescent="0.25">
      <c r="A11" t="str">
        <f t="shared" si="0"/>
        <v/>
      </c>
      <c r="D11" s="3"/>
      <c r="E11" s="3"/>
      <c r="F11" s="3"/>
      <c r="G11" s="3"/>
      <c r="H11" t="s">
        <v>32</v>
      </c>
    </row>
    <row r="12" spans="1:10" x14ac:dyDescent="0.25">
      <c r="A12" t="str">
        <f t="shared" si="0"/>
        <v/>
      </c>
      <c r="D12" s="3"/>
      <c r="E12" s="3"/>
      <c r="F12" s="3"/>
      <c r="G12" s="3"/>
      <c r="H12" t="s">
        <v>32</v>
      </c>
    </row>
    <row r="13" spans="1:10" x14ac:dyDescent="0.25">
      <c r="A13" t="str">
        <f t="shared" si="0"/>
        <v/>
      </c>
      <c r="D13" s="3"/>
      <c r="E13" s="3"/>
      <c r="F13" s="3"/>
      <c r="G13" s="3"/>
      <c r="H13" t="s">
        <v>32</v>
      </c>
    </row>
    <row r="14" spans="1:10" x14ac:dyDescent="0.25">
      <c r="A14" t="str">
        <f t="shared" si="0"/>
        <v/>
      </c>
      <c r="D14" s="3"/>
      <c r="E14" s="3"/>
      <c r="F14" s="3"/>
      <c r="G14" s="3"/>
      <c r="H14" t="s">
        <v>32</v>
      </c>
    </row>
    <row r="15" spans="1:10" x14ac:dyDescent="0.25">
      <c r="A15" t="str">
        <f t="shared" si="0"/>
        <v/>
      </c>
      <c r="D15" s="3"/>
      <c r="E15" s="3"/>
      <c r="F15" s="3"/>
      <c r="G15" s="3"/>
      <c r="H15" t="s">
        <v>32</v>
      </c>
    </row>
    <row r="16" spans="1:10" x14ac:dyDescent="0.25">
      <c r="A16" t="str">
        <f t="shared" si="0"/>
        <v/>
      </c>
      <c r="D16" s="3"/>
      <c r="E16" s="3"/>
      <c r="F16" s="3"/>
      <c r="G16" s="3"/>
      <c r="H16" t="s">
        <v>32</v>
      </c>
    </row>
    <row r="17" spans="1:8" x14ac:dyDescent="0.25">
      <c r="A17" t="str">
        <f t="shared" si="0"/>
        <v/>
      </c>
      <c r="D17" s="3"/>
      <c r="E17" s="3"/>
      <c r="F17" s="3"/>
      <c r="G17" s="3"/>
      <c r="H17" t="s">
        <v>32</v>
      </c>
    </row>
    <row r="18" spans="1:8" x14ac:dyDescent="0.25">
      <c r="A18" t="str">
        <f t="shared" si="0"/>
        <v/>
      </c>
      <c r="D18" s="3"/>
      <c r="E18" s="3"/>
      <c r="F18" s="3"/>
      <c r="G18" s="3"/>
      <c r="H18" t="s">
        <v>32</v>
      </c>
    </row>
    <row r="19" spans="1:8" x14ac:dyDescent="0.25">
      <c r="A19" t="str">
        <f t="shared" si="0"/>
        <v/>
      </c>
      <c r="D19" s="3"/>
      <c r="E19" s="3"/>
      <c r="F19" s="3"/>
      <c r="G19" s="3"/>
      <c r="H19" t="s">
        <v>32</v>
      </c>
    </row>
    <row r="20" spans="1:8" x14ac:dyDescent="0.25">
      <c r="A20" t="str">
        <f t="shared" si="0"/>
        <v/>
      </c>
      <c r="D20" s="3"/>
      <c r="E20" s="3"/>
      <c r="F20" s="3"/>
      <c r="G20" s="3"/>
      <c r="H20" t="s">
        <v>32</v>
      </c>
    </row>
    <row r="21" spans="1:8" x14ac:dyDescent="0.25">
      <c r="A21" t="str">
        <f t="shared" si="0"/>
        <v/>
      </c>
      <c r="D21" s="3"/>
      <c r="E21" s="3"/>
      <c r="F21" s="3"/>
      <c r="G21" s="3"/>
      <c r="H21" t="s">
        <v>32</v>
      </c>
    </row>
    <row r="22" spans="1:8" x14ac:dyDescent="0.25">
      <c r="A22" t="str">
        <f t="shared" si="0"/>
        <v/>
      </c>
      <c r="D22" s="3"/>
      <c r="E22" s="3"/>
      <c r="F22" s="3"/>
      <c r="G22" s="3"/>
      <c r="H22" t="s">
        <v>32</v>
      </c>
    </row>
    <row r="23" spans="1:8" x14ac:dyDescent="0.25">
      <c r="A23" t="str">
        <f t="shared" si="0"/>
        <v/>
      </c>
      <c r="D23" s="3"/>
      <c r="E23" s="3"/>
      <c r="F23" s="3"/>
      <c r="G23" s="3"/>
      <c r="H23" t="s">
        <v>32</v>
      </c>
    </row>
    <row r="24" spans="1:8" x14ac:dyDescent="0.25">
      <c r="A24" t="str">
        <f t="shared" si="0"/>
        <v/>
      </c>
      <c r="D24" s="3"/>
      <c r="E24" s="3"/>
      <c r="F24" s="3"/>
      <c r="G24" s="3"/>
      <c r="H24" t="s">
        <v>32</v>
      </c>
    </row>
    <row r="25" spans="1:8" x14ac:dyDescent="0.25">
      <c r="A25" t="str">
        <f t="shared" si="0"/>
        <v/>
      </c>
      <c r="D25" s="3"/>
      <c r="E25" s="3"/>
      <c r="F25" s="3"/>
      <c r="G25" s="3"/>
      <c r="H25" t="s">
        <v>32</v>
      </c>
    </row>
    <row r="26" spans="1:8" x14ac:dyDescent="0.25">
      <c r="A26" t="str">
        <f t="shared" si="0"/>
        <v/>
      </c>
      <c r="D26" s="3"/>
      <c r="E26" s="3"/>
      <c r="F26" s="3"/>
      <c r="G26" s="3"/>
      <c r="H26" t="s">
        <v>32</v>
      </c>
    </row>
    <row r="27" spans="1:8" x14ac:dyDescent="0.25">
      <c r="A27" t="str">
        <f t="shared" si="0"/>
        <v/>
      </c>
      <c r="D27" s="3"/>
      <c r="E27" s="3"/>
      <c r="F27" s="3"/>
      <c r="G27" s="3"/>
      <c r="H27" t="s">
        <v>32</v>
      </c>
    </row>
    <row r="28" spans="1:8" x14ac:dyDescent="0.25">
      <c r="A28" t="str">
        <f t="shared" si="0"/>
        <v/>
      </c>
      <c r="D28" s="3"/>
      <c r="E28" s="3"/>
      <c r="F28" s="3"/>
      <c r="G28" s="3"/>
      <c r="H28" t="s">
        <v>32</v>
      </c>
    </row>
    <row r="29" spans="1:8" x14ac:dyDescent="0.25">
      <c r="A29" t="str">
        <f t="shared" si="0"/>
        <v/>
      </c>
      <c r="D29" s="3"/>
      <c r="E29" s="3"/>
      <c r="F29" s="3"/>
      <c r="G29" s="3"/>
      <c r="H29" t="s">
        <v>32</v>
      </c>
    </row>
    <row r="30" spans="1:8" x14ac:dyDescent="0.25">
      <c r="A30" t="str">
        <f t="shared" si="0"/>
        <v/>
      </c>
      <c r="D30" s="3"/>
      <c r="E30" s="3"/>
      <c r="F30" s="3"/>
      <c r="G30" s="3"/>
      <c r="H30" t="s">
        <v>32</v>
      </c>
    </row>
    <row r="31" spans="1:8" x14ac:dyDescent="0.25">
      <c r="A31" t="str">
        <f t="shared" si="0"/>
        <v/>
      </c>
      <c r="D31" s="3"/>
      <c r="E31" s="3"/>
      <c r="F31" s="3"/>
      <c r="G31" s="3"/>
      <c r="H31" t="s">
        <v>32</v>
      </c>
    </row>
    <row r="32" spans="1:8" x14ac:dyDescent="0.25">
      <c r="A32" t="str">
        <f t="shared" si="0"/>
        <v/>
      </c>
      <c r="D32" s="3"/>
      <c r="E32" s="3"/>
      <c r="F32" s="3"/>
      <c r="G32" s="3"/>
      <c r="H32" t="s">
        <v>32</v>
      </c>
    </row>
    <row r="33" spans="1:8" x14ac:dyDescent="0.25">
      <c r="A33" t="str">
        <f t="shared" si="0"/>
        <v/>
      </c>
      <c r="D33" s="3"/>
      <c r="E33" s="3"/>
      <c r="F33" s="3"/>
      <c r="G33" s="3"/>
      <c r="H33" t="s">
        <v>32</v>
      </c>
    </row>
    <row r="34" spans="1:8" x14ac:dyDescent="0.25">
      <c r="A34" t="str">
        <f t="shared" si="0"/>
        <v/>
      </c>
      <c r="D34" s="3"/>
      <c r="E34" s="3"/>
      <c r="F34" s="3"/>
      <c r="G34" s="3"/>
      <c r="H34" t="s">
        <v>32</v>
      </c>
    </row>
    <row r="35" spans="1:8" x14ac:dyDescent="0.25">
      <c r="A35" t="str">
        <f t="shared" si="0"/>
        <v/>
      </c>
      <c r="D35" s="3"/>
      <c r="E35" s="3"/>
      <c r="F35" s="3"/>
      <c r="G35" s="3"/>
      <c r="H35" t="s">
        <v>32</v>
      </c>
    </row>
    <row r="36" spans="1:8" x14ac:dyDescent="0.25">
      <c r="A36" t="str">
        <f t="shared" si="0"/>
        <v/>
      </c>
      <c r="D36" s="3"/>
      <c r="E36" s="3"/>
      <c r="F36" s="3"/>
      <c r="G36" s="3"/>
      <c r="H36" t="s">
        <v>32</v>
      </c>
    </row>
    <row r="37" spans="1:8" x14ac:dyDescent="0.25">
      <c r="A37" t="str">
        <f t="shared" si="0"/>
        <v/>
      </c>
      <c r="D37" s="3"/>
      <c r="E37" s="3"/>
      <c r="F37" s="3"/>
      <c r="G37" s="3"/>
      <c r="H37" t="s">
        <v>32</v>
      </c>
    </row>
    <row r="38" spans="1:8" x14ac:dyDescent="0.25">
      <c r="A38" t="str">
        <f t="shared" si="0"/>
        <v/>
      </c>
      <c r="D38" s="3"/>
      <c r="E38" s="3"/>
      <c r="F38" s="3"/>
      <c r="G38" s="3"/>
      <c r="H38" t="s">
        <v>32</v>
      </c>
    </row>
    <row r="39" spans="1:8" x14ac:dyDescent="0.25">
      <c r="A39" t="str">
        <f t="shared" si="0"/>
        <v/>
      </c>
      <c r="D39" s="3"/>
      <c r="E39" s="3"/>
      <c r="F39" s="3"/>
      <c r="G39" s="3"/>
      <c r="H39" t="s">
        <v>32</v>
      </c>
    </row>
    <row r="40" spans="1:8" x14ac:dyDescent="0.25">
      <c r="A40" t="str">
        <f t="shared" si="0"/>
        <v/>
      </c>
      <c r="D40" s="3"/>
      <c r="E40" s="3"/>
      <c r="F40" s="3"/>
      <c r="G40" s="3"/>
      <c r="H40" t="s">
        <v>32</v>
      </c>
    </row>
    <row r="41" spans="1:8" x14ac:dyDescent="0.25">
      <c r="A41" t="str">
        <f t="shared" si="0"/>
        <v/>
      </c>
      <c r="D41" s="3"/>
      <c r="E41" s="3"/>
      <c r="F41" s="3"/>
      <c r="G41" s="3"/>
      <c r="H41" t="s">
        <v>32</v>
      </c>
    </row>
    <row r="42" spans="1:8" x14ac:dyDescent="0.25">
      <c r="A42" t="str">
        <f t="shared" si="0"/>
        <v/>
      </c>
      <c r="D42" s="3"/>
      <c r="E42" s="3"/>
      <c r="F42" s="3"/>
      <c r="G42" s="3"/>
      <c r="H42" t="s">
        <v>32</v>
      </c>
    </row>
    <row r="43" spans="1:8" x14ac:dyDescent="0.25">
      <c r="A43" t="str">
        <f t="shared" si="0"/>
        <v/>
      </c>
      <c r="D43" s="3"/>
      <c r="E43" s="3"/>
      <c r="F43" s="3"/>
      <c r="G43" s="3"/>
      <c r="H43" t="s">
        <v>32</v>
      </c>
    </row>
    <row r="44" spans="1:8" x14ac:dyDescent="0.25">
      <c r="A44" t="str">
        <f t="shared" si="0"/>
        <v/>
      </c>
      <c r="D44" s="3"/>
      <c r="E44" s="3"/>
      <c r="F44" s="3"/>
      <c r="G44" s="3"/>
      <c r="H44" t="s">
        <v>32</v>
      </c>
    </row>
    <row r="45" spans="1:8" x14ac:dyDescent="0.25">
      <c r="A45" t="str">
        <f t="shared" si="0"/>
        <v/>
      </c>
      <c r="D45" s="3"/>
      <c r="E45" s="3"/>
      <c r="F45" s="3"/>
      <c r="G45" s="3"/>
      <c r="H45" t="s">
        <v>32</v>
      </c>
    </row>
    <row r="46" spans="1:8" x14ac:dyDescent="0.25">
      <c r="A46" t="str">
        <f t="shared" si="0"/>
        <v/>
      </c>
      <c r="D46" s="3"/>
      <c r="E46" s="3"/>
      <c r="F46" s="3"/>
      <c r="G46" s="3"/>
      <c r="H46" t="s">
        <v>32</v>
      </c>
    </row>
    <row r="47" spans="1:8" x14ac:dyDescent="0.25">
      <c r="A47" t="str">
        <f t="shared" si="0"/>
        <v/>
      </c>
      <c r="D47" s="3"/>
      <c r="E47" s="3"/>
      <c r="F47" s="3"/>
      <c r="G47" s="3"/>
      <c r="H47" t="s">
        <v>32</v>
      </c>
    </row>
    <row r="48" spans="1:8" x14ac:dyDescent="0.25">
      <c r="A48" t="str">
        <f t="shared" si="0"/>
        <v/>
      </c>
      <c r="D48" s="3"/>
      <c r="E48" s="3"/>
      <c r="F48" s="3"/>
      <c r="G48" s="3"/>
      <c r="H48" t="s">
        <v>32</v>
      </c>
    </row>
    <row r="49" spans="1:8" x14ac:dyDescent="0.25">
      <c r="A49" t="str">
        <f t="shared" si="0"/>
        <v/>
      </c>
      <c r="D49" s="3"/>
      <c r="E49" s="3"/>
      <c r="F49" s="3"/>
      <c r="G49" s="3"/>
      <c r="H49" t="s">
        <v>32</v>
      </c>
    </row>
    <row r="50" spans="1:8" x14ac:dyDescent="0.25">
      <c r="A50" t="str">
        <f t="shared" si="0"/>
        <v/>
      </c>
      <c r="D50" s="3"/>
      <c r="E50" s="3"/>
      <c r="F50" s="3"/>
      <c r="G50" s="3"/>
      <c r="H50" t="s">
        <v>32</v>
      </c>
    </row>
    <row r="51" spans="1:8" x14ac:dyDescent="0.25">
      <c r="A51" t="str">
        <f t="shared" si="0"/>
        <v/>
      </c>
      <c r="D51" s="3"/>
      <c r="E51" s="3"/>
      <c r="F51" s="3"/>
      <c r="G51" s="3"/>
      <c r="H51" t="s">
        <v>32</v>
      </c>
    </row>
    <row r="52" spans="1:8" x14ac:dyDescent="0.25">
      <c r="A52" t="str">
        <f t="shared" si="0"/>
        <v/>
      </c>
      <c r="D52" s="3"/>
      <c r="E52" s="3"/>
      <c r="F52" s="3"/>
      <c r="G52" s="3"/>
      <c r="H52" t="s">
        <v>32</v>
      </c>
    </row>
    <row r="53" spans="1:8" x14ac:dyDescent="0.25">
      <c r="A53" t="str">
        <f t="shared" si="0"/>
        <v/>
      </c>
      <c r="D53" s="3"/>
      <c r="E53" s="3"/>
      <c r="F53" s="3"/>
      <c r="G53" s="3"/>
      <c r="H53" t="s">
        <v>32</v>
      </c>
    </row>
    <row r="54" spans="1:8" x14ac:dyDescent="0.25">
      <c r="A54" t="str">
        <f t="shared" si="0"/>
        <v/>
      </c>
      <c r="D54" s="3"/>
      <c r="E54" s="3"/>
      <c r="F54" s="3"/>
      <c r="G54" s="3"/>
      <c r="H54" t="s">
        <v>32</v>
      </c>
    </row>
    <row r="55" spans="1:8" x14ac:dyDescent="0.25">
      <c r="A55" t="str">
        <f t="shared" si="0"/>
        <v/>
      </c>
      <c r="D55" s="3"/>
      <c r="E55" s="3"/>
      <c r="F55" s="3"/>
      <c r="G55" s="3"/>
      <c r="H55" t="s">
        <v>32</v>
      </c>
    </row>
    <row r="56" spans="1:8" x14ac:dyDescent="0.25">
      <c r="A56" t="str">
        <f t="shared" si="0"/>
        <v/>
      </c>
      <c r="D56" s="3"/>
      <c r="E56" s="3"/>
      <c r="F56" s="3"/>
      <c r="G56" s="3"/>
      <c r="H56" t="s">
        <v>32</v>
      </c>
    </row>
    <row r="57" spans="1:8" x14ac:dyDescent="0.25">
      <c r="A57" t="str">
        <f t="shared" si="0"/>
        <v/>
      </c>
      <c r="D57" s="3"/>
      <c r="E57" s="3"/>
      <c r="F57" s="3"/>
      <c r="G57" s="3"/>
      <c r="H57" t="s">
        <v>32</v>
      </c>
    </row>
    <row r="58" spans="1:8" x14ac:dyDescent="0.25">
      <c r="A58" t="str">
        <f t="shared" si="0"/>
        <v/>
      </c>
      <c r="D58" s="3"/>
      <c r="E58" s="3"/>
      <c r="F58" s="3"/>
      <c r="G58" s="3"/>
      <c r="H58" t="s">
        <v>32</v>
      </c>
    </row>
    <row r="59" spans="1:8" x14ac:dyDescent="0.25">
      <c r="A59" t="str">
        <f t="shared" si="0"/>
        <v/>
      </c>
      <c r="D59" s="3"/>
      <c r="E59" s="3"/>
      <c r="F59" s="3"/>
      <c r="G59" s="3"/>
      <c r="H59" t="s">
        <v>32</v>
      </c>
    </row>
    <row r="60" spans="1:8" x14ac:dyDescent="0.25">
      <c r="A60" t="str">
        <f t="shared" si="0"/>
        <v/>
      </c>
      <c r="D60" s="3"/>
      <c r="E60" s="3"/>
      <c r="F60" s="3"/>
      <c r="G60" s="3"/>
      <c r="H60" t="s">
        <v>32</v>
      </c>
    </row>
    <row r="61" spans="1:8" x14ac:dyDescent="0.25">
      <c r="A61" t="str">
        <f t="shared" si="0"/>
        <v/>
      </c>
      <c r="D61" s="3"/>
      <c r="E61" s="3"/>
      <c r="F61" s="3"/>
      <c r="G61" s="3"/>
      <c r="H61" t="s">
        <v>32</v>
      </c>
    </row>
    <row r="62" spans="1:8" x14ac:dyDescent="0.25">
      <c r="A62" t="str">
        <f t="shared" si="0"/>
        <v/>
      </c>
      <c r="D62" s="3"/>
      <c r="E62" s="3"/>
      <c r="F62" s="3"/>
      <c r="G62" s="3"/>
      <c r="H62" t="s">
        <v>32</v>
      </c>
    </row>
    <row r="63" spans="1:8" x14ac:dyDescent="0.25">
      <c r="A63" t="str">
        <f t="shared" si="0"/>
        <v/>
      </c>
      <c r="D63" s="3"/>
      <c r="E63" s="3"/>
      <c r="F63" s="3"/>
      <c r="G63" s="3"/>
      <c r="H63" t="s">
        <v>32</v>
      </c>
    </row>
    <row r="64" spans="1:8" x14ac:dyDescent="0.25">
      <c r="A64" t="str">
        <f t="shared" si="0"/>
        <v/>
      </c>
      <c r="D64" s="3"/>
      <c r="E64" s="3"/>
      <c r="F64" s="3"/>
      <c r="G64" s="3"/>
      <c r="H64" t="s">
        <v>32</v>
      </c>
    </row>
    <row r="65" spans="1:8" x14ac:dyDescent="0.25">
      <c r="A65" t="str">
        <f t="shared" si="0"/>
        <v/>
      </c>
      <c r="D65" s="3"/>
      <c r="E65" s="3"/>
      <c r="F65" s="3"/>
      <c r="G65" s="3"/>
      <c r="H65" t="s">
        <v>32</v>
      </c>
    </row>
    <row r="66" spans="1:8" x14ac:dyDescent="0.25">
      <c r="A66" t="str">
        <f t="shared" ref="A66:A129" si="1">IF(B66="","","PRO"&amp;TEXT(ROW()-1,"000000"))</f>
        <v/>
      </c>
      <c r="D66" s="3"/>
      <c r="E66" s="3"/>
      <c r="F66" s="3"/>
      <c r="G66" s="3"/>
      <c r="H66" t="s">
        <v>32</v>
      </c>
    </row>
    <row r="67" spans="1:8" x14ac:dyDescent="0.25">
      <c r="A67" t="str">
        <f t="shared" si="1"/>
        <v/>
      </c>
      <c r="D67" s="3"/>
      <c r="E67" s="3"/>
      <c r="F67" s="3"/>
      <c r="G67" s="3"/>
      <c r="H67" t="s">
        <v>32</v>
      </c>
    </row>
    <row r="68" spans="1:8" x14ac:dyDescent="0.25">
      <c r="A68" t="str">
        <f t="shared" si="1"/>
        <v/>
      </c>
      <c r="D68" s="3"/>
      <c r="E68" s="3"/>
      <c r="F68" s="3"/>
      <c r="G68" s="3"/>
      <c r="H68" t="s">
        <v>32</v>
      </c>
    </row>
    <row r="69" spans="1:8" x14ac:dyDescent="0.25">
      <c r="A69" t="str">
        <f t="shared" si="1"/>
        <v/>
      </c>
      <c r="D69" s="3"/>
      <c r="E69" s="3"/>
      <c r="F69" s="3"/>
      <c r="G69" s="3"/>
      <c r="H69" t="s">
        <v>32</v>
      </c>
    </row>
    <row r="70" spans="1:8" x14ac:dyDescent="0.25">
      <c r="A70" t="str">
        <f t="shared" si="1"/>
        <v/>
      </c>
      <c r="D70" s="3"/>
      <c r="E70" s="3"/>
      <c r="F70" s="3"/>
      <c r="G70" s="3"/>
      <c r="H70" t="s">
        <v>32</v>
      </c>
    </row>
    <row r="71" spans="1:8" x14ac:dyDescent="0.25">
      <c r="A71" t="str">
        <f t="shared" si="1"/>
        <v/>
      </c>
      <c r="D71" s="3"/>
      <c r="E71" s="3"/>
      <c r="F71" s="3"/>
      <c r="G71" s="3"/>
      <c r="H71" t="s">
        <v>32</v>
      </c>
    </row>
    <row r="72" spans="1:8" x14ac:dyDescent="0.25">
      <c r="A72" t="str">
        <f t="shared" si="1"/>
        <v/>
      </c>
      <c r="D72" s="3"/>
      <c r="E72" s="3"/>
      <c r="F72" s="3"/>
      <c r="G72" s="3"/>
      <c r="H72" t="s">
        <v>32</v>
      </c>
    </row>
    <row r="73" spans="1:8" x14ac:dyDescent="0.25">
      <c r="A73" t="str">
        <f t="shared" si="1"/>
        <v/>
      </c>
      <c r="D73" s="3"/>
      <c r="E73" s="3"/>
      <c r="F73" s="3"/>
      <c r="G73" s="3"/>
      <c r="H73" t="s">
        <v>32</v>
      </c>
    </row>
    <row r="74" spans="1:8" x14ac:dyDescent="0.25">
      <c r="A74" t="str">
        <f t="shared" si="1"/>
        <v/>
      </c>
      <c r="D74" s="3"/>
      <c r="E74" s="3"/>
      <c r="F74" s="3"/>
      <c r="G74" s="3"/>
      <c r="H74" t="s">
        <v>32</v>
      </c>
    </row>
    <row r="75" spans="1:8" x14ac:dyDescent="0.25">
      <c r="A75" t="str">
        <f t="shared" si="1"/>
        <v/>
      </c>
      <c r="D75" s="3"/>
      <c r="E75" s="3"/>
      <c r="F75" s="3"/>
      <c r="G75" s="3"/>
      <c r="H75" t="s">
        <v>32</v>
      </c>
    </row>
    <row r="76" spans="1:8" x14ac:dyDescent="0.25">
      <c r="A76" t="str">
        <f t="shared" si="1"/>
        <v/>
      </c>
      <c r="D76" s="3"/>
      <c r="E76" s="3"/>
      <c r="F76" s="3"/>
      <c r="G76" s="3"/>
      <c r="H76" t="s">
        <v>32</v>
      </c>
    </row>
    <row r="77" spans="1:8" x14ac:dyDescent="0.25">
      <c r="A77" t="str">
        <f t="shared" si="1"/>
        <v/>
      </c>
      <c r="D77" s="3"/>
      <c r="E77" s="3"/>
      <c r="F77" s="3"/>
      <c r="G77" s="3"/>
      <c r="H77" t="s">
        <v>32</v>
      </c>
    </row>
    <row r="78" spans="1:8" x14ac:dyDescent="0.25">
      <c r="A78" t="str">
        <f t="shared" si="1"/>
        <v/>
      </c>
      <c r="D78" s="3"/>
      <c r="E78" s="3"/>
      <c r="F78" s="3"/>
      <c r="G78" s="3"/>
      <c r="H78" t="s">
        <v>32</v>
      </c>
    </row>
    <row r="79" spans="1:8" x14ac:dyDescent="0.25">
      <c r="A79" t="str">
        <f t="shared" si="1"/>
        <v/>
      </c>
      <c r="D79" s="3"/>
      <c r="E79" s="3"/>
      <c r="F79" s="3"/>
      <c r="G79" s="3"/>
      <c r="H79" t="s">
        <v>32</v>
      </c>
    </row>
    <row r="80" spans="1:8" x14ac:dyDescent="0.25">
      <c r="A80" t="str">
        <f t="shared" si="1"/>
        <v/>
      </c>
      <c r="D80" s="3"/>
      <c r="E80" s="3"/>
      <c r="F80" s="3"/>
      <c r="G80" s="3"/>
      <c r="H80" t="s">
        <v>32</v>
      </c>
    </row>
    <row r="81" spans="1:8" x14ac:dyDescent="0.25">
      <c r="A81" t="str">
        <f t="shared" si="1"/>
        <v/>
      </c>
      <c r="D81" s="3"/>
      <c r="E81" s="3"/>
      <c r="F81" s="3"/>
      <c r="G81" s="3"/>
      <c r="H81" t="s">
        <v>32</v>
      </c>
    </row>
    <row r="82" spans="1:8" x14ac:dyDescent="0.25">
      <c r="A82" t="str">
        <f t="shared" si="1"/>
        <v/>
      </c>
      <c r="D82" s="3"/>
      <c r="E82" s="3"/>
      <c r="F82" s="3"/>
      <c r="G82" s="3"/>
      <c r="H82" t="s">
        <v>32</v>
      </c>
    </row>
    <row r="83" spans="1:8" x14ac:dyDescent="0.25">
      <c r="A83" t="str">
        <f t="shared" si="1"/>
        <v/>
      </c>
      <c r="D83" s="3"/>
      <c r="E83" s="3"/>
      <c r="F83" s="3"/>
      <c r="G83" s="3"/>
      <c r="H83" t="s">
        <v>32</v>
      </c>
    </row>
    <row r="84" spans="1:8" x14ac:dyDescent="0.25">
      <c r="A84" t="str">
        <f t="shared" si="1"/>
        <v/>
      </c>
      <c r="D84" s="3"/>
      <c r="E84" s="3"/>
      <c r="F84" s="3"/>
      <c r="G84" s="3"/>
      <c r="H84" t="s">
        <v>32</v>
      </c>
    </row>
    <row r="85" spans="1:8" x14ac:dyDescent="0.25">
      <c r="A85" t="str">
        <f t="shared" si="1"/>
        <v/>
      </c>
      <c r="D85" s="3"/>
      <c r="E85" s="3"/>
      <c r="F85" s="3"/>
      <c r="G85" s="3"/>
      <c r="H85" t="s">
        <v>32</v>
      </c>
    </row>
    <row r="86" spans="1:8" x14ac:dyDescent="0.25">
      <c r="A86" t="str">
        <f t="shared" si="1"/>
        <v/>
      </c>
      <c r="D86" s="3"/>
      <c r="E86" s="3"/>
      <c r="F86" s="3"/>
      <c r="G86" s="3"/>
      <c r="H86" t="s">
        <v>32</v>
      </c>
    </row>
    <row r="87" spans="1:8" x14ac:dyDescent="0.25">
      <c r="A87" t="str">
        <f t="shared" si="1"/>
        <v/>
      </c>
      <c r="D87" s="3"/>
      <c r="E87" s="3"/>
      <c r="F87" s="3"/>
      <c r="G87" s="3"/>
      <c r="H87" t="s">
        <v>32</v>
      </c>
    </row>
    <row r="88" spans="1:8" x14ac:dyDescent="0.25">
      <c r="A88" t="str">
        <f t="shared" si="1"/>
        <v/>
      </c>
      <c r="D88" s="3"/>
      <c r="E88" s="3"/>
      <c r="F88" s="3"/>
      <c r="G88" s="3"/>
      <c r="H88" t="s">
        <v>32</v>
      </c>
    </row>
    <row r="89" spans="1:8" x14ac:dyDescent="0.25">
      <c r="A89" t="str">
        <f t="shared" si="1"/>
        <v/>
      </c>
      <c r="D89" s="3"/>
      <c r="E89" s="3"/>
      <c r="F89" s="3"/>
      <c r="G89" s="3"/>
      <c r="H89" t="s">
        <v>32</v>
      </c>
    </row>
    <row r="90" spans="1:8" x14ac:dyDescent="0.25">
      <c r="A90" t="str">
        <f t="shared" si="1"/>
        <v/>
      </c>
      <c r="D90" s="3"/>
      <c r="E90" s="3"/>
      <c r="F90" s="3"/>
      <c r="G90" s="3"/>
      <c r="H90" t="s">
        <v>32</v>
      </c>
    </row>
    <row r="91" spans="1:8" x14ac:dyDescent="0.25">
      <c r="A91" t="str">
        <f t="shared" si="1"/>
        <v/>
      </c>
      <c r="D91" s="3"/>
      <c r="E91" s="3"/>
      <c r="F91" s="3"/>
      <c r="G91" s="3"/>
      <c r="H91" t="s">
        <v>32</v>
      </c>
    </row>
    <row r="92" spans="1:8" x14ac:dyDescent="0.25">
      <c r="A92" t="str">
        <f t="shared" si="1"/>
        <v/>
      </c>
      <c r="D92" s="3"/>
      <c r="E92" s="3"/>
      <c r="F92" s="3"/>
      <c r="G92" s="3"/>
      <c r="H92" t="s">
        <v>32</v>
      </c>
    </row>
    <row r="93" spans="1:8" x14ac:dyDescent="0.25">
      <c r="A93" t="str">
        <f t="shared" si="1"/>
        <v/>
      </c>
      <c r="D93" s="3"/>
      <c r="E93" s="3"/>
      <c r="F93" s="3"/>
      <c r="G93" s="3"/>
      <c r="H93" t="s">
        <v>32</v>
      </c>
    </row>
    <row r="94" spans="1:8" x14ac:dyDescent="0.25">
      <c r="A94" t="str">
        <f t="shared" si="1"/>
        <v/>
      </c>
      <c r="D94" s="3"/>
      <c r="E94" s="3"/>
      <c r="F94" s="3"/>
      <c r="G94" s="3"/>
      <c r="H94" t="s">
        <v>32</v>
      </c>
    </row>
    <row r="95" spans="1:8" x14ac:dyDescent="0.25">
      <c r="A95" t="str">
        <f t="shared" si="1"/>
        <v/>
      </c>
      <c r="D95" s="3"/>
      <c r="E95" s="3"/>
      <c r="F95" s="3"/>
      <c r="G95" s="3"/>
      <c r="H95" t="s">
        <v>32</v>
      </c>
    </row>
    <row r="96" spans="1:8" x14ac:dyDescent="0.25">
      <c r="A96" t="str">
        <f t="shared" si="1"/>
        <v/>
      </c>
      <c r="D96" s="3"/>
      <c r="E96" s="3"/>
      <c r="F96" s="3"/>
      <c r="G96" s="3"/>
      <c r="H96" t="s">
        <v>32</v>
      </c>
    </row>
    <row r="97" spans="1:8" x14ac:dyDescent="0.25">
      <c r="A97" t="str">
        <f t="shared" si="1"/>
        <v/>
      </c>
      <c r="D97" s="3"/>
      <c r="E97" s="3"/>
      <c r="F97" s="3"/>
      <c r="G97" s="3"/>
      <c r="H97" t="s">
        <v>32</v>
      </c>
    </row>
    <row r="98" spans="1:8" x14ac:dyDescent="0.25">
      <c r="A98" t="str">
        <f t="shared" si="1"/>
        <v/>
      </c>
      <c r="D98" s="3"/>
      <c r="E98" s="3"/>
      <c r="F98" s="3"/>
      <c r="G98" s="3"/>
      <c r="H98" t="s">
        <v>32</v>
      </c>
    </row>
    <row r="99" spans="1:8" x14ac:dyDescent="0.25">
      <c r="A99" t="str">
        <f t="shared" si="1"/>
        <v/>
      </c>
      <c r="D99" s="3"/>
      <c r="E99" s="3"/>
      <c r="F99" s="3"/>
      <c r="G99" s="3"/>
      <c r="H99" t="s">
        <v>32</v>
      </c>
    </row>
    <row r="100" spans="1:8" x14ac:dyDescent="0.25">
      <c r="A100" t="str">
        <f t="shared" si="1"/>
        <v/>
      </c>
      <c r="D100" s="3"/>
      <c r="E100" s="3"/>
      <c r="F100" s="3"/>
      <c r="G100" s="3"/>
      <c r="H100" t="s">
        <v>32</v>
      </c>
    </row>
    <row r="101" spans="1:8" x14ac:dyDescent="0.25">
      <c r="A101" t="str">
        <f t="shared" si="1"/>
        <v/>
      </c>
      <c r="D101" s="3"/>
      <c r="E101" s="3"/>
      <c r="F101" s="3"/>
      <c r="G101" s="3"/>
      <c r="H101" t="s">
        <v>32</v>
      </c>
    </row>
    <row r="102" spans="1:8" x14ac:dyDescent="0.25">
      <c r="A102" t="str">
        <f t="shared" si="1"/>
        <v/>
      </c>
      <c r="D102" s="3"/>
      <c r="E102" s="3"/>
      <c r="F102" s="3"/>
      <c r="G102" s="3"/>
      <c r="H102" t="s">
        <v>32</v>
      </c>
    </row>
    <row r="103" spans="1:8" x14ac:dyDescent="0.25">
      <c r="A103" t="str">
        <f t="shared" si="1"/>
        <v/>
      </c>
      <c r="D103" s="3"/>
      <c r="E103" s="3"/>
      <c r="F103" s="3"/>
      <c r="G103" s="3"/>
      <c r="H103" t="s">
        <v>32</v>
      </c>
    </row>
    <row r="104" spans="1:8" x14ac:dyDescent="0.25">
      <c r="A104" t="str">
        <f t="shared" si="1"/>
        <v/>
      </c>
      <c r="D104" s="3"/>
      <c r="E104" s="3"/>
      <c r="F104" s="3"/>
      <c r="G104" s="3"/>
      <c r="H104" t="s">
        <v>32</v>
      </c>
    </row>
    <row r="105" spans="1:8" x14ac:dyDescent="0.25">
      <c r="A105" t="str">
        <f t="shared" si="1"/>
        <v/>
      </c>
      <c r="D105" s="3"/>
      <c r="E105" s="3"/>
      <c r="F105" s="3"/>
      <c r="G105" s="3"/>
      <c r="H105" t="s">
        <v>32</v>
      </c>
    </row>
    <row r="106" spans="1:8" x14ac:dyDescent="0.25">
      <c r="A106" t="str">
        <f t="shared" si="1"/>
        <v/>
      </c>
      <c r="D106" s="3"/>
      <c r="E106" s="3"/>
      <c r="F106" s="3"/>
      <c r="G106" s="3"/>
      <c r="H106" t="s">
        <v>32</v>
      </c>
    </row>
    <row r="107" spans="1:8" x14ac:dyDescent="0.25">
      <c r="A107" t="str">
        <f t="shared" si="1"/>
        <v/>
      </c>
      <c r="D107" s="3"/>
      <c r="E107" s="3"/>
      <c r="F107" s="3"/>
      <c r="G107" s="3"/>
      <c r="H107" t="s">
        <v>32</v>
      </c>
    </row>
    <row r="108" spans="1:8" x14ac:dyDescent="0.25">
      <c r="A108" t="str">
        <f t="shared" si="1"/>
        <v/>
      </c>
      <c r="D108" s="3"/>
      <c r="E108" s="3"/>
      <c r="F108" s="3"/>
      <c r="G108" s="3"/>
      <c r="H108" t="s">
        <v>32</v>
      </c>
    </row>
    <row r="109" spans="1:8" x14ac:dyDescent="0.25">
      <c r="A109" t="str">
        <f t="shared" si="1"/>
        <v/>
      </c>
      <c r="D109" s="3"/>
      <c r="E109" s="3"/>
      <c r="F109" s="3"/>
      <c r="G109" s="3"/>
      <c r="H109" t="s">
        <v>32</v>
      </c>
    </row>
    <row r="110" spans="1:8" x14ac:dyDescent="0.25">
      <c r="A110" t="str">
        <f t="shared" si="1"/>
        <v/>
      </c>
      <c r="D110" s="3"/>
      <c r="E110" s="3"/>
      <c r="F110" s="3"/>
      <c r="G110" s="3"/>
      <c r="H110" t="s">
        <v>32</v>
      </c>
    </row>
    <row r="111" spans="1:8" x14ac:dyDescent="0.25">
      <c r="A111" t="str">
        <f t="shared" si="1"/>
        <v/>
      </c>
      <c r="D111" s="3"/>
      <c r="E111" s="3"/>
      <c r="F111" s="3"/>
      <c r="G111" s="3"/>
      <c r="H111" t="s">
        <v>32</v>
      </c>
    </row>
    <row r="112" spans="1:8" x14ac:dyDescent="0.25">
      <c r="A112" t="str">
        <f t="shared" si="1"/>
        <v/>
      </c>
      <c r="D112" s="3"/>
      <c r="E112" s="3"/>
      <c r="F112" s="3"/>
      <c r="G112" s="3"/>
      <c r="H112" t="s">
        <v>32</v>
      </c>
    </row>
    <row r="113" spans="1:8" x14ac:dyDescent="0.25">
      <c r="A113" t="str">
        <f t="shared" si="1"/>
        <v/>
      </c>
      <c r="D113" s="3"/>
      <c r="E113" s="3"/>
      <c r="F113" s="3"/>
      <c r="G113" s="3"/>
      <c r="H113" t="s">
        <v>32</v>
      </c>
    </row>
    <row r="114" spans="1:8" x14ac:dyDescent="0.25">
      <c r="A114" t="str">
        <f t="shared" si="1"/>
        <v/>
      </c>
      <c r="D114" s="3"/>
      <c r="E114" s="3"/>
      <c r="F114" s="3"/>
      <c r="G114" s="3"/>
      <c r="H114" t="s">
        <v>32</v>
      </c>
    </row>
    <row r="115" spans="1:8" x14ac:dyDescent="0.25">
      <c r="A115" t="str">
        <f t="shared" si="1"/>
        <v/>
      </c>
      <c r="D115" s="3"/>
      <c r="E115" s="3"/>
      <c r="F115" s="3"/>
      <c r="G115" s="3"/>
      <c r="H115" t="s">
        <v>32</v>
      </c>
    </row>
    <row r="116" spans="1:8" x14ac:dyDescent="0.25">
      <c r="A116" t="str">
        <f t="shared" si="1"/>
        <v/>
      </c>
      <c r="D116" s="3"/>
      <c r="E116" s="3"/>
      <c r="F116" s="3"/>
      <c r="G116" s="3"/>
      <c r="H116" t="s">
        <v>32</v>
      </c>
    </row>
    <row r="117" spans="1:8" x14ac:dyDescent="0.25">
      <c r="A117" t="str">
        <f t="shared" si="1"/>
        <v/>
      </c>
      <c r="D117" s="3"/>
      <c r="E117" s="3"/>
      <c r="F117" s="3"/>
      <c r="G117" s="3"/>
      <c r="H117" t="s">
        <v>32</v>
      </c>
    </row>
    <row r="118" spans="1:8" x14ac:dyDescent="0.25">
      <c r="A118" t="str">
        <f t="shared" si="1"/>
        <v/>
      </c>
      <c r="D118" s="3"/>
      <c r="E118" s="3"/>
      <c r="F118" s="3"/>
      <c r="G118" s="3"/>
      <c r="H118" t="s">
        <v>32</v>
      </c>
    </row>
    <row r="119" spans="1:8" x14ac:dyDescent="0.25">
      <c r="A119" t="str">
        <f t="shared" si="1"/>
        <v/>
      </c>
      <c r="D119" s="3"/>
      <c r="E119" s="3"/>
      <c r="F119" s="3"/>
      <c r="G119" s="3"/>
      <c r="H119" t="s">
        <v>32</v>
      </c>
    </row>
    <row r="120" spans="1:8" x14ac:dyDescent="0.25">
      <c r="A120" t="str">
        <f t="shared" si="1"/>
        <v/>
      </c>
      <c r="D120" s="3"/>
      <c r="E120" s="3"/>
      <c r="F120" s="3"/>
      <c r="G120" s="3"/>
      <c r="H120" t="s">
        <v>32</v>
      </c>
    </row>
    <row r="121" spans="1:8" x14ac:dyDescent="0.25">
      <c r="A121" t="str">
        <f t="shared" si="1"/>
        <v/>
      </c>
      <c r="D121" s="3"/>
      <c r="E121" s="3"/>
      <c r="F121" s="3"/>
      <c r="G121" s="3"/>
      <c r="H121" t="s">
        <v>32</v>
      </c>
    </row>
    <row r="122" spans="1:8" x14ac:dyDescent="0.25">
      <c r="A122" t="str">
        <f t="shared" si="1"/>
        <v/>
      </c>
      <c r="D122" s="3"/>
      <c r="E122" s="3"/>
      <c r="F122" s="3"/>
      <c r="G122" s="3"/>
      <c r="H122" t="s">
        <v>32</v>
      </c>
    </row>
    <row r="123" spans="1:8" x14ac:dyDescent="0.25">
      <c r="A123" t="str">
        <f t="shared" si="1"/>
        <v/>
      </c>
      <c r="D123" s="3"/>
      <c r="E123" s="3"/>
      <c r="F123" s="3"/>
      <c r="G123" s="3"/>
      <c r="H123" t="s">
        <v>32</v>
      </c>
    </row>
    <row r="124" spans="1:8" x14ac:dyDescent="0.25">
      <c r="A124" t="str">
        <f t="shared" si="1"/>
        <v/>
      </c>
      <c r="D124" s="3"/>
      <c r="E124" s="3"/>
      <c r="F124" s="3"/>
      <c r="G124" s="3"/>
      <c r="H124" t="s">
        <v>32</v>
      </c>
    </row>
    <row r="125" spans="1:8" x14ac:dyDescent="0.25">
      <c r="A125" t="str">
        <f t="shared" si="1"/>
        <v/>
      </c>
      <c r="D125" s="3"/>
      <c r="E125" s="3"/>
      <c r="F125" s="3"/>
      <c r="G125" s="3"/>
      <c r="H125" t="s">
        <v>32</v>
      </c>
    </row>
    <row r="126" spans="1:8" x14ac:dyDescent="0.25">
      <c r="A126" t="str">
        <f t="shared" si="1"/>
        <v/>
      </c>
      <c r="D126" s="3"/>
      <c r="E126" s="3"/>
      <c r="F126" s="3"/>
      <c r="G126" s="3"/>
      <c r="H126" t="s">
        <v>32</v>
      </c>
    </row>
    <row r="127" spans="1:8" x14ac:dyDescent="0.25">
      <c r="A127" t="str">
        <f t="shared" si="1"/>
        <v/>
      </c>
      <c r="D127" s="3"/>
      <c r="E127" s="3"/>
      <c r="F127" s="3"/>
      <c r="G127" s="3"/>
      <c r="H127" t="s">
        <v>32</v>
      </c>
    </row>
    <row r="128" spans="1:8" x14ac:dyDescent="0.25">
      <c r="A128" t="str">
        <f t="shared" si="1"/>
        <v/>
      </c>
      <c r="D128" s="3"/>
      <c r="E128" s="3"/>
      <c r="F128" s="3"/>
      <c r="G128" s="3"/>
      <c r="H128" t="s">
        <v>32</v>
      </c>
    </row>
    <row r="129" spans="1:8" x14ac:dyDescent="0.25">
      <c r="A129" t="str">
        <f t="shared" si="1"/>
        <v/>
      </c>
      <c r="D129" s="3"/>
      <c r="E129" s="3"/>
      <c r="F129" s="3"/>
      <c r="G129" s="3"/>
      <c r="H129" t="s">
        <v>32</v>
      </c>
    </row>
    <row r="130" spans="1:8" x14ac:dyDescent="0.25">
      <c r="A130" t="str">
        <f t="shared" ref="A130:A193" si="2">IF(B130="","","PRO"&amp;TEXT(ROW()-1,"000000"))</f>
        <v/>
      </c>
      <c r="D130" s="3"/>
      <c r="E130" s="3"/>
      <c r="F130" s="3"/>
      <c r="G130" s="3"/>
      <c r="H130" t="s">
        <v>32</v>
      </c>
    </row>
    <row r="131" spans="1:8" x14ac:dyDescent="0.25">
      <c r="A131" t="str">
        <f t="shared" si="2"/>
        <v/>
      </c>
      <c r="D131" s="3"/>
      <c r="E131" s="3"/>
      <c r="F131" s="3"/>
      <c r="G131" s="3"/>
      <c r="H131" t="s">
        <v>32</v>
      </c>
    </row>
    <row r="132" spans="1:8" x14ac:dyDescent="0.25">
      <c r="A132" t="str">
        <f t="shared" si="2"/>
        <v/>
      </c>
      <c r="D132" s="3"/>
      <c r="E132" s="3"/>
      <c r="F132" s="3"/>
      <c r="G132" s="3"/>
      <c r="H132" t="s">
        <v>32</v>
      </c>
    </row>
    <row r="133" spans="1:8" x14ac:dyDescent="0.25">
      <c r="A133" t="str">
        <f t="shared" si="2"/>
        <v/>
      </c>
      <c r="D133" s="3"/>
      <c r="E133" s="3"/>
      <c r="F133" s="3"/>
      <c r="G133" s="3"/>
      <c r="H133" t="s">
        <v>32</v>
      </c>
    </row>
    <row r="134" spans="1:8" x14ac:dyDescent="0.25">
      <c r="A134" t="str">
        <f t="shared" si="2"/>
        <v/>
      </c>
      <c r="D134" s="3"/>
      <c r="E134" s="3"/>
      <c r="F134" s="3"/>
      <c r="G134" s="3"/>
      <c r="H134" t="s">
        <v>32</v>
      </c>
    </row>
    <row r="135" spans="1:8" x14ac:dyDescent="0.25">
      <c r="A135" t="str">
        <f t="shared" si="2"/>
        <v/>
      </c>
      <c r="D135" s="3"/>
      <c r="E135" s="3"/>
      <c r="F135" s="3"/>
      <c r="G135" s="3"/>
      <c r="H135" t="s">
        <v>32</v>
      </c>
    </row>
    <row r="136" spans="1:8" x14ac:dyDescent="0.25">
      <c r="A136" t="str">
        <f t="shared" si="2"/>
        <v/>
      </c>
      <c r="D136" s="3"/>
      <c r="E136" s="3"/>
      <c r="F136" s="3"/>
      <c r="G136" s="3"/>
      <c r="H136" t="s">
        <v>32</v>
      </c>
    </row>
    <row r="137" spans="1:8" x14ac:dyDescent="0.25">
      <c r="A137" t="str">
        <f t="shared" si="2"/>
        <v/>
      </c>
      <c r="D137" s="3"/>
      <c r="E137" s="3"/>
      <c r="F137" s="3"/>
      <c r="G137" s="3"/>
      <c r="H137" t="s">
        <v>32</v>
      </c>
    </row>
    <row r="138" spans="1:8" x14ac:dyDescent="0.25">
      <c r="A138" t="str">
        <f t="shared" si="2"/>
        <v/>
      </c>
      <c r="D138" s="3"/>
      <c r="E138" s="3"/>
      <c r="F138" s="3"/>
      <c r="G138" s="3"/>
      <c r="H138" t="s">
        <v>32</v>
      </c>
    </row>
    <row r="139" spans="1:8" x14ac:dyDescent="0.25">
      <c r="A139" t="str">
        <f t="shared" si="2"/>
        <v/>
      </c>
      <c r="D139" s="3"/>
      <c r="E139" s="3"/>
      <c r="F139" s="3"/>
      <c r="G139" s="3"/>
      <c r="H139" t="s">
        <v>32</v>
      </c>
    </row>
    <row r="140" spans="1:8" x14ac:dyDescent="0.25">
      <c r="A140" t="str">
        <f t="shared" si="2"/>
        <v/>
      </c>
      <c r="D140" s="3"/>
      <c r="E140" s="3"/>
      <c r="F140" s="3"/>
      <c r="G140" s="3"/>
      <c r="H140" t="s">
        <v>32</v>
      </c>
    </row>
    <row r="141" spans="1:8" x14ac:dyDescent="0.25">
      <c r="A141" t="str">
        <f t="shared" si="2"/>
        <v/>
      </c>
      <c r="D141" s="3"/>
      <c r="E141" s="3"/>
      <c r="F141" s="3"/>
      <c r="G141" s="3"/>
      <c r="H141" t="s">
        <v>32</v>
      </c>
    </row>
    <row r="142" spans="1:8" x14ac:dyDescent="0.25">
      <c r="A142" t="str">
        <f t="shared" si="2"/>
        <v/>
      </c>
      <c r="D142" s="3"/>
      <c r="E142" s="3"/>
      <c r="F142" s="3"/>
      <c r="G142" s="3"/>
      <c r="H142" t="s">
        <v>32</v>
      </c>
    </row>
    <row r="143" spans="1:8" x14ac:dyDescent="0.25">
      <c r="A143" t="str">
        <f t="shared" si="2"/>
        <v/>
      </c>
      <c r="D143" s="3"/>
      <c r="E143" s="3"/>
      <c r="F143" s="3"/>
      <c r="G143" s="3"/>
      <c r="H143" t="s">
        <v>32</v>
      </c>
    </row>
    <row r="144" spans="1:8" x14ac:dyDescent="0.25">
      <c r="A144" t="str">
        <f t="shared" si="2"/>
        <v/>
      </c>
      <c r="D144" s="3"/>
      <c r="E144" s="3"/>
      <c r="F144" s="3"/>
      <c r="G144" s="3"/>
      <c r="H144" t="s">
        <v>32</v>
      </c>
    </row>
    <row r="145" spans="1:8" x14ac:dyDescent="0.25">
      <c r="A145" t="str">
        <f t="shared" si="2"/>
        <v/>
      </c>
      <c r="D145" s="3"/>
      <c r="E145" s="3"/>
      <c r="F145" s="3"/>
      <c r="G145" s="3"/>
      <c r="H145" t="s">
        <v>32</v>
      </c>
    </row>
    <row r="146" spans="1:8" x14ac:dyDescent="0.25">
      <c r="A146" t="str">
        <f t="shared" si="2"/>
        <v/>
      </c>
      <c r="D146" s="3"/>
      <c r="E146" s="3"/>
      <c r="F146" s="3"/>
      <c r="G146" s="3"/>
      <c r="H146" t="s">
        <v>32</v>
      </c>
    </row>
    <row r="147" spans="1:8" x14ac:dyDescent="0.25">
      <c r="A147" t="str">
        <f t="shared" si="2"/>
        <v/>
      </c>
      <c r="D147" s="3"/>
      <c r="E147" s="3"/>
      <c r="F147" s="3"/>
      <c r="G147" s="3"/>
      <c r="H147" t="s">
        <v>32</v>
      </c>
    </row>
    <row r="148" spans="1:8" x14ac:dyDescent="0.25">
      <c r="A148" t="str">
        <f t="shared" si="2"/>
        <v/>
      </c>
      <c r="D148" s="3"/>
      <c r="E148" s="3"/>
      <c r="F148" s="3"/>
      <c r="G148" s="3"/>
      <c r="H148" t="s">
        <v>32</v>
      </c>
    </row>
    <row r="149" spans="1:8" x14ac:dyDescent="0.25">
      <c r="A149" t="str">
        <f t="shared" si="2"/>
        <v/>
      </c>
      <c r="D149" s="3"/>
      <c r="E149" s="3"/>
      <c r="F149" s="3"/>
      <c r="G149" s="3"/>
      <c r="H149" t="s">
        <v>32</v>
      </c>
    </row>
    <row r="150" spans="1:8" x14ac:dyDescent="0.25">
      <c r="A150" t="str">
        <f t="shared" si="2"/>
        <v/>
      </c>
      <c r="D150" s="3"/>
      <c r="E150" s="3"/>
      <c r="F150" s="3"/>
      <c r="G150" s="3"/>
      <c r="H150" t="s">
        <v>32</v>
      </c>
    </row>
    <row r="151" spans="1:8" x14ac:dyDescent="0.25">
      <c r="A151" t="str">
        <f t="shared" si="2"/>
        <v/>
      </c>
      <c r="D151" s="3"/>
      <c r="E151" s="3"/>
      <c r="F151" s="3"/>
      <c r="G151" s="3"/>
      <c r="H151" t="s">
        <v>32</v>
      </c>
    </row>
    <row r="152" spans="1:8" x14ac:dyDescent="0.25">
      <c r="A152" t="str">
        <f t="shared" si="2"/>
        <v/>
      </c>
      <c r="D152" s="3"/>
      <c r="E152" s="3"/>
      <c r="F152" s="3"/>
      <c r="G152" s="3"/>
      <c r="H152" t="s">
        <v>32</v>
      </c>
    </row>
    <row r="153" spans="1:8" x14ac:dyDescent="0.25">
      <c r="A153" t="str">
        <f t="shared" si="2"/>
        <v/>
      </c>
      <c r="D153" s="3"/>
      <c r="E153" s="3"/>
      <c r="F153" s="3"/>
      <c r="G153" s="3"/>
      <c r="H153" t="s">
        <v>32</v>
      </c>
    </row>
    <row r="154" spans="1:8" x14ac:dyDescent="0.25">
      <c r="A154" t="str">
        <f t="shared" si="2"/>
        <v/>
      </c>
      <c r="D154" s="3"/>
      <c r="E154" s="3"/>
      <c r="F154" s="3"/>
      <c r="G154" s="3"/>
      <c r="H154" t="s">
        <v>32</v>
      </c>
    </row>
    <row r="155" spans="1:8" x14ac:dyDescent="0.25">
      <c r="A155" t="str">
        <f t="shared" si="2"/>
        <v/>
      </c>
      <c r="D155" s="3"/>
      <c r="E155" s="3"/>
      <c r="F155" s="3"/>
      <c r="G155" s="3"/>
      <c r="H155" t="s">
        <v>32</v>
      </c>
    </row>
    <row r="156" spans="1:8" x14ac:dyDescent="0.25">
      <c r="A156" t="str">
        <f t="shared" si="2"/>
        <v/>
      </c>
      <c r="D156" s="3"/>
      <c r="E156" s="3"/>
      <c r="F156" s="3"/>
      <c r="G156" s="3"/>
      <c r="H156" t="s">
        <v>32</v>
      </c>
    </row>
    <row r="157" spans="1:8" x14ac:dyDescent="0.25">
      <c r="A157" t="str">
        <f t="shared" si="2"/>
        <v/>
      </c>
      <c r="D157" s="3"/>
      <c r="E157" s="3"/>
      <c r="F157" s="3"/>
      <c r="G157" s="3"/>
      <c r="H157" t="s">
        <v>32</v>
      </c>
    </row>
    <row r="158" spans="1:8" x14ac:dyDescent="0.25">
      <c r="A158" t="str">
        <f t="shared" si="2"/>
        <v/>
      </c>
      <c r="D158" s="3"/>
      <c r="E158" s="3"/>
      <c r="F158" s="3"/>
      <c r="G158" s="3"/>
      <c r="H158" t="s">
        <v>32</v>
      </c>
    </row>
    <row r="159" spans="1:8" x14ac:dyDescent="0.25">
      <c r="A159" t="str">
        <f t="shared" si="2"/>
        <v/>
      </c>
      <c r="D159" s="3"/>
      <c r="E159" s="3"/>
      <c r="F159" s="3"/>
      <c r="G159" s="3"/>
      <c r="H159" t="s">
        <v>32</v>
      </c>
    </row>
    <row r="160" spans="1:8" x14ac:dyDescent="0.25">
      <c r="A160" t="str">
        <f t="shared" si="2"/>
        <v/>
      </c>
      <c r="D160" s="3"/>
      <c r="E160" s="3"/>
      <c r="F160" s="3"/>
      <c r="G160" s="3"/>
      <c r="H160" t="s">
        <v>32</v>
      </c>
    </row>
    <row r="161" spans="1:8" x14ac:dyDescent="0.25">
      <c r="A161" t="str">
        <f t="shared" si="2"/>
        <v/>
      </c>
      <c r="D161" s="3"/>
      <c r="E161" s="3"/>
      <c r="F161" s="3"/>
      <c r="G161" s="3"/>
      <c r="H161" t="s">
        <v>32</v>
      </c>
    </row>
    <row r="162" spans="1:8" x14ac:dyDescent="0.25">
      <c r="A162" t="str">
        <f t="shared" si="2"/>
        <v/>
      </c>
      <c r="D162" s="3"/>
      <c r="E162" s="3"/>
      <c r="F162" s="3"/>
      <c r="G162" s="3"/>
      <c r="H162" t="s">
        <v>32</v>
      </c>
    </row>
    <row r="163" spans="1:8" x14ac:dyDescent="0.25">
      <c r="A163" t="str">
        <f t="shared" si="2"/>
        <v/>
      </c>
      <c r="D163" s="3"/>
      <c r="E163" s="3"/>
      <c r="F163" s="3"/>
      <c r="G163" s="3"/>
      <c r="H163" t="s">
        <v>32</v>
      </c>
    </row>
    <row r="164" spans="1:8" x14ac:dyDescent="0.25">
      <c r="A164" t="str">
        <f t="shared" si="2"/>
        <v/>
      </c>
      <c r="D164" s="3"/>
      <c r="E164" s="3"/>
      <c r="F164" s="3"/>
      <c r="G164" s="3"/>
      <c r="H164" t="s">
        <v>32</v>
      </c>
    </row>
    <row r="165" spans="1:8" x14ac:dyDescent="0.25">
      <c r="A165" t="str">
        <f t="shared" si="2"/>
        <v/>
      </c>
      <c r="D165" s="3"/>
      <c r="E165" s="3"/>
      <c r="F165" s="3"/>
      <c r="G165" s="3"/>
      <c r="H165" t="s">
        <v>32</v>
      </c>
    </row>
    <row r="166" spans="1:8" x14ac:dyDescent="0.25">
      <c r="A166" t="str">
        <f t="shared" si="2"/>
        <v/>
      </c>
      <c r="D166" s="3"/>
      <c r="E166" s="3"/>
      <c r="F166" s="3"/>
      <c r="G166" s="3"/>
      <c r="H166" t="s">
        <v>32</v>
      </c>
    </row>
    <row r="167" spans="1:8" x14ac:dyDescent="0.25">
      <c r="A167" t="str">
        <f t="shared" si="2"/>
        <v/>
      </c>
      <c r="D167" s="3"/>
      <c r="E167" s="3"/>
      <c r="F167" s="3"/>
      <c r="G167" s="3"/>
      <c r="H167" t="s">
        <v>32</v>
      </c>
    </row>
    <row r="168" spans="1:8" x14ac:dyDescent="0.25">
      <c r="A168" t="str">
        <f t="shared" si="2"/>
        <v/>
      </c>
      <c r="D168" s="3"/>
      <c r="E168" s="3"/>
      <c r="F168" s="3"/>
      <c r="G168" s="3"/>
      <c r="H168" t="s">
        <v>32</v>
      </c>
    </row>
    <row r="169" spans="1:8" x14ac:dyDescent="0.25">
      <c r="A169" t="str">
        <f t="shared" si="2"/>
        <v/>
      </c>
      <c r="D169" s="3"/>
      <c r="E169" s="3"/>
      <c r="F169" s="3"/>
      <c r="G169" s="3"/>
      <c r="H169" t="s">
        <v>32</v>
      </c>
    </row>
    <row r="170" spans="1:8" x14ac:dyDescent="0.25">
      <c r="A170" t="str">
        <f t="shared" si="2"/>
        <v/>
      </c>
      <c r="D170" s="3"/>
      <c r="E170" s="3"/>
      <c r="F170" s="3"/>
      <c r="G170" s="3"/>
      <c r="H170" t="s">
        <v>32</v>
      </c>
    </row>
    <row r="171" spans="1:8" x14ac:dyDescent="0.25">
      <c r="A171" t="str">
        <f t="shared" si="2"/>
        <v/>
      </c>
      <c r="D171" s="3"/>
      <c r="E171" s="3"/>
      <c r="F171" s="3"/>
      <c r="G171" s="3"/>
      <c r="H171" t="s">
        <v>32</v>
      </c>
    </row>
    <row r="172" spans="1:8" x14ac:dyDescent="0.25">
      <c r="A172" t="str">
        <f t="shared" si="2"/>
        <v/>
      </c>
      <c r="D172" s="3"/>
      <c r="E172" s="3"/>
      <c r="F172" s="3"/>
      <c r="G172" s="3"/>
      <c r="H172" t="s">
        <v>32</v>
      </c>
    </row>
    <row r="173" spans="1:8" x14ac:dyDescent="0.25">
      <c r="A173" t="str">
        <f t="shared" si="2"/>
        <v/>
      </c>
      <c r="D173" s="3"/>
      <c r="E173" s="3"/>
      <c r="F173" s="3"/>
      <c r="G173" s="3"/>
      <c r="H173" t="s">
        <v>32</v>
      </c>
    </row>
    <row r="174" spans="1:8" x14ac:dyDescent="0.25">
      <c r="A174" t="str">
        <f t="shared" si="2"/>
        <v/>
      </c>
      <c r="D174" s="3"/>
      <c r="E174" s="3"/>
      <c r="F174" s="3"/>
      <c r="G174" s="3"/>
      <c r="H174" t="s">
        <v>32</v>
      </c>
    </row>
    <row r="175" spans="1:8" x14ac:dyDescent="0.25">
      <c r="A175" t="str">
        <f t="shared" si="2"/>
        <v/>
      </c>
      <c r="D175" s="3"/>
      <c r="E175" s="3"/>
      <c r="F175" s="3"/>
      <c r="G175" s="3"/>
      <c r="H175" t="s">
        <v>32</v>
      </c>
    </row>
    <row r="176" spans="1:8" x14ac:dyDescent="0.25">
      <c r="A176" t="str">
        <f t="shared" si="2"/>
        <v/>
      </c>
      <c r="D176" s="3"/>
      <c r="E176" s="3"/>
      <c r="F176" s="3"/>
      <c r="G176" s="3"/>
      <c r="H176" t="s">
        <v>32</v>
      </c>
    </row>
    <row r="177" spans="1:8" x14ac:dyDescent="0.25">
      <c r="A177" t="str">
        <f t="shared" si="2"/>
        <v/>
      </c>
      <c r="D177" s="3"/>
      <c r="E177" s="3"/>
      <c r="F177" s="3"/>
      <c r="G177" s="3"/>
      <c r="H177" t="s">
        <v>32</v>
      </c>
    </row>
    <row r="178" spans="1:8" x14ac:dyDescent="0.25">
      <c r="A178" t="str">
        <f t="shared" si="2"/>
        <v/>
      </c>
      <c r="D178" s="3"/>
      <c r="E178" s="3"/>
      <c r="F178" s="3"/>
      <c r="G178" s="3"/>
      <c r="H178" t="s">
        <v>32</v>
      </c>
    </row>
    <row r="179" spans="1:8" x14ac:dyDescent="0.25">
      <c r="A179" t="str">
        <f t="shared" si="2"/>
        <v/>
      </c>
      <c r="D179" s="3"/>
      <c r="E179" s="3"/>
      <c r="F179" s="3"/>
      <c r="G179" s="3"/>
      <c r="H179" t="s">
        <v>32</v>
      </c>
    </row>
    <row r="180" spans="1:8" x14ac:dyDescent="0.25">
      <c r="A180" t="str">
        <f t="shared" si="2"/>
        <v/>
      </c>
      <c r="D180" s="3"/>
      <c r="E180" s="3"/>
      <c r="F180" s="3"/>
      <c r="G180" s="3"/>
      <c r="H180" t="s">
        <v>32</v>
      </c>
    </row>
    <row r="181" spans="1:8" x14ac:dyDescent="0.25">
      <c r="A181" t="str">
        <f t="shared" si="2"/>
        <v/>
      </c>
      <c r="D181" s="3"/>
      <c r="E181" s="3"/>
      <c r="F181" s="3"/>
      <c r="G181" s="3"/>
      <c r="H181" t="s">
        <v>32</v>
      </c>
    </row>
    <row r="182" spans="1:8" x14ac:dyDescent="0.25">
      <c r="A182" t="str">
        <f t="shared" si="2"/>
        <v/>
      </c>
      <c r="D182" s="3"/>
      <c r="E182" s="3"/>
      <c r="F182" s="3"/>
      <c r="G182" s="3"/>
      <c r="H182" t="s">
        <v>32</v>
      </c>
    </row>
    <row r="183" spans="1:8" x14ac:dyDescent="0.25">
      <c r="A183" t="str">
        <f t="shared" si="2"/>
        <v/>
      </c>
      <c r="D183" s="3"/>
      <c r="E183" s="3"/>
      <c r="F183" s="3"/>
      <c r="G183" s="3"/>
      <c r="H183" t="s">
        <v>32</v>
      </c>
    </row>
    <row r="184" spans="1:8" x14ac:dyDescent="0.25">
      <c r="A184" t="str">
        <f t="shared" si="2"/>
        <v/>
      </c>
      <c r="D184" s="3"/>
      <c r="E184" s="3"/>
      <c r="F184" s="3"/>
      <c r="G184" s="3"/>
      <c r="H184" t="s">
        <v>32</v>
      </c>
    </row>
    <row r="185" spans="1:8" x14ac:dyDescent="0.25">
      <c r="A185" t="str">
        <f t="shared" si="2"/>
        <v/>
      </c>
      <c r="D185" s="3"/>
      <c r="E185" s="3"/>
      <c r="F185" s="3"/>
      <c r="G185" s="3"/>
      <c r="H185" t="s">
        <v>32</v>
      </c>
    </row>
    <row r="186" spans="1:8" x14ac:dyDescent="0.25">
      <c r="A186" t="str">
        <f t="shared" si="2"/>
        <v/>
      </c>
      <c r="D186" s="3"/>
      <c r="E186" s="3"/>
      <c r="F186" s="3"/>
      <c r="G186" s="3"/>
      <c r="H186" t="s">
        <v>32</v>
      </c>
    </row>
    <row r="187" spans="1:8" x14ac:dyDescent="0.25">
      <c r="A187" t="str">
        <f t="shared" si="2"/>
        <v/>
      </c>
      <c r="D187" s="3"/>
      <c r="E187" s="3"/>
      <c r="F187" s="3"/>
      <c r="G187" s="3"/>
      <c r="H187" t="s">
        <v>32</v>
      </c>
    </row>
    <row r="188" spans="1:8" x14ac:dyDescent="0.25">
      <c r="A188" t="str">
        <f t="shared" si="2"/>
        <v/>
      </c>
      <c r="D188" s="3"/>
      <c r="E188" s="3"/>
      <c r="F188" s="3"/>
      <c r="G188" s="3"/>
      <c r="H188" t="s">
        <v>32</v>
      </c>
    </row>
    <row r="189" spans="1:8" x14ac:dyDescent="0.25">
      <c r="A189" t="str">
        <f t="shared" si="2"/>
        <v/>
      </c>
      <c r="D189" s="3"/>
      <c r="E189" s="3"/>
      <c r="F189" s="3"/>
      <c r="G189" s="3"/>
      <c r="H189" t="s">
        <v>32</v>
      </c>
    </row>
    <row r="190" spans="1:8" x14ac:dyDescent="0.25">
      <c r="A190" t="str">
        <f t="shared" si="2"/>
        <v/>
      </c>
      <c r="D190" s="3"/>
      <c r="E190" s="3"/>
      <c r="F190" s="3"/>
      <c r="G190" s="3"/>
      <c r="H190" t="s">
        <v>32</v>
      </c>
    </row>
    <row r="191" spans="1:8" x14ac:dyDescent="0.25">
      <c r="A191" t="str">
        <f t="shared" si="2"/>
        <v/>
      </c>
      <c r="D191" s="3"/>
      <c r="E191" s="3"/>
      <c r="F191" s="3"/>
      <c r="G191" s="3"/>
      <c r="H191" t="s">
        <v>32</v>
      </c>
    </row>
    <row r="192" spans="1:8" x14ac:dyDescent="0.25">
      <c r="A192" t="str">
        <f t="shared" si="2"/>
        <v/>
      </c>
      <c r="D192" s="3"/>
      <c r="E192" s="3"/>
      <c r="F192" s="3"/>
      <c r="G192" s="3"/>
      <c r="H192" t="s">
        <v>32</v>
      </c>
    </row>
    <row r="193" spans="1:8" x14ac:dyDescent="0.25">
      <c r="A193" t="str">
        <f t="shared" si="2"/>
        <v/>
      </c>
      <c r="D193" s="3"/>
      <c r="E193" s="3"/>
      <c r="F193" s="3"/>
      <c r="G193" s="3"/>
      <c r="H193" t="s">
        <v>32</v>
      </c>
    </row>
    <row r="194" spans="1:8" x14ac:dyDescent="0.25">
      <c r="A194" t="str">
        <f t="shared" ref="A194:A257" si="3">IF(B194="","","PRO"&amp;TEXT(ROW()-1,"000000"))</f>
        <v/>
      </c>
      <c r="D194" s="3"/>
      <c r="E194" s="3"/>
      <c r="F194" s="3"/>
      <c r="G194" s="3"/>
      <c r="H194" t="s">
        <v>32</v>
      </c>
    </row>
    <row r="195" spans="1:8" x14ac:dyDescent="0.25">
      <c r="A195" t="str">
        <f t="shared" si="3"/>
        <v/>
      </c>
      <c r="D195" s="3"/>
      <c r="E195" s="3"/>
      <c r="F195" s="3"/>
      <c r="G195" s="3"/>
      <c r="H195" t="s">
        <v>32</v>
      </c>
    </row>
    <row r="196" spans="1:8" x14ac:dyDescent="0.25">
      <c r="A196" t="str">
        <f t="shared" si="3"/>
        <v/>
      </c>
      <c r="D196" s="3"/>
      <c r="E196" s="3"/>
      <c r="F196" s="3"/>
      <c r="G196" s="3"/>
      <c r="H196" t="s">
        <v>32</v>
      </c>
    </row>
    <row r="197" spans="1:8" x14ac:dyDescent="0.25">
      <c r="A197" t="str">
        <f t="shared" si="3"/>
        <v/>
      </c>
      <c r="D197" s="3"/>
      <c r="E197" s="3"/>
      <c r="F197" s="3"/>
      <c r="G197" s="3"/>
      <c r="H197" t="s">
        <v>32</v>
      </c>
    </row>
    <row r="198" spans="1:8" x14ac:dyDescent="0.25">
      <c r="A198" t="str">
        <f t="shared" si="3"/>
        <v/>
      </c>
      <c r="D198" s="3"/>
      <c r="E198" s="3"/>
      <c r="F198" s="3"/>
      <c r="G198" s="3"/>
      <c r="H198" t="s">
        <v>32</v>
      </c>
    </row>
    <row r="199" spans="1:8" x14ac:dyDescent="0.25">
      <c r="A199" t="str">
        <f t="shared" si="3"/>
        <v/>
      </c>
      <c r="D199" s="3"/>
      <c r="E199" s="3"/>
      <c r="F199" s="3"/>
      <c r="G199" s="3"/>
      <c r="H199" t="s">
        <v>32</v>
      </c>
    </row>
    <row r="200" spans="1:8" x14ac:dyDescent="0.25">
      <c r="A200" t="str">
        <f t="shared" si="3"/>
        <v/>
      </c>
      <c r="D200" s="3"/>
      <c r="E200" s="3"/>
      <c r="F200" s="3"/>
      <c r="G200" s="3"/>
      <c r="H200" t="s">
        <v>32</v>
      </c>
    </row>
    <row r="201" spans="1:8" x14ac:dyDescent="0.25">
      <c r="A201" t="str">
        <f t="shared" si="3"/>
        <v/>
      </c>
      <c r="D201" s="3"/>
      <c r="E201" s="3"/>
      <c r="F201" s="3"/>
      <c r="G201" s="3"/>
      <c r="H201" t="s">
        <v>32</v>
      </c>
    </row>
    <row r="202" spans="1:8" x14ac:dyDescent="0.25">
      <c r="A202" t="str">
        <f t="shared" si="3"/>
        <v/>
      </c>
      <c r="D202" s="3"/>
      <c r="E202" s="3"/>
      <c r="F202" s="3"/>
      <c r="G202" s="3"/>
      <c r="H202" t="s">
        <v>32</v>
      </c>
    </row>
    <row r="203" spans="1:8" x14ac:dyDescent="0.25">
      <c r="A203" t="str">
        <f t="shared" si="3"/>
        <v/>
      </c>
      <c r="D203" s="3"/>
      <c r="E203" s="3"/>
      <c r="F203" s="3"/>
      <c r="G203" s="3"/>
      <c r="H203" t="s">
        <v>32</v>
      </c>
    </row>
    <row r="204" spans="1:8" x14ac:dyDescent="0.25">
      <c r="A204" t="str">
        <f t="shared" si="3"/>
        <v/>
      </c>
      <c r="D204" s="3"/>
      <c r="E204" s="3"/>
      <c r="F204" s="3"/>
      <c r="G204" s="3"/>
      <c r="H204" t="s">
        <v>32</v>
      </c>
    </row>
    <row r="205" spans="1:8" x14ac:dyDescent="0.25">
      <c r="A205" t="str">
        <f t="shared" si="3"/>
        <v/>
      </c>
      <c r="D205" s="3"/>
      <c r="E205" s="3"/>
      <c r="F205" s="3"/>
      <c r="G205" s="3"/>
      <c r="H205" t="s">
        <v>32</v>
      </c>
    </row>
    <row r="206" spans="1:8" x14ac:dyDescent="0.25">
      <c r="A206" t="str">
        <f t="shared" si="3"/>
        <v/>
      </c>
      <c r="D206" s="3"/>
      <c r="E206" s="3"/>
      <c r="F206" s="3"/>
      <c r="G206" s="3"/>
      <c r="H206" t="s">
        <v>32</v>
      </c>
    </row>
    <row r="207" spans="1:8" x14ac:dyDescent="0.25">
      <c r="A207" t="str">
        <f t="shared" si="3"/>
        <v/>
      </c>
      <c r="D207" s="3"/>
      <c r="E207" s="3"/>
      <c r="F207" s="3"/>
      <c r="G207" s="3"/>
      <c r="H207" t="s">
        <v>32</v>
      </c>
    </row>
    <row r="208" spans="1:8" x14ac:dyDescent="0.25">
      <c r="A208" t="str">
        <f t="shared" si="3"/>
        <v/>
      </c>
      <c r="D208" s="3"/>
      <c r="E208" s="3"/>
      <c r="F208" s="3"/>
      <c r="G208" s="3"/>
      <c r="H208" t="s">
        <v>32</v>
      </c>
    </row>
    <row r="209" spans="1:8" x14ac:dyDescent="0.25">
      <c r="A209" t="str">
        <f t="shared" si="3"/>
        <v/>
      </c>
      <c r="D209" s="3"/>
      <c r="E209" s="3"/>
      <c r="F209" s="3"/>
      <c r="G209" s="3"/>
      <c r="H209" t="s">
        <v>32</v>
      </c>
    </row>
    <row r="210" spans="1:8" x14ac:dyDescent="0.25">
      <c r="A210" t="str">
        <f t="shared" si="3"/>
        <v/>
      </c>
      <c r="D210" s="3"/>
      <c r="E210" s="3"/>
      <c r="F210" s="3"/>
      <c r="G210" s="3"/>
      <c r="H210" t="s">
        <v>32</v>
      </c>
    </row>
    <row r="211" spans="1:8" x14ac:dyDescent="0.25">
      <c r="A211" t="str">
        <f t="shared" si="3"/>
        <v/>
      </c>
      <c r="D211" s="3"/>
      <c r="E211" s="3"/>
      <c r="F211" s="3"/>
      <c r="G211" s="3"/>
      <c r="H211" t="s">
        <v>32</v>
      </c>
    </row>
    <row r="212" spans="1:8" x14ac:dyDescent="0.25">
      <c r="A212" t="str">
        <f t="shared" si="3"/>
        <v/>
      </c>
      <c r="D212" s="3"/>
      <c r="E212" s="3"/>
      <c r="F212" s="3"/>
      <c r="G212" s="3"/>
      <c r="H212" t="s">
        <v>32</v>
      </c>
    </row>
    <row r="213" spans="1:8" x14ac:dyDescent="0.25">
      <c r="A213" t="str">
        <f t="shared" si="3"/>
        <v/>
      </c>
      <c r="D213" s="3"/>
      <c r="E213" s="3"/>
      <c r="F213" s="3"/>
      <c r="G213" s="3"/>
      <c r="H213" t="s">
        <v>32</v>
      </c>
    </row>
    <row r="214" spans="1:8" x14ac:dyDescent="0.25">
      <c r="A214" t="str">
        <f t="shared" si="3"/>
        <v/>
      </c>
      <c r="D214" s="3"/>
      <c r="E214" s="3"/>
      <c r="F214" s="3"/>
      <c r="G214" s="3"/>
      <c r="H214" t="s">
        <v>32</v>
      </c>
    </row>
    <row r="215" spans="1:8" x14ac:dyDescent="0.25">
      <c r="A215" t="str">
        <f t="shared" si="3"/>
        <v/>
      </c>
      <c r="D215" s="3"/>
      <c r="E215" s="3"/>
      <c r="F215" s="3"/>
      <c r="G215" s="3"/>
      <c r="H215" t="s">
        <v>32</v>
      </c>
    </row>
    <row r="216" spans="1:8" x14ac:dyDescent="0.25">
      <c r="A216" t="str">
        <f t="shared" si="3"/>
        <v/>
      </c>
      <c r="D216" s="3"/>
      <c r="E216" s="3"/>
      <c r="F216" s="3"/>
      <c r="G216" s="3"/>
      <c r="H216" t="s">
        <v>32</v>
      </c>
    </row>
    <row r="217" spans="1:8" x14ac:dyDescent="0.25">
      <c r="A217" t="str">
        <f t="shared" si="3"/>
        <v/>
      </c>
      <c r="D217" s="3"/>
      <c r="E217" s="3"/>
      <c r="F217" s="3"/>
      <c r="G217" s="3"/>
      <c r="H217" t="s">
        <v>32</v>
      </c>
    </row>
    <row r="218" spans="1:8" x14ac:dyDescent="0.25">
      <c r="A218" t="str">
        <f t="shared" si="3"/>
        <v/>
      </c>
      <c r="D218" s="3"/>
      <c r="E218" s="3"/>
      <c r="F218" s="3"/>
      <c r="G218" s="3"/>
      <c r="H218" t="s">
        <v>32</v>
      </c>
    </row>
    <row r="219" spans="1:8" x14ac:dyDescent="0.25">
      <c r="A219" t="str">
        <f t="shared" si="3"/>
        <v/>
      </c>
      <c r="D219" s="3"/>
      <c r="E219" s="3"/>
      <c r="F219" s="3"/>
      <c r="G219" s="3"/>
      <c r="H219" t="s">
        <v>32</v>
      </c>
    </row>
    <row r="220" spans="1:8" x14ac:dyDescent="0.25">
      <c r="A220" t="str">
        <f t="shared" si="3"/>
        <v/>
      </c>
      <c r="D220" s="3"/>
      <c r="E220" s="3"/>
      <c r="F220" s="3"/>
      <c r="G220" s="3"/>
      <c r="H220" t="s">
        <v>32</v>
      </c>
    </row>
    <row r="221" spans="1:8" x14ac:dyDescent="0.25">
      <c r="A221" t="str">
        <f t="shared" si="3"/>
        <v/>
      </c>
      <c r="D221" s="3"/>
      <c r="E221" s="3"/>
      <c r="F221" s="3"/>
      <c r="G221" s="3"/>
      <c r="H221" t="s">
        <v>32</v>
      </c>
    </row>
    <row r="222" spans="1:8" x14ac:dyDescent="0.25">
      <c r="A222" t="str">
        <f t="shared" si="3"/>
        <v/>
      </c>
      <c r="D222" s="3"/>
      <c r="E222" s="3"/>
      <c r="F222" s="3"/>
      <c r="G222" s="3"/>
      <c r="H222" t="s">
        <v>32</v>
      </c>
    </row>
    <row r="223" spans="1:8" x14ac:dyDescent="0.25">
      <c r="A223" t="str">
        <f t="shared" si="3"/>
        <v/>
      </c>
      <c r="D223" s="3"/>
      <c r="E223" s="3"/>
      <c r="F223" s="3"/>
      <c r="G223" s="3"/>
      <c r="H223" t="s">
        <v>32</v>
      </c>
    </row>
    <row r="224" spans="1:8" x14ac:dyDescent="0.25">
      <c r="A224" t="str">
        <f t="shared" si="3"/>
        <v/>
      </c>
      <c r="D224" s="3"/>
      <c r="E224" s="3"/>
      <c r="F224" s="3"/>
      <c r="G224" s="3"/>
      <c r="H224" t="s">
        <v>32</v>
      </c>
    </row>
    <row r="225" spans="1:8" x14ac:dyDescent="0.25">
      <c r="A225" t="str">
        <f t="shared" si="3"/>
        <v/>
      </c>
      <c r="D225" s="3"/>
      <c r="E225" s="3"/>
      <c r="F225" s="3"/>
      <c r="G225" s="3"/>
      <c r="H225" t="s">
        <v>32</v>
      </c>
    </row>
    <row r="226" spans="1:8" x14ac:dyDescent="0.25">
      <c r="A226" t="str">
        <f t="shared" si="3"/>
        <v/>
      </c>
      <c r="D226" s="3"/>
      <c r="E226" s="3"/>
      <c r="F226" s="3"/>
      <c r="G226" s="3"/>
      <c r="H226" t="s">
        <v>32</v>
      </c>
    </row>
    <row r="227" spans="1:8" x14ac:dyDescent="0.25">
      <c r="A227" t="str">
        <f t="shared" si="3"/>
        <v/>
      </c>
      <c r="D227" s="3"/>
      <c r="E227" s="3"/>
      <c r="F227" s="3"/>
      <c r="G227" s="3"/>
      <c r="H227" t="s">
        <v>32</v>
      </c>
    </row>
    <row r="228" spans="1:8" x14ac:dyDescent="0.25">
      <c r="A228" t="str">
        <f t="shared" si="3"/>
        <v/>
      </c>
      <c r="D228" s="3"/>
      <c r="E228" s="3"/>
      <c r="F228" s="3"/>
      <c r="G228" s="3"/>
      <c r="H228" t="s">
        <v>32</v>
      </c>
    </row>
    <row r="229" spans="1:8" x14ac:dyDescent="0.25">
      <c r="A229" t="str">
        <f t="shared" si="3"/>
        <v/>
      </c>
      <c r="D229" s="3"/>
      <c r="E229" s="3"/>
      <c r="F229" s="3"/>
      <c r="G229" s="3"/>
      <c r="H229" t="s">
        <v>32</v>
      </c>
    </row>
    <row r="230" spans="1:8" x14ac:dyDescent="0.25">
      <c r="A230" t="str">
        <f t="shared" si="3"/>
        <v/>
      </c>
      <c r="D230" s="3"/>
      <c r="E230" s="3"/>
      <c r="F230" s="3"/>
      <c r="G230" s="3"/>
      <c r="H230" t="s">
        <v>32</v>
      </c>
    </row>
    <row r="231" spans="1:8" x14ac:dyDescent="0.25">
      <c r="A231" t="str">
        <f t="shared" si="3"/>
        <v/>
      </c>
      <c r="D231" s="3"/>
      <c r="E231" s="3"/>
      <c r="F231" s="3"/>
      <c r="G231" s="3"/>
      <c r="H231" t="s">
        <v>32</v>
      </c>
    </row>
    <row r="232" spans="1:8" x14ac:dyDescent="0.25">
      <c r="A232" t="str">
        <f t="shared" si="3"/>
        <v/>
      </c>
      <c r="D232" s="3"/>
      <c r="E232" s="3"/>
      <c r="F232" s="3"/>
      <c r="G232" s="3"/>
      <c r="H232" t="s">
        <v>32</v>
      </c>
    </row>
    <row r="233" spans="1:8" x14ac:dyDescent="0.25">
      <c r="A233" t="str">
        <f t="shared" si="3"/>
        <v/>
      </c>
      <c r="D233" s="3"/>
      <c r="E233" s="3"/>
      <c r="F233" s="3"/>
      <c r="G233" s="3"/>
      <c r="H233" t="s">
        <v>32</v>
      </c>
    </row>
    <row r="234" spans="1:8" x14ac:dyDescent="0.25">
      <c r="A234" t="str">
        <f t="shared" si="3"/>
        <v/>
      </c>
      <c r="D234" s="3"/>
      <c r="E234" s="3"/>
      <c r="F234" s="3"/>
      <c r="G234" s="3"/>
      <c r="H234" t="s">
        <v>32</v>
      </c>
    </row>
    <row r="235" spans="1:8" x14ac:dyDescent="0.25">
      <c r="A235" t="str">
        <f t="shared" si="3"/>
        <v/>
      </c>
      <c r="D235" s="3"/>
      <c r="E235" s="3"/>
      <c r="F235" s="3"/>
      <c r="G235" s="3"/>
      <c r="H235" t="s">
        <v>32</v>
      </c>
    </row>
    <row r="236" spans="1:8" x14ac:dyDescent="0.25">
      <c r="A236" t="str">
        <f t="shared" si="3"/>
        <v/>
      </c>
      <c r="D236" s="3"/>
      <c r="E236" s="3"/>
      <c r="F236" s="3"/>
      <c r="G236" s="3"/>
      <c r="H236" t="s">
        <v>32</v>
      </c>
    </row>
    <row r="237" spans="1:8" x14ac:dyDescent="0.25">
      <c r="A237" t="str">
        <f t="shared" si="3"/>
        <v/>
      </c>
      <c r="D237" s="3"/>
      <c r="E237" s="3"/>
      <c r="F237" s="3"/>
      <c r="G237" s="3"/>
      <c r="H237" t="s">
        <v>32</v>
      </c>
    </row>
    <row r="238" spans="1:8" x14ac:dyDescent="0.25">
      <c r="A238" t="str">
        <f t="shared" si="3"/>
        <v/>
      </c>
      <c r="D238" s="3"/>
      <c r="E238" s="3"/>
      <c r="F238" s="3"/>
      <c r="G238" s="3"/>
      <c r="H238" t="s">
        <v>32</v>
      </c>
    </row>
    <row r="239" spans="1:8" x14ac:dyDescent="0.25">
      <c r="A239" t="str">
        <f t="shared" si="3"/>
        <v/>
      </c>
      <c r="D239" s="3"/>
      <c r="E239" s="3"/>
      <c r="F239" s="3"/>
      <c r="G239" s="3"/>
      <c r="H239" t="s">
        <v>32</v>
      </c>
    </row>
    <row r="240" spans="1:8" x14ac:dyDescent="0.25">
      <c r="A240" t="str">
        <f t="shared" si="3"/>
        <v/>
      </c>
      <c r="D240" s="3"/>
      <c r="E240" s="3"/>
      <c r="F240" s="3"/>
      <c r="G240" s="3"/>
      <c r="H240" t="s">
        <v>32</v>
      </c>
    </row>
    <row r="241" spans="1:8" x14ac:dyDescent="0.25">
      <c r="A241" t="str">
        <f t="shared" si="3"/>
        <v/>
      </c>
      <c r="D241" s="3"/>
      <c r="E241" s="3"/>
      <c r="F241" s="3"/>
      <c r="G241" s="3"/>
      <c r="H241" t="s">
        <v>32</v>
      </c>
    </row>
    <row r="242" spans="1:8" x14ac:dyDescent="0.25">
      <c r="A242" t="str">
        <f t="shared" si="3"/>
        <v/>
      </c>
      <c r="D242" s="3"/>
      <c r="E242" s="3"/>
      <c r="F242" s="3"/>
      <c r="G242" s="3"/>
      <c r="H242" t="s">
        <v>32</v>
      </c>
    </row>
    <row r="243" spans="1:8" x14ac:dyDescent="0.25">
      <c r="A243" t="str">
        <f t="shared" si="3"/>
        <v/>
      </c>
      <c r="D243" s="3"/>
      <c r="E243" s="3"/>
      <c r="F243" s="3"/>
      <c r="G243" s="3"/>
      <c r="H243" t="s">
        <v>32</v>
      </c>
    </row>
    <row r="244" spans="1:8" x14ac:dyDescent="0.25">
      <c r="A244" t="str">
        <f t="shared" si="3"/>
        <v/>
      </c>
      <c r="D244" s="3"/>
      <c r="E244" s="3"/>
      <c r="F244" s="3"/>
      <c r="G244" s="3"/>
      <c r="H244" t="s">
        <v>32</v>
      </c>
    </row>
    <row r="245" spans="1:8" x14ac:dyDescent="0.25">
      <c r="A245" t="str">
        <f t="shared" si="3"/>
        <v/>
      </c>
      <c r="D245" s="3"/>
      <c r="E245" s="3"/>
      <c r="F245" s="3"/>
      <c r="G245" s="3"/>
      <c r="H245" t="s">
        <v>32</v>
      </c>
    </row>
    <row r="246" spans="1:8" x14ac:dyDescent="0.25">
      <c r="A246" t="str">
        <f t="shared" si="3"/>
        <v/>
      </c>
      <c r="D246" s="3"/>
      <c r="E246" s="3"/>
      <c r="F246" s="3"/>
      <c r="G246" s="3"/>
      <c r="H246" t="s">
        <v>32</v>
      </c>
    </row>
    <row r="247" spans="1:8" x14ac:dyDescent="0.25">
      <c r="A247" t="str">
        <f t="shared" si="3"/>
        <v/>
      </c>
      <c r="D247" s="3"/>
      <c r="E247" s="3"/>
      <c r="F247" s="3"/>
      <c r="G247" s="3"/>
      <c r="H247" t="s">
        <v>32</v>
      </c>
    </row>
    <row r="248" spans="1:8" x14ac:dyDescent="0.25">
      <c r="A248" t="str">
        <f t="shared" si="3"/>
        <v/>
      </c>
      <c r="D248" s="3"/>
      <c r="E248" s="3"/>
      <c r="F248" s="3"/>
      <c r="G248" s="3"/>
      <c r="H248" t="s">
        <v>32</v>
      </c>
    </row>
    <row r="249" spans="1:8" x14ac:dyDescent="0.25">
      <c r="A249" t="str">
        <f t="shared" si="3"/>
        <v/>
      </c>
      <c r="D249" s="3"/>
      <c r="E249" s="3"/>
      <c r="F249" s="3"/>
      <c r="G249" s="3"/>
      <c r="H249" t="s">
        <v>32</v>
      </c>
    </row>
    <row r="250" spans="1:8" x14ac:dyDescent="0.25">
      <c r="A250" t="str">
        <f t="shared" si="3"/>
        <v/>
      </c>
      <c r="D250" s="3"/>
      <c r="E250" s="3"/>
      <c r="F250" s="3"/>
      <c r="G250" s="3"/>
      <c r="H250" t="s">
        <v>32</v>
      </c>
    </row>
    <row r="251" spans="1:8" x14ac:dyDescent="0.25">
      <c r="A251" t="str">
        <f t="shared" si="3"/>
        <v/>
      </c>
      <c r="D251" s="3"/>
      <c r="E251" s="3"/>
      <c r="F251" s="3"/>
      <c r="G251" s="3"/>
      <c r="H251" t="s">
        <v>32</v>
      </c>
    </row>
    <row r="252" spans="1:8" x14ac:dyDescent="0.25">
      <c r="A252" t="str">
        <f t="shared" si="3"/>
        <v/>
      </c>
      <c r="D252" s="3"/>
      <c r="E252" s="3"/>
      <c r="F252" s="3"/>
      <c r="G252" s="3"/>
      <c r="H252" t="s">
        <v>32</v>
      </c>
    </row>
    <row r="253" spans="1:8" x14ac:dyDescent="0.25">
      <c r="A253" t="str">
        <f t="shared" si="3"/>
        <v/>
      </c>
      <c r="D253" s="3"/>
      <c r="E253" s="3"/>
      <c r="F253" s="3"/>
      <c r="G253" s="3"/>
      <c r="H253" t="s">
        <v>32</v>
      </c>
    </row>
    <row r="254" spans="1:8" x14ac:dyDescent="0.25">
      <c r="A254" t="str">
        <f t="shared" si="3"/>
        <v/>
      </c>
      <c r="D254" s="3"/>
      <c r="E254" s="3"/>
      <c r="F254" s="3"/>
      <c r="G254" s="3"/>
      <c r="H254" t="s">
        <v>32</v>
      </c>
    </row>
    <row r="255" spans="1:8" x14ac:dyDescent="0.25">
      <c r="A255" t="str">
        <f t="shared" si="3"/>
        <v/>
      </c>
      <c r="D255" s="3"/>
      <c r="E255" s="3"/>
      <c r="F255" s="3"/>
      <c r="G255" s="3"/>
      <c r="H255" t="s">
        <v>32</v>
      </c>
    </row>
    <row r="256" spans="1:8" x14ac:dyDescent="0.25">
      <c r="A256" t="str">
        <f t="shared" si="3"/>
        <v/>
      </c>
      <c r="D256" s="3"/>
      <c r="E256" s="3"/>
      <c r="F256" s="3"/>
      <c r="G256" s="3"/>
      <c r="H256" t="s">
        <v>32</v>
      </c>
    </row>
    <row r="257" spans="1:8" x14ac:dyDescent="0.25">
      <c r="A257" t="str">
        <f t="shared" si="3"/>
        <v/>
      </c>
      <c r="D257" s="3"/>
      <c r="E257" s="3"/>
      <c r="F257" s="3"/>
      <c r="G257" s="3"/>
      <c r="H257" t="s">
        <v>32</v>
      </c>
    </row>
    <row r="258" spans="1:8" x14ac:dyDescent="0.25">
      <c r="A258" t="str">
        <f t="shared" ref="A258:A321" si="4">IF(B258="","","PRO"&amp;TEXT(ROW()-1,"000000"))</f>
        <v/>
      </c>
      <c r="D258" s="3"/>
      <c r="E258" s="3"/>
      <c r="F258" s="3"/>
      <c r="G258" s="3"/>
      <c r="H258" t="s">
        <v>32</v>
      </c>
    </row>
    <row r="259" spans="1:8" x14ac:dyDescent="0.25">
      <c r="A259" t="str">
        <f t="shared" si="4"/>
        <v/>
      </c>
      <c r="D259" s="3"/>
      <c r="E259" s="3"/>
      <c r="F259" s="3"/>
      <c r="G259" s="3"/>
      <c r="H259" t="s">
        <v>32</v>
      </c>
    </row>
    <row r="260" spans="1:8" x14ac:dyDescent="0.25">
      <c r="A260" t="str">
        <f t="shared" si="4"/>
        <v/>
      </c>
      <c r="D260" s="3"/>
      <c r="E260" s="3"/>
      <c r="F260" s="3"/>
      <c r="G260" s="3"/>
      <c r="H260" t="s">
        <v>32</v>
      </c>
    </row>
    <row r="261" spans="1:8" x14ac:dyDescent="0.25">
      <c r="A261" t="str">
        <f t="shared" si="4"/>
        <v/>
      </c>
      <c r="D261" s="3"/>
      <c r="E261" s="3"/>
      <c r="F261" s="3"/>
      <c r="G261" s="3"/>
      <c r="H261" t="s">
        <v>32</v>
      </c>
    </row>
    <row r="262" spans="1:8" x14ac:dyDescent="0.25">
      <c r="A262" t="str">
        <f t="shared" si="4"/>
        <v/>
      </c>
      <c r="D262" s="3"/>
      <c r="E262" s="3"/>
      <c r="F262" s="3"/>
      <c r="G262" s="3"/>
      <c r="H262" t="s">
        <v>32</v>
      </c>
    </row>
    <row r="263" spans="1:8" x14ac:dyDescent="0.25">
      <c r="A263" t="str">
        <f t="shared" si="4"/>
        <v/>
      </c>
      <c r="D263" s="3"/>
      <c r="E263" s="3"/>
      <c r="F263" s="3"/>
      <c r="G263" s="3"/>
      <c r="H263" t="s">
        <v>32</v>
      </c>
    </row>
    <row r="264" spans="1:8" x14ac:dyDescent="0.25">
      <c r="A264" t="str">
        <f t="shared" si="4"/>
        <v/>
      </c>
      <c r="D264" s="3"/>
      <c r="E264" s="3"/>
      <c r="F264" s="3"/>
      <c r="G264" s="3"/>
      <c r="H264" t="s">
        <v>32</v>
      </c>
    </row>
    <row r="265" spans="1:8" x14ac:dyDescent="0.25">
      <c r="A265" t="str">
        <f t="shared" si="4"/>
        <v/>
      </c>
      <c r="D265" s="3"/>
      <c r="E265" s="3"/>
      <c r="F265" s="3"/>
      <c r="G265" s="3"/>
      <c r="H265" t="s">
        <v>32</v>
      </c>
    </row>
    <row r="266" spans="1:8" x14ac:dyDescent="0.25">
      <c r="A266" t="str">
        <f t="shared" si="4"/>
        <v/>
      </c>
      <c r="D266" s="3"/>
      <c r="E266" s="3"/>
      <c r="F266" s="3"/>
      <c r="G266" s="3"/>
      <c r="H266" t="s">
        <v>32</v>
      </c>
    </row>
    <row r="267" spans="1:8" x14ac:dyDescent="0.25">
      <c r="A267" t="str">
        <f t="shared" si="4"/>
        <v/>
      </c>
      <c r="D267" s="3"/>
      <c r="E267" s="3"/>
      <c r="F267" s="3"/>
      <c r="G267" s="3"/>
      <c r="H267" t="s">
        <v>32</v>
      </c>
    </row>
    <row r="268" spans="1:8" x14ac:dyDescent="0.25">
      <c r="A268" t="str">
        <f t="shared" si="4"/>
        <v/>
      </c>
      <c r="D268" s="3"/>
      <c r="E268" s="3"/>
      <c r="F268" s="3"/>
      <c r="G268" s="3"/>
      <c r="H268" t="s">
        <v>32</v>
      </c>
    </row>
    <row r="269" spans="1:8" x14ac:dyDescent="0.25">
      <c r="A269" t="str">
        <f t="shared" si="4"/>
        <v/>
      </c>
      <c r="D269" s="3"/>
      <c r="E269" s="3"/>
      <c r="F269" s="3"/>
      <c r="G269" s="3"/>
      <c r="H269" t="s">
        <v>32</v>
      </c>
    </row>
    <row r="270" spans="1:8" x14ac:dyDescent="0.25">
      <c r="A270" t="str">
        <f t="shared" si="4"/>
        <v/>
      </c>
      <c r="D270" s="3"/>
      <c r="E270" s="3"/>
      <c r="F270" s="3"/>
      <c r="G270" s="3"/>
      <c r="H270" t="s">
        <v>32</v>
      </c>
    </row>
    <row r="271" spans="1:8" x14ac:dyDescent="0.25">
      <c r="A271" t="str">
        <f t="shared" si="4"/>
        <v/>
      </c>
      <c r="D271" s="3"/>
      <c r="E271" s="3"/>
      <c r="F271" s="3"/>
      <c r="G271" s="3"/>
      <c r="H271" t="s">
        <v>32</v>
      </c>
    </row>
    <row r="272" spans="1:8" x14ac:dyDescent="0.25">
      <c r="A272" t="str">
        <f t="shared" si="4"/>
        <v/>
      </c>
      <c r="D272" s="3"/>
      <c r="E272" s="3"/>
      <c r="F272" s="3"/>
      <c r="G272" s="3"/>
      <c r="H272" t="s">
        <v>32</v>
      </c>
    </row>
    <row r="273" spans="1:8" x14ac:dyDescent="0.25">
      <c r="A273" t="str">
        <f t="shared" si="4"/>
        <v/>
      </c>
      <c r="D273" s="3"/>
      <c r="E273" s="3"/>
      <c r="F273" s="3"/>
      <c r="G273" s="3"/>
      <c r="H273" t="s">
        <v>32</v>
      </c>
    </row>
    <row r="274" spans="1:8" x14ac:dyDescent="0.25">
      <c r="A274" t="str">
        <f t="shared" si="4"/>
        <v/>
      </c>
      <c r="D274" s="3"/>
      <c r="E274" s="3"/>
      <c r="F274" s="3"/>
      <c r="G274" s="3"/>
      <c r="H274" t="s">
        <v>32</v>
      </c>
    </row>
    <row r="275" spans="1:8" x14ac:dyDescent="0.25">
      <c r="A275" t="str">
        <f t="shared" si="4"/>
        <v/>
      </c>
      <c r="D275" s="3"/>
      <c r="E275" s="3"/>
      <c r="F275" s="3"/>
      <c r="G275" s="3"/>
      <c r="H275" t="s">
        <v>32</v>
      </c>
    </row>
    <row r="276" spans="1:8" x14ac:dyDescent="0.25">
      <c r="A276" t="str">
        <f t="shared" si="4"/>
        <v/>
      </c>
      <c r="D276" s="3"/>
      <c r="E276" s="3"/>
      <c r="F276" s="3"/>
      <c r="G276" s="3"/>
      <c r="H276" t="s">
        <v>32</v>
      </c>
    </row>
    <row r="277" spans="1:8" x14ac:dyDescent="0.25">
      <c r="A277" t="str">
        <f t="shared" si="4"/>
        <v/>
      </c>
      <c r="D277" s="3"/>
      <c r="E277" s="3"/>
      <c r="F277" s="3"/>
      <c r="G277" s="3"/>
      <c r="H277" t="s">
        <v>32</v>
      </c>
    </row>
    <row r="278" spans="1:8" x14ac:dyDescent="0.25">
      <c r="A278" t="str">
        <f t="shared" si="4"/>
        <v/>
      </c>
      <c r="D278" s="3"/>
      <c r="E278" s="3"/>
      <c r="F278" s="3"/>
      <c r="G278" s="3"/>
      <c r="H278" t="s">
        <v>32</v>
      </c>
    </row>
    <row r="279" spans="1:8" x14ac:dyDescent="0.25">
      <c r="A279" t="str">
        <f t="shared" si="4"/>
        <v/>
      </c>
      <c r="D279" s="3"/>
      <c r="E279" s="3"/>
      <c r="F279" s="3"/>
      <c r="G279" s="3"/>
      <c r="H279" t="s">
        <v>32</v>
      </c>
    </row>
    <row r="280" spans="1:8" x14ac:dyDescent="0.25">
      <c r="A280" t="str">
        <f t="shared" si="4"/>
        <v/>
      </c>
      <c r="D280" s="3"/>
      <c r="E280" s="3"/>
      <c r="F280" s="3"/>
      <c r="G280" s="3"/>
      <c r="H280" t="s">
        <v>32</v>
      </c>
    </row>
    <row r="281" spans="1:8" x14ac:dyDescent="0.25">
      <c r="A281" t="str">
        <f t="shared" si="4"/>
        <v/>
      </c>
      <c r="D281" s="3"/>
      <c r="E281" s="3"/>
      <c r="F281" s="3"/>
      <c r="G281" s="3"/>
      <c r="H281" t="s">
        <v>32</v>
      </c>
    </row>
    <row r="282" spans="1:8" x14ac:dyDescent="0.25">
      <c r="A282" t="str">
        <f t="shared" si="4"/>
        <v/>
      </c>
      <c r="D282" s="3"/>
      <c r="E282" s="3"/>
      <c r="F282" s="3"/>
      <c r="G282" s="3"/>
      <c r="H282" t="s">
        <v>32</v>
      </c>
    </row>
    <row r="283" spans="1:8" x14ac:dyDescent="0.25">
      <c r="A283" t="str">
        <f t="shared" si="4"/>
        <v/>
      </c>
      <c r="D283" s="3"/>
      <c r="E283" s="3"/>
      <c r="F283" s="3"/>
      <c r="G283" s="3"/>
      <c r="H283" t="s">
        <v>32</v>
      </c>
    </row>
    <row r="284" spans="1:8" x14ac:dyDescent="0.25">
      <c r="A284" t="str">
        <f t="shared" si="4"/>
        <v/>
      </c>
      <c r="D284" s="3"/>
      <c r="E284" s="3"/>
      <c r="F284" s="3"/>
      <c r="G284" s="3"/>
      <c r="H284" t="s">
        <v>32</v>
      </c>
    </row>
    <row r="285" spans="1:8" x14ac:dyDescent="0.25">
      <c r="A285" t="str">
        <f t="shared" si="4"/>
        <v/>
      </c>
      <c r="D285" s="3"/>
      <c r="E285" s="3"/>
      <c r="F285" s="3"/>
      <c r="G285" s="3"/>
      <c r="H285" t="s">
        <v>32</v>
      </c>
    </row>
    <row r="286" spans="1:8" x14ac:dyDescent="0.25">
      <c r="A286" t="str">
        <f t="shared" si="4"/>
        <v/>
      </c>
      <c r="D286" s="3"/>
      <c r="E286" s="3"/>
      <c r="F286" s="3"/>
      <c r="G286" s="3"/>
      <c r="H286" t="s">
        <v>32</v>
      </c>
    </row>
    <row r="287" spans="1:8" x14ac:dyDescent="0.25">
      <c r="A287" t="str">
        <f t="shared" si="4"/>
        <v/>
      </c>
      <c r="D287" s="3"/>
      <c r="E287" s="3"/>
      <c r="F287" s="3"/>
      <c r="G287" s="3"/>
      <c r="H287" t="s">
        <v>32</v>
      </c>
    </row>
    <row r="288" spans="1:8" x14ac:dyDescent="0.25">
      <c r="A288" t="str">
        <f t="shared" si="4"/>
        <v/>
      </c>
      <c r="D288" s="3"/>
      <c r="E288" s="3"/>
      <c r="F288" s="3"/>
      <c r="G288" s="3"/>
      <c r="H288" t="s">
        <v>32</v>
      </c>
    </row>
    <row r="289" spans="1:8" x14ac:dyDescent="0.25">
      <c r="A289" t="str">
        <f t="shared" si="4"/>
        <v/>
      </c>
      <c r="D289" s="3"/>
      <c r="E289" s="3"/>
      <c r="F289" s="3"/>
      <c r="G289" s="3"/>
      <c r="H289" t="s">
        <v>32</v>
      </c>
    </row>
    <row r="290" spans="1:8" x14ac:dyDescent="0.25">
      <c r="A290" t="str">
        <f t="shared" si="4"/>
        <v/>
      </c>
      <c r="D290" s="3"/>
      <c r="E290" s="3"/>
      <c r="F290" s="3"/>
      <c r="G290" s="3"/>
      <c r="H290" t="s">
        <v>32</v>
      </c>
    </row>
    <row r="291" spans="1:8" x14ac:dyDescent="0.25">
      <c r="A291" t="str">
        <f t="shared" si="4"/>
        <v/>
      </c>
      <c r="D291" s="3"/>
      <c r="E291" s="3"/>
      <c r="F291" s="3"/>
      <c r="G291" s="3"/>
      <c r="H291" t="s">
        <v>32</v>
      </c>
    </row>
    <row r="292" spans="1:8" x14ac:dyDescent="0.25">
      <c r="A292" t="str">
        <f t="shared" si="4"/>
        <v/>
      </c>
      <c r="D292" s="3"/>
      <c r="E292" s="3"/>
      <c r="F292" s="3"/>
      <c r="G292" s="3"/>
      <c r="H292" t="s">
        <v>32</v>
      </c>
    </row>
    <row r="293" spans="1:8" x14ac:dyDescent="0.25">
      <c r="A293" t="str">
        <f t="shared" si="4"/>
        <v/>
      </c>
      <c r="D293" s="3"/>
      <c r="E293" s="3"/>
      <c r="F293" s="3"/>
      <c r="G293" s="3"/>
      <c r="H293" t="s">
        <v>32</v>
      </c>
    </row>
    <row r="294" spans="1:8" x14ac:dyDescent="0.25">
      <c r="A294" t="str">
        <f t="shared" si="4"/>
        <v/>
      </c>
      <c r="D294" s="3"/>
      <c r="E294" s="3"/>
      <c r="F294" s="3"/>
      <c r="G294" s="3"/>
      <c r="H294" t="s">
        <v>32</v>
      </c>
    </row>
    <row r="295" spans="1:8" x14ac:dyDescent="0.25">
      <c r="A295" t="str">
        <f t="shared" si="4"/>
        <v/>
      </c>
      <c r="D295" s="3"/>
      <c r="E295" s="3"/>
      <c r="F295" s="3"/>
      <c r="G295" s="3"/>
      <c r="H295" t="s">
        <v>32</v>
      </c>
    </row>
    <row r="296" spans="1:8" x14ac:dyDescent="0.25">
      <c r="A296" t="str">
        <f t="shared" si="4"/>
        <v/>
      </c>
      <c r="D296" s="3"/>
      <c r="E296" s="3"/>
      <c r="F296" s="3"/>
      <c r="G296" s="3"/>
      <c r="H296" t="s">
        <v>32</v>
      </c>
    </row>
    <row r="297" spans="1:8" x14ac:dyDescent="0.25">
      <c r="A297" t="str">
        <f t="shared" si="4"/>
        <v/>
      </c>
      <c r="D297" s="3"/>
      <c r="E297" s="3"/>
      <c r="F297" s="3"/>
      <c r="G297" s="3"/>
      <c r="H297" t="s">
        <v>32</v>
      </c>
    </row>
    <row r="298" spans="1:8" x14ac:dyDescent="0.25">
      <c r="A298" t="str">
        <f t="shared" si="4"/>
        <v/>
      </c>
      <c r="D298" s="3"/>
      <c r="E298" s="3"/>
      <c r="F298" s="3"/>
      <c r="G298" s="3"/>
      <c r="H298" t="s">
        <v>32</v>
      </c>
    </row>
    <row r="299" spans="1:8" x14ac:dyDescent="0.25">
      <c r="A299" t="str">
        <f t="shared" si="4"/>
        <v/>
      </c>
      <c r="D299" s="3"/>
      <c r="E299" s="3"/>
      <c r="F299" s="3"/>
      <c r="G299" s="3"/>
      <c r="H299" t="s">
        <v>32</v>
      </c>
    </row>
    <row r="300" spans="1:8" x14ac:dyDescent="0.25">
      <c r="A300" t="str">
        <f t="shared" si="4"/>
        <v/>
      </c>
      <c r="D300" s="3"/>
      <c r="E300" s="3"/>
      <c r="F300" s="3"/>
      <c r="G300" s="3"/>
      <c r="H300" t="s">
        <v>32</v>
      </c>
    </row>
    <row r="301" spans="1:8" x14ac:dyDescent="0.25">
      <c r="A301" t="str">
        <f t="shared" si="4"/>
        <v/>
      </c>
      <c r="D301" s="3"/>
      <c r="E301" s="3"/>
      <c r="F301" s="3"/>
      <c r="G301" s="3"/>
      <c r="H301" t="s">
        <v>32</v>
      </c>
    </row>
    <row r="302" spans="1:8" x14ac:dyDescent="0.25">
      <c r="A302" t="str">
        <f t="shared" si="4"/>
        <v/>
      </c>
      <c r="D302" s="3"/>
      <c r="E302" s="3"/>
      <c r="F302" s="3"/>
      <c r="G302" s="3"/>
      <c r="H302" t="s">
        <v>32</v>
      </c>
    </row>
    <row r="303" spans="1:8" x14ac:dyDescent="0.25">
      <c r="A303" t="str">
        <f t="shared" si="4"/>
        <v/>
      </c>
      <c r="D303" s="3"/>
      <c r="E303" s="3"/>
      <c r="F303" s="3"/>
      <c r="G303" s="3"/>
      <c r="H303" t="s">
        <v>32</v>
      </c>
    </row>
    <row r="304" spans="1:8" x14ac:dyDescent="0.25">
      <c r="A304" t="str">
        <f t="shared" si="4"/>
        <v/>
      </c>
      <c r="D304" s="3"/>
      <c r="E304" s="3"/>
      <c r="F304" s="3"/>
      <c r="G304" s="3"/>
      <c r="H304" t="s">
        <v>32</v>
      </c>
    </row>
    <row r="305" spans="1:8" x14ac:dyDescent="0.25">
      <c r="A305" t="str">
        <f t="shared" si="4"/>
        <v/>
      </c>
      <c r="D305" s="3"/>
      <c r="E305" s="3"/>
      <c r="F305" s="3"/>
      <c r="G305" s="3"/>
      <c r="H305" t="s">
        <v>32</v>
      </c>
    </row>
    <row r="306" spans="1:8" x14ac:dyDescent="0.25">
      <c r="A306" t="str">
        <f t="shared" si="4"/>
        <v/>
      </c>
      <c r="D306" s="3"/>
      <c r="E306" s="3"/>
      <c r="F306" s="3"/>
      <c r="G306" s="3"/>
      <c r="H306" t="s">
        <v>32</v>
      </c>
    </row>
    <row r="307" spans="1:8" x14ac:dyDescent="0.25">
      <c r="A307" t="str">
        <f t="shared" si="4"/>
        <v/>
      </c>
      <c r="D307" s="3"/>
      <c r="E307" s="3"/>
      <c r="F307" s="3"/>
      <c r="G307" s="3"/>
      <c r="H307" t="s">
        <v>32</v>
      </c>
    </row>
    <row r="308" spans="1:8" x14ac:dyDescent="0.25">
      <c r="A308" t="str">
        <f t="shared" si="4"/>
        <v/>
      </c>
      <c r="D308" s="3"/>
      <c r="E308" s="3"/>
      <c r="F308" s="3"/>
      <c r="G308" s="3"/>
      <c r="H308" t="s">
        <v>32</v>
      </c>
    </row>
    <row r="309" spans="1:8" x14ac:dyDescent="0.25">
      <c r="A309" t="str">
        <f t="shared" si="4"/>
        <v/>
      </c>
      <c r="D309" s="3"/>
      <c r="E309" s="3"/>
      <c r="F309" s="3"/>
      <c r="G309" s="3"/>
      <c r="H309" t="s">
        <v>32</v>
      </c>
    </row>
    <row r="310" spans="1:8" x14ac:dyDescent="0.25">
      <c r="A310" t="str">
        <f t="shared" si="4"/>
        <v/>
      </c>
      <c r="D310" s="3"/>
      <c r="E310" s="3"/>
      <c r="F310" s="3"/>
      <c r="G310" s="3"/>
      <c r="H310" t="s">
        <v>32</v>
      </c>
    </row>
    <row r="311" spans="1:8" x14ac:dyDescent="0.25">
      <c r="A311" t="str">
        <f t="shared" si="4"/>
        <v/>
      </c>
      <c r="D311" s="3"/>
      <c r="E311" s="3"/>
      <c r="F311" s="3"/>
      <c r="G311" s="3"/>
      <c r="H311" t="s">
        <v>32</v>
      </c>
    </row>
    <row r="312" spans="1:8" x14ac:dyDescent="0.25">
      <c r="A312" t="str">
        <f t="shared" si="4"/>
        <v/>
      </c>
      <c r="D312" s="3"/>
      <c r="E312" s="3"/>
      <c r="F312" s="3"/>
      <c r="G312" s="3"/>
      <c r="H312" t="s">
        <v>32</v>
      </c>
    </row>
    <row r="313" spans="1:8" x14ac:dyDescent="0.25">
      <c r="A313" t="str">
        <f t="shared" si="4"/>
        <v/>
      </c>
      <c r="D313" s="3"/>
      <c r="E313" s="3"/>
      <c r="F313" s="3"/>
      <c r="G313" s="3"/>
      <c r="H313" t="s">
        <v>32</v>
      </c>
    </row>
    <row r="314" spans="1:8" x14ac:dyDescent="0.25">
      <c r="A314" t="str">
        <f t="shared" si="4"/>
        <v/>
      </c>
      <c r="D314" s="3"/>
      <c r="E314" s="3"/>
      <c r="F314" s="3"/>
      <c r="G314" s="3"/>
      <c r="H314" t="s">
        <v>32</v>
      </c>
    </row>
    <row r="315" spans="1:8" x14ac:dyDescent="0.25">
      <c r="A315" t="str">
        <f t="shared" si="4"/>
        <v/>
      </c>
      <c r="D315" s="3"/>
      <c r="E315" s="3"/>
      <c r="F315" s="3"/>
      <c r="G315" s="3"/>
      <c r="H315" t="s">
        <v>32</v>
      </c>
    </row>
    <row r="316" spans="1:8" x14ac:dyDescent="0.25">
      <c r="A316" t="str">
        <f t="shared" si="4"/>
        <v/>
      </c>
      <c r="D316" s="3"/>
      <c r="E316" s="3"/>
      <c r="F316" s="3"/>
      <c r="G316" s="3"/>
      <c r="H316" t="s">
        <v>32</v>
      </c>
    </row>
    <row r="317" spans="1:8" x14ac:dyDescent="0.25">
      <c r="A317" t="str">
        <f t="shared" si="4"/>
        <v/>
      </c>
      <c r="D317" s="3"/>
      <c r="E317" s="3"/>
      <c r="F317" s="3"/>
      <c r="G317" s="3"/>
      <c r="H317" t="s">
        <v>32</v>
      </c>
    </row>
    <row r="318" spans="1:8" x14ac:dyDescent="0.25">
      <c r="A318" t="str">
        <f t="shared" si="4"/>
        <v/>
      </c>
      <c r="D318" s="3"/>
      <c r="E318" s="3"/>
      <c r="F318" s="3"/>
      <c r="G318" s="3"/>
      <c r="H318" t="s">
        <v>32</v>
      </c>
    </row>
    <row r="319" spans="1:8" x14ac:dyDescent="0.25">
      <c r="A319" t="str">
        <f t="shared" si="4"/>
        <v/>
      </c>
      <c r="D319" s="3"/>
      <c r="E319" s="3"/>
      <c r="F319" s="3"/>
      <c r="G319" s="3"/>
      <c r="H319" t="s">
        <v>32</v>
      </c>
    </row>
    <row r="320" spans="1:8" x14ac:dyDescent="0.25">
      <c r="A320" t="str">
        <f t="shared" si="4"/>
        <v/>
      </c>
      <c r="D320" s="3"/>
      <c r="E320" s="3"/>
      <c r="F320" s="3"/>
      <c r="G320" s="3"/>
      <c r="H320" t="s">
        <v>32</v>
      </c>
    </row>
    <row r="321" spans="1:8" x14ac:dyDescent="0.25">
      <c r="A321" t="str">
        <f t="shared" si="4"/>
        <v/>
      </c>
      <c r="D321" s="3"/>
      <c r="E321" s="3"/>
      <c r="F321" s="3"/>
      <c r="G321" s="3"/>
      <c r="H321" t="s">
        <v>32</v>
      </c>
    </row>
    <row r="322" spans="1:8" x14ac:dyDescent="0.25">
      <c r="A322" t="str">
        <f t="shared" ref="A322:A385" si="5">IF(B322="","","PRO"&amp;TEXT(ROW()-1,"000000"))</f>
        <v/>
      </c>
      <c r="D322" s="3"/>
      <c r="E322" s="3"/>
      <c r="F322" s="3"/>
      <c r="G322" s="3"/>
      <c r="H322" t="s">
        <v>32</v>
      </c>
    </row>
    <row r="323" spans="1:8" x14ac:dyDescent="0.25">
      <c r="A323" t="str">
        <f t="shared" si="5"/>
        <v/>
      </c>
      <c r="D323" s="3"/>
      <c r="E323" s="3"/>
      <c r="F323" s="3"/>
      <c r="G323" s="3"/>
      <c r="H323" t="s">
        <v>32</v>
      </c>
    </row>
    <row r="324" spans="1:8" x14ac:dyDescent="0.25">
      <c r="A324" t="str">
        <f t="shared" si="5"/>
        <v/>
      </c>
      <c r="D324" s="3"/>
      <c r="E324" s="3"/>
      <c r="F324" s="3"/>
      <c r="G324" s="3"/>
      <c r="H324" t="s">
        <v>32</v>
      </c>
    </row>
    <row r="325" spans="1:8" x14ac:dyDescent="0.25">
      <c r="A325" t="str">
        <f t="shared" si="5"/>
        <v/>
      </c>
      <c r="D325" s="3"/>
      <c r="E325" s="3"/>
      <c r="F325" s="3"/>
      <c r="G325" s="3"/>
      <c r="H325" t="s">
        <v>32</v>
      </c>
    </row>
    <row r="326" spans="1:8" x14ac:dyDescent="0.25">
      <c r="A326" t="str">
        <f t="shared" si="5"/>
        <v/>
      </c>
      <c r="D326" s="3"/>
      <c r="E326" s="3"/>
      <c r="F326" s="3"/>
      <c r="G326" s="3"/>
      <c r="H326" t="s">
        <v>32</v>
      </c>
    </row>
    <row r="327" spans="1:8" x14ac:dyDescent="0.25">
      <c r="A327" t="str">
        <f t="shared" si="5"/>
        <v/>
      </c>
      <c r="D327" s="3"/>
      <c r="E327" s="3"/>
      <c r="F327" s="3"/>
      <c r="G327" s="3"/>
      <c r="H327" t="s">
        <v>32</v>
      </c>
    </row>
    <row r="328" spans="1:8" x14ac:dyDescent="0.25">
      <c r="A328" t="str">
        <f t="shared" si="5"/>
        <v/>
      </c>
      <c r="D328" s="3"/>
      <c r="E328" s="3"/>
      <c r="F328" s="3"/>
      <c r="G328" s="3"/>
      <c r="H328" t="s">
        <v>32</v>
      </c>
    </row>
    <row r="329" spans="1:8" x14ac:dyDescent="0.25">
      <c r="A329" t="str">
        <f t="shared" si="5"/>
        <v/>
      </c>
      <c r="D329" s="3"/>
      <c r="E329" s="3"/>
      <c r="F329" s="3"/>
      <c r="G329" s="3"/>
      <c r="H329" t="s">
        <v>32</v>
      </c>
    </row>
    <row r="330" spans="1:8" x14ac:dyDescent="0.25">
      <c r="A330" t="str">
        <f t="shared" si="5"/>
        <v/>
      </c>
      <c r="D330" s="3"/>
      <c r="E330" s="3"/>
      <c r="F330" s="3"/>
      <c r="G330" s="3"/>
      <c r="H330" t="s">
        <v>32</v>
      </c>
    </row>
    <row r="331" spans="1:8" x14ac:dyDescent="0.25">
      <c r="A331" t="str">
        <f t="shared" si="5"/>
        <v/>
      </c>
      <c r="D331" s="3"/>
      <c r="E331" s="3"/>
      <c r="F331" s="3"/>
      <c r="G331" s="3"/>
      <c r="H331" t="s">
        <v>32</v>
      </c>
    </row>
    <row r="332" spans="1:8" x14ac:dyDescent="0.25">
      <c r="A332" t="str">
        <f t="shared" si="5"/>
        <v/>
      </c>
      <c r="D332" s="3"/>
      <c r="E332" s="3"/>
      <c r="F332" s="3"/>
      <c r="G332" s="3"/>
      <c r="H332" t="s">
        <v>32</v>
      </c>
    </row>
    <row r="333" spans="1:8" x14ac:dyDescent="0.25">
      <c r="A333" t="str">
        <f t="shared" si="5"/>
        <v/>
      </c>
      <c r="D333" s="3"/>
      <c r="E333" s="3"/>
      <c r="F333" s="3"/>
      <c r="G333" s="3"/>
      <c r="H333" t="s">
        <v>32</v>
      </c>
    </row>
    <row r="334" spans="1:8" x14ac:dyDescent="0.25">
      <c r="A334" t="str">
        <f t="shared" si="5"/>
        <v/>
      </c>
      <c r="D334" s="3"/>
      <c r="E334" s="3"/>
      <c r="F334" s="3"/>
      <c r="G334" s="3"/>
      <c r="H334" t="s">
        <v>32</v>
      </c>
    </row>
    <row r="335" spans="1:8" x14ac:dyDescent="0.25">
      <c r="A335" t="str">
        <f t="shared" si="5"/>
        <v/>
      </c>
      <c r="D335" s="3"/>
      <c r="E335" s="3"/>
      <c r="F335" s="3"/>
      <c r="G335" s="3"/>
      <c r="H335" t="s">
        <v>32</v>
      </c>
    </row>
    <row r="336" spans="1:8" x14ac:dyDescent="0.25">
      <c r="A336" t="str">
        <f t="shared" si="5"/>
        <v/>
      </c>
      <c r="D336" s="3"/>
      <c r="E336" s="3"/>
      <c r="F336" s="3"/>
      <c r="G336" s="3"/>
      <c r="H336" t="s">
        <v>32</v>
      </c>
    </row>
    <row r="337" spans="1:8" x14ac:dyDescent="0.25">
      <c r="A337" t="str">
        <f t="shared" si="5"/>
        <v/>
      </c>
      <c r="D337" s="3"/>
      <c r="E337" s="3"/>
      <c r="F337" s="3"/>
      <c r="G337" s="3"/>
      <c r="H337" t="s">
        <v>32</v>
      </c>
    </row>
    <row r="338" spans="1:8" x14ac:dyDescent="0.25">
      <c r="A338" t="str">
        <f t="shared" si="5"/>
        <v/>
      </c>
      <c r="D338" s="3"/>
      <c r="E338" s="3"/>
      <c r="F338" s="3"/>
      <c r="G338" s="3"/>
      <c r="H338" t="s">
        <v>32</v>
      </c>
    </row>
    <row r="339" spans="1:8" x14ac:dyDescent="0.25">
      <c r="A339" t="str">
        <f t="shared" si="5"/>
        <v/>
      </c>
      <c r="D339" s="3"/>
      <c r="E339" s="3"/>
      <c r="F339" s="3"/>
      <c r="G339" s="3"/>
      <c r="H339" t="s">
        <v>32</v>
      </c>
    </row>
    <row r="340" spans="1:8" x14ac:dyDescent="0.25">
      <c r="A340" t="str">
        <f t="shared" si="5"/>
        <v/>
      </c>
      <c r="D340" s="3"/>
      <c r="E340" s="3"/>
      <c r="F340" s="3"/>
      <c r="G340" s="3"/>
      <c r="H340" t="s">
        <v>32</v>
      </c>
    </row>
    <row r="341" spans="1:8" x14ac:dyDescent="0.25">
      <c r="A341" t="str">
        <f t="shared" si="5"/>
        <v/>
      </c>
      <c r="D341" s="3"/>
      <c r="E341" s="3"/>
      <c r="F341" s="3"/>
      <c r="G341" s="3"/>
      <c r="H341" t="s">
        <v>32</v>
      </c>
    </row>
    <row r="342" spans="1:8" x14ac:dyDescent="0.25">
      <c r="A342" t="str">
        <f t="shared" si="5"/>
        <v/>
      </c>
      <c r="D342" s="3"/>
      <c r="E342" s="3"/>
      <c r="F342" s="3"/>
      <c r="G342" s="3"/>
      <c r="H342" t="s">
        <v>32</v>
      </c>
    </row>
    <row r="343" spans="1:8" x14ac:dyDescent="0.25">
      <c r="A343" t="str">
        <f t="shared" si="5"/>
        <v/>
      </c>
      <c r="D343" s="3"/>
      <c r="E343" s="3"/>
      <c r="F343" s="3"/>
      <c r="G343" s="3"/>
      <c r="H343" t="s">
        <v>32</v>
      </c>
    </row>
    <row r="344" spans="1:8" x14ac:dyDescent="0.25">
      <c r="A344" t="str">
        <f t="shared" si="5"/>
        <v/>
      </c>
      <c r="D344" s="3"/>
      <c r="E344" s="3"/>
      <c r="F344" s="3"/>
      <c r="G344" s="3"/>
      <c r="H344" t="s">
        <v>32</v>
      </c>
    </row>
    <row r="345" spans="1:8" x14ac:dyDescent="0.25">
      <c r="A345" t="str">
        <f t="shared" si="5"/>
        <v/>
      </c>
      <c r="D345" s="3"/>
      <c r="E345" s="3"/>
      <c r="F345" s="3"/>
      <c r="G345" s="3"/>
      <c r="H345" t="s">
        <v>32</v>
      </c>
    </row>
    <row r="346" spans="1:8" x14ac:dyDescent="0.25">
      <c r="A346" t="str">
        <f t="shared" si="5"/>
        <v/>
      </c>
      <c r="D346" s="3"/>
      <c r="E346" s="3"/>
      <c r="F346" s="3"/>
      <c r="G346" s="3"/>
      <c r="H346" t="s">
        <v>32</v>
      </c>
    </row>
    <row r="347" spans="1:8" x14ac:dyDescent="0.25">
      <c r="A347" t="str">
        <f t="shared" si="5"/>
        <v/>
      </c>
      <c r="D347" s="3"/>
      <c r="E347" s="3"/>
      <c r="F347" s="3"/>
      <c r="G347" s="3"/>
      <c r="H347" t="s">
        <v>32</v>
      </c>
    </row>
    <row r="348" spans="1:8" x14ac:dyDescent="0.25">
      <c r="A348" t="str">
        <f t="shared" si="5"/>
        <v/>
      </c>
      <c r="D348" s="3"/>
      <c r="E348" s="3"/>
      <c r="F348" s="3"/>
      <c r="G348" s="3"/>
      <c r="H348" t="s">
        <v>32</v>
      </c>
    </row>
    <row r="349" spans="1:8" x14ac:dyDescent="0.25">
      <c r="A349" t="str">
        <f t="shared" si="5"/>
        <v/>
      </c>
      <c r="D349" s="3"/>
      <c r="E349" s="3"/>
      <c r="F349" s="3"/>
      <c r="G349" s="3"/>
      <c r="H349" t="s">
        <v>32</v>
      </c>
    </row>
    <row r="350" spans="1:8" x14ac:dyDescent="0.25">
      <c r="A350" t="str">
        <f t="shared" si="5"/>
        <v/>
      </c>
      <c r="D350" s="3"/>
      <c r="E350" s="3"/>
      <c r="F350" s="3"/>
      <c r="G350" s="3"/>
      <c r="H350" t="s">
        <v>32</v>
      </c>
    </row>
    <row r="351" spans="1:8" x14ac:dyDescent="0.25">
      <c r="A351" t="str">
        <f t="shared" si="5"/>
        <v/>
      </c>
      <c r="D351" s="3"/>
      <c r="E351" s="3"/>
      <c r="F351" s="3"/>
      <c r="G351" s="3"/>
      <c r="H351" t="s">
        <v>32</v>
      </c>
    </row>
    <row r="352" spans="1:8" x14ac:dyDescent="0.25">
      <c r="A352" t="str">
        <f t="shared" si="5"/>
        <v/>
      </c>
      <c r="D352" s="3"/>
      <c r="E352" s="3"/>
      <c r="F352" s="3"/>
      <c r="G352" s="3"/>
      <c r="H352" t="s">
        <v>32</v>
      </c>
    </row>
    <row r="353" spans="1:8" x14ac:dyDescent="0.25">
      <c r="A353" t="str">
        <f t="shared" si="5"/>
        <v/>
      </c>
      <c r="D353" s="3"/>
      <c r="E353" s="3"/>
      <c r="F353" s="3"/>
      <c r="G353" s="3"/>
      <c r="H353" t="s">
        <v>32</v>
      </c>
    </row>
    <row r="354" spans="1:8" x14ac:dyDescent="0.25">
      <c r="A354" t="str">
        <f t="shared" si="5"/>
        <v/>
      </c>
      <c r="D354" s="3"/>
      <c r="E354" s="3"/>
      <c r="F354" s="3"/>
      <c r="G354" s="3"/>
      <c r="H354" t="s">
        <v>32</v>
      </c>
    </row>
    <row r="355" spans="1:8" x14ac:dyDescent="0.25">
      <c r="A355" t="str">
        <f t="shared" si="5"/>
        <v/>
      </c>
      <c r="D355" s="3"/>
      <c r="E355" s="3"/>
      <c r="F355" s="3"/>
      <c r="G355" s="3"/>
      <c r="H355" t="s">
        <v>32</v>
      </c>
    </row>
    <row r="356" spans="1:8" x14ac:dyDescent="0.25">
      <c r="A356" t="str">
        <f t="shared" si="5"/>
        <v/>
      </c>
      <c r="D356" s="3"/>
      <c r="E356" s="3"/>
      <c r="F356" s="3"/>
      <c r="G356" s="3"/>
      <c r="H356" t="s">
        <v>32</v>
      </c>
    </row>
    <row r="357" spans="1:8" x14ac:dyDescent="0.25">
      <c r="A357" t="str">
        <f t="shared" si="5"/>
        <v/>
      </c>
      <c r="D357" s="3"/>
      <c r="E357" s="3"/>
      <c r="F357" s="3"/>
      <c r="G357" s="3"/>
      <c r="H357" t="s">
        <v>32</v>
      </c>
    </row>
    <row r="358" spans="1:8" x14ac:dyDescent="0.25">
      <c r="A358" t="str">
        <f t="shared" si="5"/>
        <v/>
      </c>
      <c r="D358" s="3"/>
      <c r="E358" s="3"/>
      <c r="F358" s="3"/>
      <c r="G358" s="3"/>
      <c r="H358" t="s">
        <v>32</v>
      </c>
    </row>
    <row r="359" spans="1:8" x14ac:dyDescent="0.25">
      <c r="A359" t="str">
        <f t="shared" si="5"/>
        <v/>
      </c>
      <c r="D359" s="3"/>
      <c r="E359" s="3"/>
      <c r="F359" s="3"/>
      <c r="G359" s="3"/>
      <c r="H359" t="s">
        <v>32</v>
      </c>
    </row>
    <row r="360" spans="1:8" x14ac:dyDescent="0.25">
      <c r="A360" t="str">
        <f t="shared" si="5"/>
        <v/>
      </c>
      <c r="D360" s="3"/>
      <c r="E360" s="3"/>
      <c r="F360" s="3"/>
      <c r="G360" s="3"/>
      <c r="H360" t="s">
        <v>32</v>
      </c>
    </row>
    <row r="361" spans="1:8" x14ac:dyDescent="0.25">
      <c r="A361" t="str">
        <f t="shared" si="5"/>
        <v/>
      </c>
      <c r="D361" s="3"/>
      <c r="E361" s="3"/>
      <c r="F361" s="3"/>
      <c r="G361" s="3"/>
      <c r="H361" t="s">
        <v>32</v>
      </c>
    </row>
    <row r="362" spans="1:8" x14ac:dyDescent="0.25">
      <c r="A362" t="str">
        <f t="shared" si="5"/>
        <v/>
      </c>
      <c r="D362" s="3"/>
      <c r="E362" s="3"/>
      <c r="F362" s="3"/>
      <c r="G362" s="3"/>
      <c r="H362" t="s">
        <v>32</v>
      </c>
    </row>
    <row r="363" spans="1:8" x14ac:dyDescent="0.25">
      <c r="A363" t="str">
        <f t="shared" si="5"/>
        <v/>
      </c>
      <c r="D363" s="3"/>
      <c r="E363" s="3"/>
      <c r="F363" s="3"/>
      <c r="G363" s="3"/>
      <c r="H363" t="s">
        <v>32</v>
      </c>
    </row>
    <row r="364" spans="1:8" x14ac:dyDescent="0.25">
      <c r="A364" t="str">
        <f t="shared" si="5"/>
        <v/>
      </c>
      <c r="D364" s="3"/>
      <c r="E364" s="3"/>
      <c r="F364" s="3"/>
      <c r="G364" s="3"/>
      <c r="H364" t="s">
        <v>32</v>
      </c>
    </row>
    <row r="365" spans="1:8" x14ac:dyDescent="0.25">
      <c r="A365" t="str">
        <f t="shared" si="5"/>
        <v/>
      </c>
      <c r="D365" s="3"/>
      <c r="E365" s="3"/>
      <c r="F365" s="3"/>
      <c r="G365" s="3"/>
      <c r="H365" t="s">
        <v>32</v>
      </c>
    </row>
    <row r="366" spans="1:8" x14ac:dyDescent="0.25">
      <c r="A366" t="str">
        <f t="shared" si="5"/>
        <v/>
      </c>
      <c r="D366" s="3"/>
      <c r="E366" s="3"/>
      <c r="F366" s="3"/>
      <c r="G366" s="3"/>
      <c r="H366" t="s">
        <v>32</v>
      </c>
    </row>
    <row r="367" spans="1:8" x14ac:dyDescent="0.25">
      <c r="A367" t="str">
        <f t="shared" si="5"/>
        <v/>
      </c>
      <c r="D367" s="3"/>
      <c r="E367" s="3"/>
      <c r="F367" s="3"/>
      <c r="G367" s="3"/>
      <c r="H367" t="s">
        <v>32</v>
      </c>
    </row>
    <row r="368" spans="1:8" x14ac:dyDescent="0.25">
      <c r="A368" t="str">
        <f t="shared" si="5"/>
        <v/>
      </c>
      <c r="D368" s="3"/>
      <c r="E368" s="3"/>
      <c r="F368" s="3"/>
      <c r="G368" s="3"/>
      <c r="H368" t="s">
        <v>32</v>
      </c>
    </row>
    <row r="369" spans="1:8" x14ac:dyDescent="0.25">
      <c r="A369" t="str">
        <f t="shared" si="5"/>
        <v/>
      </c>
      <c r="D369" s="3"/>
      <c r="E369" s="3"/>
      <c r="F369" s="3"/>
      <c r="G369" s="3"/>
      <c r="H369" t="s">
        <v>32</v>
      </c>
    </row>
    <row r="370" spans="1:8" x14ac:dyDescent="0.25">
      <c r="A370" t="str">
        <f t="shared" si="5"/>
        <v/>
      </c>
      <c r="D370" s="3"/>
      <c r="E370" s="3"/>
      <c r="F370" s="3"/>
      <c r="G370" s="3"/>
      <c r="H370" t="s">
        <v>32</v>
      </c>
    </row>
    <row r="371" spans="1:8" x14ac:dyDescent="0.25">
      <c r="A371" t="str">
        <f t="shared" si="5"/>
        <v/>
      </c>
      <c r="D371" s="3"/>
      <c r="E371" s="3"/>
      <c r="F371" s="3"/>
      <c r="G371" s="3"/>
      <c r="H371" t="s">
        <v>32</v>
      </c>
    </row>
    <row r="372" spans="1:8" x14ac:dyDescent="0.25">
      <c r="A372" t="str">
        <f t="shared" si="5"/>
        <v/>
      </c>
      <c r="D372" s="3"/>
      <c r="E372" s="3"/>
      <c r="F372" s="3"/>
      <c r="G372" s="3"/>
      <c r="H372" t="s">
        <v>32</v>
      </c>
    </row>
    <row r="373" spans="1:8" x14ac:dyDescent="0.25">
      <c r="A373" t="str">
        <f t="shared" si="5"/>
        <v/>
      </c>
      <c r="D373" s="3"/>
      <c r="E373" s="3"/>
      <c r="F373" s="3"/>
      <c r="G373" s="3"/>
      <c r="H373" t="s">
        <v>32</v>
      </c>
    </row>
    <row r="374" spans="1:8" x14ac:dyDescent="0.25">
      <c r="A374" t="str">
        <f t="shared" si="5"/>
        <v/>
      </c>
      <c r="D374" s="3"/>
      <c r="E374" s="3"/>
      <c r="F374" s="3"/>
      <c r="G374" s="3"/>
      <c r="H374" t="s">
        <v>32</v>
      </c>
    </row>
    <row r="375" spans="1:8" x14ac:dyDescent="0.25">
      <c r="A375" t="str">
        <f t="shared" si="5"/>
        <v/>
      </c>
      <c r="D375" s="3"/>
      <c r="E375" s="3"/>
      <c r="F375" s="3"/>
      <c r="G375" s="3"/>
      <c r="H375" t="s">
        <v>32</v>
      </c>
    </row>
    <row r="376" spans="1:8" x14ac:dyDescent="0.25">
      <c r="A376" t="str">
        <f t="shared" si="5"/>
        <v/>
      </c>
      <c r="D376" s="3"/>
      <c r="E376" s="3"/>
      <c r="F376" s="3"/>
      <c r="G376" s="3"/>
      <c r="H376" t="s">
        <v>32</v>
      </c>
    </row>
    <row r="377" spans="1:8" x14ac:dyDescent="0.25">
      <c r="A377" t="str">
        <f t="shared" si="5"/>
        <v/>
      </c>
      <c r="D377" s="3"/>
      <c r="E377" s="3"/>
      <c r="F377" s="3"/>
      <c r="G377" s="3"/>
      <c r="H377" t="s">
        <v>32</v>
      </c>
    </row>
    <row r="378" spans="1:8" x14ac:dyDescent="0.25">
      <c r="A378" t="str">
        <f t="shared" si="5"/>
        <v/>
      </c>
      <c r="D378" s="3"/>
      <c r="E378" s="3"/>
      <c r="F378" s="3"/>
      <c r="G378" s="3"/>
      <c r="H378" t="s">
        <v>32</v>
      </c>
    </row>
    <row r="379" spans="1:8" x14ac:dyDescent="0.25">
      <c r="A379" t="str">
        <f t="shared" si="5"/>
        <v/>
      </c>
      <c r="D379" s="3"/>
      <c r="E379" s="3"/>
      <c r="F379" s="3"/>
      <c r="G379" s="3"/>
      <c r="H379" t="s">
        <v>32</v>
      </c>
    </row>
    <row r="380" spans="1:8" x14ac:dyDescent="0.25">
      <c r="A380" t="str">
        <f t="shared" si="5"/>
        <v/>
      </c>
      <c r="D380" s="3"/>
      <c r="E380" s="3"/>
      <c r="F380" s="3"/>
      <c r="G380" s="3"/>
      <c r="H380" t="s">
        <v>32</v>
      </c>
    </row>
    <row r="381" spans="1:8" x14ac:dyDescent="0.25">
      <c r="A381" t="str">
        <f t="shared" si="5"/>
        <v/>
      </c>
      <c r="D381" s="3"/>
      <c r="E381" s="3"/>
      <c r="F381" s="3"/>
      <c r="G381" s="3"/>
      <c r="H381" t="s">
        <v>32</v>
      </c>
    </row>
    <row r="382" spans="1:8" x14ac:dyDescent="0.25">
      <c r="A382" t="str">
        <f t="shared" si="5"/>
        <v/>
      </c>
      <c r="D382" s="3"/>
      <c r="E382" s="3"/>
      <c r="F382" s="3"/>
      <c r="G382" s="3"/>
      <c r="H382" t="s">
        <v>32</v>
      </c>
    </row>
    <row r="383" spans="1:8" x14ac:dyDescent="0.25">
      <c r="A383" t="str">
        <f t="shared" si="5"/>
        <v/>
      </c>
      <c r="D383" s="3"/>
      <c r="E383" s="3"/>
      <c r="F383" s="3"/>
      <c r="G383" s="3"/>
      <c r="H383" t="s">
        <v>32</v>
      </c>
    </row>
    <row r="384" spans="1:8" x14ac:dyDescent="0.25">
      <c r="A384" t="str">
        <f t="shared" si="5"/>
        <v/>
      </c>
      <c r="D384" s="3"/>
      <c r="E384" s="3"/>
      <c r="F384" s="3"/>
      <c r="G384" s="3"/>
      <c r="H384" t="s">
        <v>32</v>
      </c>
    </row>
    <row r="385" spans="1:8" x14ac:dyDescent="0.25">
      <c r="A385" t="str">
        <f t="shared" si="5"/>
        <v/>
      </c>
      <c r="D385" s="3"/>
      <c r="E385" s="3"/>
      <c r="F385" s="3"/>
      <c r="G385" s="3"/>
      <c r="H385" t="s">
        <v>32</v>
      </c>
    </row>
    <row r="386" spans="1:8" x14ac:dyDescent="0.25">
      <c r="A386" t="str">
        <f t="shared" ref="A386:A449" si="6">IF(B386="","","PRO"&amp;TEXT(ROW()-1,"000000"))</f>
        <v/>
      </c>
      <c r="D386" s="3"/>
      <c r="E386" s="3"/>
      <c r="F386" s="3"/>
      <c r="G386" s="3"/>
      <c r="H386" t="s">
        <v>32</v>
      </c>
    </row>
    <row r="387" spans="1:8" x14ac:dyDescent="0.25">
      <c r="A387" t="str">
        <f t="shared" si="6"/>
        <v/>
      </c>
      <c r="D387" s="3"/>
      <c r="E387" s="3"/>
      <c r="F387" s="3"/>
      <c r="G387" s="3"/>
      <c r="H387" t="s">
        <v>32</v>
      </c>
    </row>
    <row r="388" spans="1:8" x14ac:dyDescent="0.25">
      <c r="A388" t="str">
        <f t="shared" si="6"/>
        <v/>
      </c>
      <c r="D388" s="3"/>
      <c r="E388" s="3"/>
      <c r="F388" s="3"/>
      <c r="G388" s="3"/>
      <c r="H388" t="s">
        <v>32</v>
      </c>
    </row>
    <row r="389" spans="1:8" x14ac:dyDescent="0.25">
      <c r="A389" t="str">
        <f t="shared" si="6"/>
        <v/>
      </c>
      <c r="D389" s="3"/>
      <c r="E389" s="3"/>
      <c r="F389" s="3"/>
      <c r="G389" s="3"/>
      <c r="H389" t="s">
        <v>32</v>
      </c>
    </row>
    <row r="390" spans="1:8" x14ac:dyDescent="0.25">
      <c r="A390" t="str">
        <f t="shared" si="6"/>
        <v/>
      </c>
      <c r="D390" s="3"/>
      <c r="E390" s="3"/>
      <c r="F390" s="3"/>
      <c r="G390" s="3"/>
      <c r="H390" t="s">
        <v>32</v>
      </c>
    </row>
    <row r="391" spans="1:8" x14ac:dyDescent="0.25">
      <c r="A391" t="str">
        <f t="shared" si="6"/>
        <v/>
      </c>
      <c r="D391" s="3"/>
      <c r="E391" s="3"/>
      <c r="F391" s="3"/>
      <c r="G391" s="3"/>
      <c r="H391" t="s">
        <v>32</v>
      </c>
    </row>
    <row r="392" spans="1:8" x14ac:dyDescent="0.25">
      <c r="A392" t="str">
        <f t="shared" si="6"/>
        <v/>
      </c>
      <c r="D392" s="3"/>
      <c r="E392" s="3"/>
      <c r="F392" s="3"/>
      <c r="G392" s="3"/>
      <c r="H392" t="s">
        <v>32</v>
      </c>
    </row>
    <row r="393" spans="1:8" x14ac:dyDescent="0.25">
      <c r="A393" t="str">
        <f t="shared" si="6"/>
        <v/>
      </c>
      <c r="D393" s="3"/>
      <c r="E393" s="3"/>
      <c r="F393" s="3"/>
      <c r="G393" s="3"/>
      <c r="H393" t="s">
        <v>32</v>
      </c>
    </row>
    <row r="394" spans="1:8" x14ac:dyDescent="0.25">
      <c r="A394" t="str">
        <f t="shared" si="6"/>
        <v/>
      </c>
      <c r="D394" s="3"/>
      <c r="E394" s="3"/>
      <c r="F394" s="3"/>
      <c r="G394" s="3"/>
      <c r="H394" t="s">
        <v>32</v>
      </c>
    </row>
    <row r="395" spans="1:8" x14ac:dyDescent="0.25">
      <c r="A395" t="str">
        <f t="shared" si="6"/>
        <v/>
      </c>
      <c r="D395" s="3"/>
      <c r="E395" s="3"/>
      <c r="F395" s="3"/>
      <c r="G395" s="3"/>
      <c r="H395" t="s">
        <v>32</v>
      </c>
    </row>
    <row r="396" spans="1:8" x14ac:dyDescent="0.25">
      <c r="A396" t="str">
        <f t="shared" si="6"/>
        <v/>
      </c>
      <c r="D396" s="3"/>
      <c r="E396" s="3"/>
      <c r="F396" s="3"/>
      <c r="G396" s="3"/>
      <c r="H396" t="s">
        <v>32</v>
      </c>
    </row>
    <row r="397" spans="1:8" x14ac:dyDescent="0.25">
      <c r="A397" t="str">
        <f t="shared" si="6"/>
        <v/>
      </c>
      <c r="D397" s="3"/>
      <c r="E397" s="3"/>
      <c r="F397" s="3"/>
      <c r="G397" s="3"/>
      <c r="H397" t="s">
        <v>32</v>
      </c>
    </row>
    <row r="398" spans="1:8" x14ac:dyDescent="0.25">
      <c r="A398" t="str">
        <f t="shared" si="6"/>
        <v/>
      </c>
      <c r="D398" s="3"/>
      <c r="E398" s="3"/>
      <c r="F398" s="3"/>
      <c r="G398" s="3"/>
      <c r="H398" t="s">
        <v>32</v>
      </c>
    </row>
    <row r="399" spans="1:8" x14ac:dyDescent="0.25">
      <c r="A399" t="str">
        <f t="shared" si="6"/>
        <v/>
      </c>
      <c r="D399" s="3"/>
      <c r="E399" s="3"/>
      <c r="F399" s="3"/>
      <c r="G399" s="3"/>
      <c r="H399" t="s">
        <v>32</v>
      </c>
    </row>
    <row r="400" spans="1:8" x14ac:dyDescent="0.25">
      <c r="A400" t="str">
        <f t="shared" si="6"/>
        <v/>
      </c>
      <c r="D400" s="3"/>
      <c r="E400" s="3"/>
      <c r="F400" s="3"/>
      <c r="G400" s="3"/>
      <c r="H400" t="s">
        <v>32</v>
      </c>
    </row>
    <row r="401" spans="1:8" x14ac:dyDescent="0.25">
      <c r="A401" t="str">
        <f t="shared" si="6"/>
        <v/>
      </c>
      <c r="D401" s="3"/>
      <c r="E401" s="3"/>
      <c r="F401" s="3"/>
      <c r="G401" s="3"/>
      <c r="H401" t="s">
        <v>32</v>
      </c>
    </row>
    <row r="402" spans="1:8" x14ac:dyDescent="0.25">
      <c r="A402" t="str">
        <f t="shared" si="6"/>
        <v/>
      </c>
      <c r="D402" s="3"/>
      <c r="E402" s="3"/>
      <c r="F402" s="3"/>
      <c r="G402" s="3"/>
      <c r="H402" t="s">
        <v>32</v>
      </c>
    </row>
    <row r="403" spans="1:8" x14ac:dyDescent="0.25">
      <c r="A403" t="str">
        <f t="shared" si="6"/>
        <v/>
      </c>
      <c r="D403" s="3"/>
      <c r="E403" s="3"/>
      <c r="F403" s="3"/>
      <c r="G403" s="3"/>
      <c r="H403" t="s">
        <v>32</v>
      </c>
    </row>
    <row r="404" spans="1:8" x14ac:dyDescent="0.25">
      <c r="A404" t="str">
        <f t="shared" si="6"/>
        <v/>
      </c>
      <c r="D404" s="3"/>
      <c r="E404" s="3"/>
      <c r="F404" s="3"/>
      <c r="G404" s="3"/>
      <c r="H404" t="s">
        <v>32</v>
      </c>
    </row>
    <row r="405" spans="1:8" x14ac:dyDescent="0.25">
      <c r="A405" t="str">
        <f t="shared" si="6"/>
        <v/>
      </c>
      <c r="D405" s="3"/>
      <c r="E405" s="3"/>
      <c r="F405" s="3"/>
      <c r="G405" s="3"/>
      <c r="H405" t="s">
        <v>32</v>
      </c>
    </row>
    <row r="406" spans="1:8" x14ac:dyDescent="0.25">
      <c r="A406" t="str">
        <f t="shared" si="6"/>
        <v/>
      </c>
      <c r="D406" s="3"/>
      <c r="E406" s="3"/>
      <c r="F406" s="3"/>
      <c r="G406" s="3"/>
      <c r="H406" t="s">
        <v>32</v>
      </c>
    </row>
    <row r="407" spans="1:8" x14ac:dyDescent="0.25">
      <c r="A407" t="str">
        <f t="shared" si="6"/>
        <v/>
      </c>
      <c r="D407" s="3"/>
      <c r="E407" s="3"/>
      <c r="F407" s="3"/>
      <c r="G407" s="3"/>
      <c r="H407" t="s">
        <v>32</v>
      </c>
    </row>
    <row r="408" spans="1:8" x14ac:dyDescent="0.25">
      <c r="A408" t="str">
        <f t="shared" si="6"/>
        <v/>
      </c>
      <c r="D408" s="3"/>
      <c r="E408" s="3"/>
      <c r="F408" s="3"/>
      <c r="G408" s="3"/>
      <c r="H408" t="s">
        <v>32</v>
      </c>
    </row>
    <row r="409" spans="1:8" x14ac:dyDescent="0.25">
      <c r="A409" t="str">
        <f t="shared" si="6"/>
        <v/>
      </c>
      <c r="D409" s="3"/>
      <c r="E409" s="3"/>
      <c r="F409" s="3"/>
      <c r="G409" s="3"/>
      <c r="H409" t="s">
        <v>32</v>
      </c>
    </row>
    <row r="410" spans="1:8" x14ac:dyDescent="0.25">
      <c r="A410" t="str">
        <f t="shared" si="6"/>
        <v/>
      </c>
      <c r="D410" s="3"/>
      <c r="E410" s="3"/>
      <c r="F410" s="3"/>
      <c r="G410" s="3"/>
      <c r="H410" t="s">
        <v>32</v>
      </c>
    </row>
    <row r="411" spans="1:8" x14ac:dyDescent="0.25">
      <c r="A411" t="str">
        <f t="shared" si="6"/>
        <v/>
      </c>
      <c r="D411" s="3"/>
      <c r="E411" s="3"/>
      <c r="F411" s="3"/>
      <c r="G411" s="3"/>
      <c r="H411" t="s">
        <v>32</v>
      </c>
    </row>
    <row r="412" spans="1:8" x14ac:dyDescent="0.25">
      <c r="A412" t="str">
        <f t="shared" si="6"/>
        <v/>
      </c>
      <c r="D412" s="3"/>
      <c r="E412" s="3"/>
      <c r="F412" s="3"/>
      <c r="G412" s="3"/>
      <c r="H412" t="s">
        <v>32</v>
      </c>
    </row>
    <row r="413" spans="1:8" x14ac:dyDescent="0.25">
      <c r="A413" t="str">
        <f t="shared" si="6"/>
        <v/>
      </c>
      <c r="D413" s="3"/>
      <c r="E413" s="3"/>
      <c r="F413" s="3"/>
      <c r="G413" s="3"/>
      <c r="H413" t="s">
        <v>32</v>
      </c>
    </row>
    <row r="414" spans="1:8" x14ac:dyDescent="0.25">
      <c r="A414" t="str">
        <f t="shared" si="6"/>
        <v/>
      </c>
      <c r="D414" s="3"/>
      <c r="E414" s="3"/>
      <c r="F414" s="3"/>
      <c r="G414" s="3"/>
      <c r="H414" t="s">
        <v>32</v>
      </c>
    </row>
    <row r="415" spans="1:8" x14ac:dyDescent="0.25">
      <c r="A415" t="str">
        <f t="shared" si="6"/>
        <v/>
      </c>
      <c r="D415" s="3"/>
      <c r="E415" s="3"/>
      <c r="F415" s="3"/>
      <c r="G415" s="3"/>
      <c r="H415" t="s">
        <v>32</v>
      </c>
    </row>
    <row r="416" spans="1:8" x14ac:dyDescent="0.25">
      <c r="A416" t="str">
        <f t="shared" si="6"/>
        <v/>
      </c>
      <c r="D416" s="3"/>
      <c r="E416" s="3"/>
      <c r="F416" s="3"/>
      <c r="G416" s="3"/>
      <c r="H416" t="s">
        <v>32</v>
      </c>
    </row>
    <row r="417" spans="1:8" x14ac:dyDescent="0.25">
      <c r="A417" t="str">
        <f t="shared" si="6"/>
        <v/>
      </c>
      <c r="D417" s="3"/>
      <c r="E417" s="3"/>
      <c r="F417" s="3"/>
      <c r="G417" s="3"/>
      <c r="H417" t="s">
        <v>32</v>
      </c>
    </row>
    <row r="418" spans="1:8" x14ac:dyDescent="0.25">
      <c r="A418" t="str">
        <f t="shared" si="6"/>
        <v/>
      </c>
      <c r="D418" s="3"/>
      <c r="E418" s="3"/>
      <c r="F418" s="3"/>
      <c r="G418" s="3"/>
      <c r="H418" t="s">
        <v>32</v>
      </c>
    </row>
    <row r="419" spans="1:8" x14ac:dyDescent="0.25">
      <c r="A419" t="str">
        <f t="shared" si="6"/>
        <v/>
      </c>
      <c r="D419" s="3"/>
      <c r="E419" s="3"/>
      <c r="F419" s="3"/>
      <c r="G419" s="3"/>
      <c r="H419" t="s">
        <v>32</v>
      </c>
    </row>
    <row r="420" spans="1:8" x14ac:dyDescent="0.25">
      <c r="A420" t="str">
        <f t="shared" si="6"/>
        <v/>
      </c>
      <c r="D420" s="3"/>
      <c r="E420" s="3"/>
      <c r="F420" s="3"/>
      <c r="G420" s="3"/>
      <c r="H420" t="s">
        <v>32</v>
      </c>
    </row>
    <row r="421" spans="1:8" x14ac:dyDescent="0.25">
      <c r="A421" t="str">
        <f t="shared" si="6"/>
        <v/>
      </c>
      <c r="D421" s="3"/>
      <c r="E421" s="3"/>
      <c r="F421" s="3"/>
      <c r="G421" s="3"/>
      <c r="H421" t="s">
        <v>32</v>
      </c>
    </row>
    <row r="422" spans="1:8" x14ac:dyDescent="0.25">
      <c r="A422" t="str">
        <f t="shared" si="6"/>
        <v/>
      </c>
      <c r="D422" s="3"/>
      <c r="E422" s="3"/>
      <c r="F422" s="3"/>
      <c r="G422" s="3"/>
      <c r="H422" t="s">
        <v>32</v>
      </c>
    </row>
    <row r="423" spans="1:8" x14ac:dyDescent="0.25">
      <c r="A423" t="str">
        <f t="shared" si="6"/>
        <v/>
      </c>
      <c r="D423" s="3"/>
      <c r="E423" s="3"/>
      <c r="F423" s="3"/>
      <c r="G423" s="3"/>
      <c r="H423" t="s">
        <v>32</v>
      </c>
    </row>
    <row r="424" spans="1:8" x14ac:dyDescent="0.25">
      <c r="A424" t="str">
        <f t="shared" si="6"/>
        <v/>
      </c>
      <c r="D424" s="3"/>
      <c r="E424" s="3"/>
      <c r="F424" s="3"/>
      <c r="G424" s="3"/>
      <c r="H424" t="s">
        <v>32</v>
      </c>
    </row>
    <row r="425" spans="1:8" x14ac:dyDescent="0.25">
      <c r="A425" t="str">
        <f t="shared" si="6"/>
        <v/>
      </c>
      <c r="D425" s="3"/>
      <c r="E425" s="3"/>
      <c r="F425" s="3"/>
      <c r="G425" s="3"/>
      <c r="H425" t="s">
        <v>32</v>
      </c>
    </row>
    <row r="426" spans="1:8" x14ac:dyDescent="0.25">
      <c r="A426" t="str">
        <f t="shared" si="6"/>
        <v/>
      </c>
      <c r="D426" s="3"/>
      <c r="E426" s="3"/>
      <c r="F426" s="3"/>
      <c r="G426" s="3"/>
      <c r="H426" t="s">
        <v>32</v>
      </c>
    </row>
    <row r="427" spans="1:8" x14ac:dyDescent="0.25">
      <c r="A427" t="str">
        <f t="shared" si="6"/>
        <v/>
      </c>
      <c r="D427" s="3"/>
      <c r="E427" s="3"/>
      <c r="F427" s="3"/>
      <c r="G427" s="3"/>
      <c r="H427" t="s">
        <v>32</v>
      </c>
    </row>
    <row r="428" spans="1:8" x14ac:dyDescent="0.25">
      <c r="A428" t="str">
        <f t="shared" si="6"/>
        <v/>
      </c>
      <c r="D428" s="3"/>
      <c r="E428" s="3"/>
      <c r="F428" s="3"/>
      <c r="G428" s="3"/>
      <c r="H428" t="s">
        <v>32</v>
      </c>
    </row>
    <row r="429" spans="1:8" x14ac:dyDescent="0.25">
      <c r="A429" t="str">
        <f t="shared" si="6"/>
        <v/>
      </c>
      <c r="D429" s="3"/>
      <c r="E429" s="3"/>
      <c r="F429" s="3"/>
      <c r="G429" s="3"/>
      <c r="H429" t="s">
        <v>32</v>
      </c>
    </row>
    <row r="430" spans="1:8" x14ac:dyDescent="0.25">
      <c r="A430" t="str">
        <f t="shared" si="6"/>
        <v/>
      </c>
      <c r="D430" s="3"/>
      <c r="E430" s="3"/>
      <c r="F430" s="3"/>
      <c r="G430" s="3"/>
      <c r="H430" t="s">
        <v>32</v>
      </c>
    </row>
    <row r="431" spans="1:8" x14ac:dyDescent="0.25">
      <c r="A431" t="str">
        <f t="shared" si="6"/>
        <v/>
      </c>
      <c r="D431" s="3"/>
      <c r="E431" s="3"/>
      <c r="F431" s="3"/>
      <c r="G431" s="3"/>
      <c r="H431" t="s">
        <v>32</v>
      </c>
    </row>
    <row r="432" spans="1:8" x14ac:dyDescent="0.25">
      <c r="A432" t="str">
        <f t="shared" si="6"/>
        <v/>
      </c>
      <c r="D432" s="3"/>
      <c r="E432" s="3"/>
      <c r="F432" s="3"/>
      <c r="G432" s="3"/>
      <c r="H432" t="s">
        <v>32</v>
      </c>
    </row>
    <row r="433" spans="1:8" x14ac:dyDescent="0.25">
      <c r="A433" t="str">
        <f t="shared" si="6"/>
        <v/>
      </c>
      <c r="D433" s="3"/>
      <c r="E433" s="3"/>
      <c r="F433" s="3"/>
      <c r="G433" s="3"/>
      <c r="H433" t="s">
        <v>32</v>
      </c>
    </row>
    <row r="434" spans="1:8" x14ac:dyDescent="0.25">
      <c r="A434" t="str">
        <f t="shared" si="6"/>
        <v/>
      </c>
      <c r="D434" s="3"/>
      <c r="E434" s="3"/>
      <c r="F434" s="3"/>
      <c r="G434" s="3"/>
      <c r="H434" t="s">
        <v>32</v>
      </c>
    </row>
    <row r="435" spans="1:8" x14ac:dyDescent="0.25">
      <c r="A435" t="str">
        <f t="shared" si="6"/>
        <v/>
      </c>
      <c r="D435" s="3"/>
      <c r="E435" s="3"/>
      <c r="F435" s="3"/>
      <c r="G435" s="3"/>
      <c r="H435" t="s">
        <v>32</v>
      </c>
    </row>
    <row r="436" spans="1:8" x14ac:dyDescent="0.25">
      <c r="A436" t="str">
        <f t="shared" si="6"/>
        <v/>
      </c>
      <c r="D436" s="3"/>
      <c r="E436" s="3"/>
      <c r="F436" s="3"/>
      <c r="G436" s="3"/>
      <c r="H436" t="s">
        <v>32</v>
      </c>
    </row>
    <row r="437" spans="1:8" x14ac:dyDescent="0.25">
      <c r="A437" t="str">
        <f t="shared" si="6"/>
        <v/>
      </c>
      <c r="D437" s="3"/>
      <c r="E437" s="3"/>
      <c r="F437" s="3"/>
      <c r="G437" s="3"/>
      <c r="H437" t="s">
        <v>32</v>
      </c>
    </row>
    <row r="438" spans="1:8" x14ac:dyDescent="0.25">
      <c r="A438" t="str">
        <f t="shared" si="6"/>
        <v/>
      </c>
      <c r="D438" s="3"/>
      <c r="E438" s="3"/>
      <c r="F438" s="3"/>
      <c r="G438" s="3"/>
      <c r="H438" t="s">
        <v>32</v>
      </c>
    </row>
    <row r="439" spans="1:8" x14ac:dyDescent="0.25">
      <c r="A439" t="str">
        <f t="shared" si="6"/>
        <v/>
      </c>
      <c r="D439" s="3"/>
      <c r="E439" s="3"/>
      <c r="F439" s="3"/>
      <c r="G439" s="3"/>
      <c r="H439" t="s">
        <v>32</v>
      </c>
    </row>
    <row r="440" spans="1:8" x14ac:dyDescent="0.25">
      <c r="A440" t="str">
        <f t="shared" si="6"/>
        <v/>
      </c>
      <c r="D440" s="3"/>
      <c r="E440" s="3"/>
      <c r="F440" s="3"/>
      <c r="G440" s="3"/>
      <c r="H440" t="s">
        <v>32</v>
      </c>
    </row>
    <row r="441" spans="1:8" x14ac:dyDescent="0.25">
      <c r="A441" t="str">
        <f t="shared" si="6"/>
        <v/>
      </c>
      <c r="D441" s="3"/>
      <c r="E441" s="3"/>
      <c r="F441" s="3"/>
      <c r="G441" s="3"/>
      <c r="H441" t="s">
        <v>32</v>
      </c>
    </row>
    <row r="442" spans="1:8" x14ac:dyDescent="0.25">
      <c r="A442" t="str">
        <f t="shared" si="6"/>
        <v/>
      </c>
      <c r="D442" s="3"/>
      <c r="E442" s="3"/>
      <c r="F442" s="3"/>
      <c r="G442" s="3"/>
      <c r="H442" t="s">
        <v>32</v>
      </c>
    </row>
    <row r="443" spans="1:8" x14ac:dyDescent="0.25">
      <c r="A443" t="str">
        <f t="shared" si="6"/>
        <v/>
      </c>
      <c r="D443" s="3"/>
      <c r="E443" s="3"/>
      <c r="F443" s="3"/>
      <c r="G443" s="3"/>
      <c r="H443" t="s">
        <v>32</v>
      </c>
    </row>
    <row r="444" spans="1:8" x14ac:dyDescent="0.25">
      <c r="A444" t="str">
        <f t="shared" si="6"/>
        <v/>
      </c>
      <c r="D444" s="3"/>
      <c r="E444" s="3"/>
      <c r="F444" s="3"/>
      <c r="G444" s="3"/>
      <c r="H444" t="s">
        <v>32</v>
      </c>
    </row>
    <row r="445" spans="1:8" x14ac:dyDescent="0.25">
      <c r="A445" t="str">
        <f t="shared" si="6"/>
        <v/>
      </c>
      <c r="D445" s="3"/>
      <c r="E445" s="3"/>
      <c r="F445" s="3"/>
      <c r="G445" s="3"/>
      <c r="H445" t="s">
        <v>32</v>
      </c>
    </row>
    <row r="446" spans="1:8" x14ac:dyDescent="0.25">
      <c r="A446" t="str">
        <f t="shared" si="6"/>
        <v/>
      </c>
      <c r="D446" s="3"/>
      <c r="E446" s="3"/>
      <c r="F446" s="3"/>
      <c r="G446" s="3"/>
      <c r="H446" t="s">
        <v>32</v>
      </c>
    </row>
    <row r="447" spans="1:8" x14ac:dyDescent="0.25">
      <c r="A447" t="str">
        <f t="shared" si="6"/>
        <v/>
      </c>
      <c r="D447" s="3"/>
      <c r="E447" s="3"/>
      <c r="F447" s="3"/>
      <c r="G447" s="3"/>
      <c r="H447" t="s">
        <v>32</v>
      </c>
    </row>
    <row r="448" spans="1:8" x14ac:dyDescent="0.25">
      <c r="A448" t="str">
        <f t="shared" si="6"/>
        <v/>
      </c>
      <c r="D448" s="3"/>
      <c r="E448" s="3"/>
      <c r="F448" s="3"/>
      <c r="G448" s="3"/>
      <c r="H448" t="s">
        <v>32</v>
      </c>
    </row>
    <row r="449" spans="1:8" x14ac:dyDescent="0.25">
      <c r="A449" t="str">
        <f t="shared" si="6"/>
        <v/>
      </c>
      <c r="D449" s="3"/>
      <c r="E449" s="3"/>
      <c r="F449" s="3"/>
      <c r="G449" s="3"/>
      <c r="H449" t="s">
        <v>32</v>
      </c>
    </row>
    <row r="450" spans="1:8" x14ac:dyDescent="0.25">
      <c r="A450" t="str">
        <f t="shared" ref="A450:A513" si="7">IF(B450="","","PRO"&amp;TEXT(ROW()-1,"000000"))</f>
        <v/>
      </c>
      <c r="D450" s="3"/>
      <c r="E450" s="3"/>
      <c r="F450" s="3"/>
      <c r="G450" s="3"/>
      <c r="H450" t="s">
        <v>32</v>
      </c>
    </row>
    <row r="451" spans="1:8" x14ac:dyDescent="0.25">
      <c r="A451" t="str">
        <f t="shared" si="7"/>
        <v/>
      </c>
      <c r="D451" s="3"/>
      <c r="E451" s="3"/>
      <c r="F451" s="3"/>
      <c r="G451" s="3"/>
      <c r="H451" t="s">
        <v>32</v>
      </c>
    </row>
    <row r="452" spans="1:8" x14ac:dyDescent="0.25">
      <c r="A452" t="str">
        <f t="shared" si="7"/>
        <v/>
      </c>
      <c r="D452" s="3"/>
      <c r="E452" s="3"/>
      <c r="F452" s="3"/>
      <c r="G452" s="3"/>
      <c r="H452" t="s">
        <v>32</v>
      </c>
    </row>
    <row r="453" spans="1:8" x14ac:dyDescent="0.25">
      <c r="A453" t="str">
        <f t="shared" si="7"/>
        <v/>
      </c>
      <c r="D453" s="3"/>
      <c r="E453" s="3"/>
      <c r="F453" s="3"/>
      <c r="G453" s="3"/>
      <c r="H453" t="s">
        <v>32</v>
      </c>
    </row>
    <row r="454" spans="1:8" x14ac:dyDescent="0.25">
      <c r="A454" t="str">
        <f t="shared" si="7"/>
        <v/>
      </c>
      <c r="D454" s="3"/>
      <c r="E454" s="3"/>
      <c r="F454" s="3"/>
      <c r="G454" s="3"/>
      <c r="H454" t="s">
        <v>32</v>
      </c>
    </row>
    <row r="455" spans="1:8" x14ac:dyDescent="0.25">
      <c r="A455" t="str">
        <f t="shared" si="7"/>
        <v/>
      </c>
      <c r="D455" s="3"/>
      <c r="E455" s="3"/>
      <c r="F455" s="3"/>
      <c r="G455" s="3"/>
      <c r="H455" t="s">
        <v>32</v>
      </c>
    </row>
    <row r="456" spans="1:8" x14ac:dyDescent="0.25">
      <c r="A456" t="str">
        <f t="shared" si="7"/>
        <v/>
      </c>
      <c r="D456" s="3"/>
      <c r="E456" s="3"/>
      <c r="F456" s="3"/>
      <c r="G456" s="3"/>
      <c r="H456" t="s">
        <v>32</v>
      </c>
    </row>
    <row r="457" spans="1:8" x14ac:dyDescent="0.25">
      <c r="A457" t="str">
        <f t="shared" si="7"/>
        <v/>
      </c>
      <c r="D457" s="3"/>
      <c r="E457" s="3"/>
      <c r="F457" s="3"/>
      <c r="G457" s="3"/>
      <c r="H457" t="s">
        <v>32</v>
      </c>
    </row>
    <row r="458" spans="1:8" x14ac:dyDescent="0.25">
      <c r="A458" t="str">
        <f t="shared" si="7"/>
        <v/>
      </c>
      <c r="D458" s="3"/>
      <c r="E458" s="3"/>
      <c r="F458" s="3"/>
      <c r="G458" s="3"/>
      <c r="H458" t="s">
        <v>32</v>
      </c>
    </row>
    <row r="459" spans="1:8" x14ac:dyDescent="0.25">
      <c r="A459" t="str">
        <f t="shared" si="7"/>
        <v/>
      </c>
      <c r="D459" s="3"/>
      <c r="E459" s="3"/>
      <c r="F459" s="3"/>
      <c r="G459" s="3"/>
      <c r="H459" t="s">
        <v>32</v>
      </c>
    </row>
    <row r="460" spans="1:8" x14ac:dyDescent="0.25">
      <c r="A460" t="str">
        <f t="shared" si="7"/>
        <v/>
      </c>
      <c r="D460" s="3"/>
      <c r="E460" s="3"/>
      <c r="F460" s="3"/>
      <c r="G460" s="3"/>
      <c r="H460" t="s">
        <v>32</v>
      </c>
    </row>
    <row r="461" spans="1:8" x14ac:dyDescent="0.25">
      <c r="A461" t="str">
        <f t="shared" si="7"/>
        <v/>
      </c>
      <c r="D461" s="3"/>
      <c r="E461" s="3"/>
      <c r="F461" s="3"/>
      <c r="G461" s="3"/>
      <c r="H461" t="s">
        <v>32</v>
      </c>
    </row>
    <row r="462" spans="1:8" x14ac:dyDescent="0.25">
      <c r="A462" t="str">
        <f t="shared" si="7"/>
        <v/>
      </c>
      <c r="D462" s="3"/>
      <c r="E462" s="3"/>
      <c r="F462" s="3"/>
      <c r="G462" s="3"/>
      <c r="H462" t="s">
        <v>32</v>
      </c>
    </row>
    <row r="463" spans="1:8" x14ac:dyDescent="0.25">
      <c r="A463" t="str">
        <f t="shared" si="7"/>
        <v/>
      </c>
      <c r="D463" s="3"/>
      <c r="E463" s="3"/>
      <c r="F463" s="3"/>
      <c r="G463" s="3"/>
      <c r="H463" t="s">
        <v>32</v>
      </c>
    </row>
    <row r="464" spans="1:8" x14ac:dyDescent="0.25">
      <c r="A464" t="str">
        <f t="shared" si="7"/>
        <v/>
      </c>
      <c r="D464" s="3"/>
      <c r="E464" s="3"/>
      <c r="F464" s="3"/>
      <c r="G464" s="3"/>
      <c r="H464" t="s">
        <v>32</v>
      </c>
    </row>
    <row r="465" spans="1:8" x14ac:dyDescent="0.25">
      <c r="A465" t="str">
        <f t="shared" si="7"/>
        <v/>
      </c>
      <c r="D465" s="3"/>
      <c r="E465" s="3"/>
      <c r="F465" s="3"/>
      <c r="G465" s="3"/>
      <c r="H465" t="s">
        <v>32</v>
      </c>
    </row>
    <row r="466" spans="1:8" x14ac:dyDescent="0.25">
      <c r="A466" t="str">
        <f t="shared" si="7"/>
        <v/>
      </c>
      <c r="D466" s="3"/>
      <c r="E466" s="3"/>
      <c r="F466" s="3"/>
      <c r="G466" s="3"/>
      <c r="H466" t="s">
        <v>32</v>
      </c>
    </row>
    <row r="467" spans="1:8" x14ac:dyDescent="0.25">
      <c r="A467" t="str">
        <f t="shared" si="7"/>
        <v/>
      </c>
      <c r="D467" s="3"/>
      <c r="E467" s="3"/>
      <c r="F467" s="3"/>
      <c r="G467" s="3"/>
      <c r="H467" t="s">
        <v>32</v>
      </c>
    </row>
    <row r="468" spans="1:8" x14ac:dyDescent="0.25">
      <c r="A468" t="str">
        <f t="shared" si="7"/>
        <v/>
      </c>
      <c r="D468" s="3"/>
      <c r="E468" s="3"/>
      <c r="F468" s="3"/>
      <c r="G468" s="3"/>
      <c r="H468" t="s">
        <v>32</v>
      </c>
    </row>
    <row r="469" spans="1:8" x14ac:dyDescent="0.25">
      <c r="A469" t="str">
        <f t="shared" si="7"/>
        <v/>
      </c>
      <c r="D469" s="3"/>
      <c r="E469" s="3"/>
      <c r="F469" s="3"/>
      <c r="G469" s="3"/>
      <c r="H469" t="s">
        <v>32</v>
      </c>
    </row>
    <row r="470" spans="1:8" x14ac:dyDescent="0.25">
      <c r="A470" t="str">
        <f t="shared" si="7"/>
        <v/>
      </c>
      <c r="D470" s="3"/>
      <c r="E470" s="3"/>
      <c r="F470" s="3"/>
      <c r="G470" s="3"/>
      <c r="H470" t="s">
        <v>32</v>
      </c>
    </row>
    <row r="471" spans="1:8" x14ac:dyDescent="0.25">
      <c r="A471" t="str">
        <f t="shared" si="7"/>
        <v/>
      </c>
      <c r="D471" s="3"/>
      <c r="E471" s="3"/>
      <c r="F471" s="3"/>
      <c r="G471" s="3"/>
      <c r="H471" t="s">
        <v>32</v>
      </c>
    </row>
    <row r="472" spans="1:8" x14ac:dyDescent="0.25">
      <c r="A472" t="str">
        <f t="shared" si="7"/>
        <v/>
      </c>
      <c r="D472" s="3"/>
      <c r="E472" s="3"/>
      <c r="F472" s="3"/>
      <c r="G472" s="3"/>
      <c r="H472" t="s">
        <v>32</v>
      </c>
    </row>
    <row r="473" spans="1:8" x14ac:dyDescent="0.25">
      <c r="A473" t="str">
        <f t="shared" si="7"/>
        <v/>
      </c>
      <c r="D473" s="3"/>
      <c r="E473" s="3"/>
      <c r="F473" s="3"/>
      <c r="G473" s="3"/>
      <c r="H473" t="s">
        <v>32</v>
      </c>
    </row>
    <row r="474" spans="1:8" x14ac:dyDescent="0.25">
      <c r="A474" t="str">
        <f t="shared" si="7"/>
        <v/>
      </c>
      <c r="D474" s="3"/>
      <c r="E474" s="3"/>
      <c r="F474" s="3"/>
      <c r="G474" s="3"/>
      <c r="H474" t="s">
        <v>32</v>
      </c>
    </row>
    <row r="475" spans="1:8" x14ac:dyDescent="0.25">
      <c r="A475" t="str">
        <f t="shared" si="7"/>
        <v/>
      </c>
      <c r="D475" s="3"/>
      <c r="E475" s="3"/>
      <c r="F475" s="3"/>
      <c r="G475" s="3"/>
      <c r="H475" t="s">
        <v>32</v>
      </c>
    </row>
    <row r="476" spans="1:8" x14ac:dyDescent="0.25">
      <c r="A476" t="str">
        <f t="shared" si="7"/>
        <v/>
      </c>
      <c r="D476" s="3"/>
      <c r="E476" s="3"/>
      <c r="F476" s="3"/>
      <c r="G476" s="3"/>
      <c r="H476" t="s">
        <v>32</v>
      </c>
    </row>
    <row r="477" spans="1:8" x14ac:dyDescent="0.25">
      <c r="A477" t="str">
        <f t="shared" si="7"/>
        <v/>
      </c>
      <c r="D477" s="3"/>
      <c r="E477" s="3"/>
      <c r="F477" s="3"/>
      <c r="G477" s="3"/>
      <c r="H477" t="s">
        <v>32</v>
      </c>
    </row>
    <row r="478" spans="1:8" x14ac:dyDescent="0.25">
      <c r="A478" t="str">
        <f t="shared" si="7"/>
        <v/>
      </c>
      <c r="D478" s="3"/>
      <c r="E478" s="3"/>
      <c r="F478" s="3"/>
      <c r="G478" s="3"/>
      <c r="H478" t="s">
        <v>32</v>
      </c>
    </row>
    <row r="479" spans="1:8" x14ac:dyDescent="0.25">
      <c r="A479" t="str">
        <f t="shared" si="7"/>
        <v/>
      </c>
      <c r="D479" s="3"/>
      <c r="E479" s="3"/>
      <c r="F479" s="3"/>
      <c r="G479" s="3"/>
      <c r="H479" t="s">
        <v>32</v>
      </c>
    </row>
    <row r="480" spans="1:8" x14ac:dyDescent="0.25">
      <c r="A480" t="str">
        <f t="shared" si="7"/>
        <v/>
      </c>
      <c r="D480" s="3"/>
      <c r="E480" s="3"/>
      <c r="F480" s="3"/>
      <c r="G480" s="3"/>
      <c r="H480" t="s">
        <v>32</v>
      </c>
    </row>
    <row r="481" spans="1:8" x14ac:dyDescent="0.25">
      <c r="A481" t="str">
        <f t="shared" si="7"/>
        <v/>
      </c>
      <c r="D481" s="3"/>
      <c r="E481" s="3"/>
      <c r="F481" s="3"/>
      <c r="G481" s="3"/>
      <c r="H481" t="s">
        <v>32</v>
      </c>
    </row>
    <row r="482" spans="1:8" x14ac:dyDescent="0.25">
      <c r="A482" t="str">
        <f t="shared" si="7"/>
        <v/>
      </c>
      <c r="D482" s="3"/>
      <c r="E482" s="3"/>
      <c r="F482" s="3"/>
      <c r="G482" s="3"/>
      <c r="H482" t="s">
        <v>32</v>
      </c>
    </row>
    <row r="483" spans="1:8" x14ac:dyDescent="0.25">
      <c r="A483" t="str">
        <f t="shared" si="7"/>
        <v/>
      </c>
      <c r="D483" s="3"/>
      <c r="E483" s="3"/>
      <c r="F483" s="3"/>
      <c r="G483" s="3"/>
      <c r="H483" t="s">
        <v>32</v>
      </c>
    </row>
    <row r="484" spans="1:8" x14ac:dyDescent="0.25">
      <c r="A484" t="str">
        <f t="shared" si="7"/>
        <v/>
      </c>
      <c r="D484" s="3"/>
      <c r="E484" s="3"/>
      <c r="F484" s="3"/>
      <c r="G484" s="3"/>
      <c r="H484" t="s">
        <v>32</v>
      </c>
    </row>
    <row r="485" spans="1:8" x14ac:dyDescent="0.25">
      <c r="A485" t="str">
        <f t="shared" si="7"/>
        <v/>
      </c>
      <c r="D485" s="3"/>
      <c r="E485" s="3"/>
      <c r="F485" s="3"/>
      <c r="G485" s="3"/>
      <c r="H485" t="s">
        <v>32</v>
      </c>
    </row>
    <row r="486" spans="1:8" x14ac:dyDescent="0.25">
      <c r="A486" t="str">
        <f t="shared" si="7"/>
        <v/>
      </c>
      <c r="D486" s="3"/>
      <c r="E486" s="3"/>
      <c r="F486" s="3"/>
      <c r="G486" s="3"/>
      <c r="H486" t="s">
        <v>32</v>
      </c>
    </row>
    <row r="487" spans="1:8" x14ac:dyDescent="0.25">
      <c r="A487" t="str">
        <f t="shared" si="7"/>
        <v/>
      </c>
      <c r="D487" s="3"/>
      <c r="E487" s="3"/>
      <c r="F487" s="3"/>
      <c r="G487" s="3"/>
      <c r="H487" t="s">
        <v>32</v>
      </c>
    </row>
    <row r="488" spans="1:8" x14ac:dyDescent="0.25">
      <c r="A488" t="str">
        <f t="shared" si="7"/>
        <v/>
      </c>
      <c r="D488" s="3"/>
      <c r="E488" s="3"/>
      <c r="F488" s="3"/>
      <c r="G488" s="3"/>
      <c r="H488" t="s">
        <v>32</v>
      </c>
    </row>
    <row r="489" spans="1:8" x14ac:dyDescent="0.25">
      <c r="A489" t="str">
        <f t="shared" si="7"/>
        <v/>
      </c>
      <c r="D489" s="3"/>
      <c r="E489" s="3"/>
      <c r="F489" s="3"/>
      <c r="G489" s="3"/>
      <c r="H489" t="s">
        <v>32</v>
      </c>
    </row>
    <row r="490" spans="1:8" x14ac:dyDescent="0.25">
      <c r="A490" t="str">
        <f t="shared" si="7"/>
        <v/>
      </c>
      <c r="D490" s="3"/>
      <c r="E490" s="3"/>
      <c r="F490" s="3"/>
      <c r="G490" s="3"/>
      <c r="H490" t="s">
        <v>32</v>
      </c>
    </row>
    <row r="491" spans="1:8" x14ac:dyDescent="0.25">
      <c r="A491" t="str">
        <f t="shared" si="7"/>
        <v/>
      </c>
      <c r="D491" s="3"/>
      <c r="E491" s="3"/>
      <c r="F491" s="3"/>
      <c r="G491" s="3"/>
      <c r="H491" t="s">
        <v>32</v>
      </c>
    </row>
    <row r="492" spans="1:8" x14ac:dyDescent="0.25">
      <c r="A492" t="str">
        <f t="shared" si="7"/>
        <v/>
      </c>
      <c r="D492" s="3"/>
      <c r="E492" s="3"/>
      <c r="F492" s="3"/>
      <c r="G492" s="3"/>
      <c r="H492" t="s">
        <v>32</v>
      </c>
    </row>
    <row r="493" spans="1:8" x14ac:dyDescent="0.25">
      <c r="A493" t="str">
        <f t="shared" si="7"/>
        <v/>
      </c>
      <c r="D493" s="3"/>
      <c r="E493" s="3"/>
      <c r="F493" s="3"/>
      <c r="G493" s="3"/>
      <c r="H493" t="s">
        <v>32</v>
      </c>
    </row>
    <row r="494" spans="1:8" x14ac:dyDescent="0.25">
      <c r="A494" t="str">
        <f t="shared" si="7"/>
        <v/>
      </c>
      <c r="D494" s="3"/>
      <c r="E494" s="3"/>
      <c r="F494" s="3"/>
      <c r="G494" s="3"/>
      <c r="H494" t="s">
        <v>32</v>
      </c>
    </row>
    <row r="495" spans="1:8" x14ac:dyDescent="0.25">
      <c r="A495" t="str">
        <f t="shared" si="7"/>
        <v/>
      </c>
      <c r="D495" s="3"/>
      <c r="E495" s="3"/>
      <c r="F495" s="3"/>
      <c r="G495" s="3"/>
      <c r="H495" t="s">
        <v>32</v>
      </c>
    </row>
    <row r="496" spans="1:8" x14ac:dyDescent="0.25">
      <c r="A496" t="str">
        <f t="shared" si="7"/>
        <v/>
      </c>
      <c r="D496" s="3"/>
      <c r="E496" s="3"/>
      <c r="F496" s="3"/>
      <c r="G496" s="3"/>
      <c r="H496" t="s">
        <v>32</v>
      </c>
    </row>
    <row r="497" spans="1:8" x14ac:dyDescent="0.25">
      <c r="A497" t="str">
        <f t="shared" si="7"/>
        <v/>
      </c>
      <c r="D497" s="3"/>
      <c r="E497" s="3"/>
      <c r="F497" s="3"/>
      <c r="G497" s="3"/>
      <c r="H497" t="s">
        <v>32</v>
      </c>
    </row>
    <row r="498" spans="1:8" x14ac:dyDescent="0.25">
      <c r="A498" t="str">
        <f t="shared" si="7"/>
        <v/>
      </c>
      <c r="D498" s="3"/>
      <c r="E498" s="3"/>
      <c r="F498" s="3"/>
      <c r="G498" s="3"/>
      <c r="H498" t="s">
        <v>32</v>
      </c>
    </row>
    <row r="499" spans="1:8" x14ac:dyDescent="0.25">
      <c r="A499" t="str">
        <f t="shared" si="7"/>
        <v/>
      </c>
      <c r="D499" s="3"/>
      <c r="E499" s="3"/>
      <c r="F499" s="3"/>
      <c r="G499" s="3"/>
      <c r="H499" t="s">
        <v>32</v>
      </c>
    </row>
    <row r="500" spans="1:8" x14ac:dyDescent="0.25">
      <c r="A500" t="str">
        <f t="shared" si="7"/>
        <v/>
      </c>
      <c r="D500" s="3"/>
      <c r="E500" s="3"/>
      <c r="F500" s="3"/>
      <c r="G500" s="3"/>
      <c r="H500" t="s">
        <v>32</v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Valor no válido" error="Seleccione un valor permitido." promptTitle="Carne Premium ERP" prompt="Seleccione un valor." xr:uid="{00000000-0002-0000-0400-000000000000}">
          <x14:formula1>
            <xm:f>'02_CATALOGOS'!$D$2:$D$3</xm:f>
          </x14:formula1>
          <xm:sqref>H2:H501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50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5" customWidth="1"/>
    <col min="2" max="2" width="12" customWidth="1"/>
    <col min="3" max="3" width="10" customWidth="1"/>
    <col min="4" max="4" width="30" customWidth="1"/>
    <col min="5" max="5" width="15" customWidth="1"/>
    <col min="6" max="6" width="30" customWidth="1"/>
    <col min="7" max="7" width="10" customWidth="1"/>
    <col min="8" max="10" width="16" customWidth="1"/>
    <col min="11" max="11" width="12" customWidth="1"/>
    <col min="12" max="13" width="20" customWidth="1"/>
    <col min="14" max="14" width="32" customWidth="1"/>
    <col min="15" max="16" width="16" hidden="1" customWidth="1"/>
    <col min="17" max="17" width="24" customWidth="1"/>
    <col min="18" max="18" width="18" customWidth="1"/>
    <col min="19" max="19" width="32" customWidth="1"/>
    <col min="20" max="20" width="16" customWidth="1"/>
    <col min="21" max="21" width="30" customWidth="1"/>
  </cols>
  <sheetData>
    <row r="1" spans="1:21" x14ac:dyDescent="0.25">
      <c r="A1" s="2" t="s">
        <v>53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47</v>
      </c>
      <c r="G1" s="2" t="s">
        <v>58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63</v>
      </c>
      <c r="M1" s="2" t="s">
        <v>64</v>
      </c>
      <c r="N1" s="2" t="s">
        <v>45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</row>
    <row r="2" spans="1:21" x14ac:dyDescent="0.25">
      <c r="A2" t="str">
        <f t="shared" ref="A2:A65" si="0">IF(OR(D2="",F2=""),"","VEN"&amp;TEXT(ROW()-1,"000000"))</f>
        <v/>
      </c>
      <c r="B2" s="4" t="str">
        <f t="shared" ref="B2:B65" ca="1" si="1">IF(A2="","",TODAY())</f>
        <v/>
      </c>
      <c r="C2" s="5" t="str">
        <f t="shared" ref="C2:C65" ca="1" si="2">IF(A2="","",NOW())</f>
        <v/>
      </c>
      <c r="G2" s="6"/>
      <c r="H2" s="3" t="str">
        <f>IFERROR(IF(E2="Mayorista",IF(INDEX('04_PRODUCTOS'!$F$2:$F$501,MATCH(F2,'04_PRODUCTOS'!$B$2:$B$501,0))="",INDEX('04_PRODUCTOS'!$E$2:$E$501,MATCH(F2,'04_PRODUCTOS'!$B$2:$B$501,0)),INDEX('04_PRODUCTOS'!$F$2:$F$501,MATCH(F2,'04_PRODUCTOS'!$B$2:$B$501,0))),IF(E2="Especial",IF(INDEX('04_PRODUCTOS'!$G$2:$G$501,MATCH(F2,'04_PRODUCTOS'!$B$2:$B$501,0))="",INDEX('04_PRODUCTOS'!$E$2:$E$501,MATCH(F2,'04_PRODUCTOS'!$B$2:$B$501,0)),INDEX('04_PRODUCTOS'!$G$2:$G$501,MATCH(F2,'04_PRODUCTOS'!$B$2:$B$501,0))),INDEX('04_PRODUCTOS'!$E$2:$E$501,MATCH(F2,'04_PRODUCTOS'!$B$2:$B$501,0)))),"")</f>
        <v/>
      </c>
      <c r="I2" s="3" t="str">
        <f t="shared" ref="I2:I65" si="3">IF(AND(G2&lt;&gt;"",H2&lt;&gt;""),G2*H2,"")</f>
        <v/>
      </c>
      <c r="J2" s="3" t="str">
        <f>IFERROR(IF(INDEX('04_PRODUCTOS'!$D$2:$D$501,MATCH(F2,'04_PRODUCTOS'!$B$2:$B$501,0))="","",I2-(G2*INDEX('04_PRODUCTOS'!$D$2:$D$501,MATCH(F2,'04_PRODUCTOS'!$B$2:$B$501,0)))),"")</f>
        <v/>
      </c>
      <c r="K2" s="7" t="str">
        <f t="shared" ref="K2:K65" si="4">IF(OR(I2="",J2=""),"",IFERROR(J2/I2,""))</f>
        <v/>
      </c>
      <c r="O2" t="str">
        <f>IF(D2="","",IFERROR(INDEX('03_CLIENTES'!$A$2:$A$501,MATCH(D2,'03_CLIENTES'!$B$2:$B$501,0)),""))</f>
        <v/>
      </c>
      <c r="P2" t="str">
        <f>IF(F2="","",IFERROR(INDEX('04_PRODUCTOS'!$A$2:$A$501,MATCH(F2,'04_PRODUCTOS'!$B$2:$B$501,0)),""))</f>
        <v/>
      </c>
      <c r="Q2" t="str">
        <f t="shared" ref="Q2:Q65" si="5">IF(AND(D2&lt;&gt;"",F2&lt;&gt;"",G2&gt;0,H2&lt;&gt;""),IF(O2="","CLIENTE NO ENCONTRADO",IF(P2="","PRODUCTO NO ENCONTRADO","OK")),"")</f>
        <v/>
      </c>
    </row>
    <row r="3" spans="1:21" x14ac:dyDescent="0.25">
      <c r="A3" t="str">
        <f t="shared" si="0"/>
        <v/>
      </c>
      <c r="B3" s="4" t="str">
        <f t="shared" ca="1" si="1"/>
        <v/>
      </c>
      <c r="C3" s="5" t="str">
        <f t="shared" ca="1" si="2"/>
        <v/>
      </c>
      <c r="G3" s="6"/>
      <c r="H3" s="3" t="str">
        <f>IFERROR(IF(E3="Mayorista",IF(INDEX('04_PRODUCTOS'!$F$2:$F$501,MATCH(F3,'04_PRODUCTOS'!$B$2:$B$501,0))="",INDEX('04_PRODUCTOS'!$E$2:$E$501,MATCH(F3,'04_PRODUCTOS'!$B$2:$B$501,0)),INDEX('04_PRODUCTOS'!$F$2:$F$501,MATCH(F3,'04_PRODUCTOS'!$B$2:$B$501,0))),IF(E3="Especial",IF(INDEX('04_PRODUCTOS'!$G$2:$G$501,MATCH(F3,'04_PRODUCTOS'!$B$2:$B$501,0))="",INDEX('04_PRODUCTOS'!$E$2:$E$501,MATCH(F3,'04_PRODUCTOS'!$B$2:$B$501,0)),INDEX('04_PRODUCTOS'!$G$2:$G$501,MATCH(F3,'04_PRODUCTOS'!$B$2:$B$501,0))),INDEX('04_PRODUCTOS'!$E$2:$E$501,MATCH(F3,'04_PRODUCTOS'!$B$2:$B$501,0)))),"")</f>
        <v/>
      </c>
      <c r="I3" s="3" t="str">
        <f t="shared" si="3"/>
        <v/>
      </c>
      <c r="J3" s="3" t="str">
        <f>IFERROR(IF(INDEX('04_PRODUCTOS'!$D$2:$D$501,MATCH(F3,'04_PRODUCTOS'!$B$2:$B$501,0))="","",I3-(G3*INDEX('04_PRODUCTOS'!$D$2:$D$501,MATCH(F3,'04_PRODUCTOS'!$B$2:$B$501,0)))),"")</f>
        <v/>
      </c>
      <c r="K3" s="7" t="str">
        <f t="shared" si="4"/>
        <v/>
      </c>
      <c r="O3" t="str">
        <f>IF(D3="","",IFERROR(INDEX('03_CLIENTES'!$A$2:$A$501,MATCH(D3,'03_CLIENTES'!$B$2:$B$501,0)),""))</f>
        <v/>
      </c>
      <c r="P3" t="str">
        <f>IF(F3="","",IFERROR(INDEX('04_PRODUCTOS'!$A$2:$A$501,MATCH(F3,'04_PRODUCTOS'!$B$2:$B$501,0)),""))</f>
        <v/>
      </c>
      <c r="Q3" t="str">
        <f t="shared" si="5"/>
        <v/>
      </c>
    </row>
    <row r="4" spans="1:21" x14ac:dyDescent="0.25">
      <c r="A4" t="str">
        <f t="shared" si="0"/>
        <v/>
      </c>
      <c r="B4" s="4" t="str">
        <f t="shared" ca="1" si="1"/>
        <v/>
      </c>
      <c r="C4" s="5" t="str">
        <f t="shared" ca="1" si="2"/>
        <v/>
      </c>
      <c r="G4" s="6"/>
      <c r="H4" s="3" t="str">
        <f>IFERROR(IF(E4="Mayorista",IF(INDEX('04_PRODUCTOS'!$F$2:$F$501,MATCH(F4,'04_PRODUCTOS'!$B$2:$B$501,0))="",INDEX('04_PRODUCTOS'!$E$2:$E$501,MATCH(F4,'04_PRODUCTOS'!$B$2:$B$501,0)),INDEX('04_PRODUCTOS'!$F$2:$F$501,MATCH(F4,'04_PRODUCTOS'!$B$2:$B$501,0))),IF(E4="Especial",IF(INDEX('04_PRODUCTOS'!$G$2:$G$501,MATCH(F4,'04_PRODUCTOS'!$B$2:$B$501,0))="",INDEX('04_PRODUCTOS'!$E$2:$E$501,MATCH(F4,'04_PRODUCTOS'!$B$2:$B$501,0)),INDEX('04_PRODUCTOS'!$G$2:$G$501,MATCH(F4,'04_PRODUCTOS'!$B$2:$B$501,0))),INDEX('04_PRODUCTOS'!$E$2:$E$501,MATCH(F4,'04_PRODUCTOS'!$B$2:$B$501,0)))),"")</f>
        <v/>
      </c>
      <c r="I4" s="3" t="str">
        <f t="shared" si="3"/>
        <v/>
      </c>
      <c r="J4" s="3" t="str">
        <f>IFERROR(IF(INDEX('04_PRODUCTOS'!$D$2:$D$501,MATCH(F4,'04_PRODUCTOS'!$B$2:$B$501,0))="","",I4-(G4*INDEX('04_PRODUCTOS'!$D$2:$D$501,MATCH(F4,'04_PRODUCTOS'!$B$2:$B$501,0)))),"")</f>
        <v/>
      </c>
      <c r="K4" s="7" t="str">
        <f t="shared" si="4"/>
        <v/>
      </c>
      <c r="O4" t="str">
        <f>IF(D4="","",IFERROR(INDEX('03_CLIENTES'!$A$2:$A$501,MATCH(D4,'03_CLIENTES'!$B$2:$B$501,0)),""))</f>
        <v/>
      </c>
      <c r="P4" t="str">
        <f>IF(F4="","",IFERROR(INDEX('04_PRODUCTOS'!$A$2:$A$501,MATCH(F4,'04_PRODUCTOS'!$B$2:$B$501,0)),""))</f>
        <v/>
      </c>
      <c r="Q4" t="str">
        <f t="shared" si="5"/>
        <v/>
      </c>
    </row>
    <row r="5" spans="1:21" x14ac:dyDescent="0.25">
      <c r="A5" t="str">
        <f t="shared" si="0"/>
        <v/>
      </c>
      <c r="B5" s="4" t="str">
        <f t="shared" ca="1" si="1"/>
        <v/>
      </c>
      <c r="C5" s="5" t="str">
        <f t="shared" ca="1" si="2"/>
        <v/>
      </c>
      <c r="G5" s="6"/>
      <c r="H5" s="3" t="str">
        <f>IFERROR(IF(E5="Mayorista",IF(INDEX('04_PRODUCTOS'!$F$2:$F$501,MATCH(F5,'04_PRODUCTOS'!$B$2:$B$501,0))="",INDEX('04_PRODUCTOS'!$E$2:$E$501,MATCH(F5,'04_PRODUCTOS'!$B$2:$B$501,0)),INDEX('04_PRODUCTOS'!$F$2:$F$501,MATCH(F5,'04_PRODUCTOS'!$B$2:$B$501,0))),IF(E5="Especial",IF(INDEX('04_PRODUCTOS'!$G$2:$G$501,MATCH(F5,'04_PRODUCTOS'!$B$2:$B$501,0))="",INDEX('04_PRODUCTOS'!$E$2:$E$501,MATCH(F5,'04_PRODUCTOS'!$B$2:$B$501,0)),INDEX('04_PRODUCTOS'!$G$2:$G$501,MATCH(F5,'04_PRODUCTOS'!$B$2:$B$501,0))),INDEX('04_PRODUCTOS'!$E$2:$E$501,MATCH(F5,'04_PRODUCTOS'!$B$2:$B$501,0)))),"")</f>
        <v/>
      </c>
      <c r="I5" s="3" t="str">
        <f t="shared" si="3"/>
        <v/>
      </c>
      <c r="J5" s="3" t="str">
        <f>IFERROR(IF(INDEX('04_PRODUCTOS'!$D$2:$D$501,MATCH(F5,'04_PRODUCTOS'!$B$2:$B$501,0))="","",I5-(G5*INDEX('04_PRODUCTOS'!$D$2:$D$501,MATCH(F5,'04_PRODUCTOS'!$B$2:$B$501,0)))),"")</f>
        <v/>
      </c>
      <c r="K5" s="7" t="str">
        <f t="shared" si="4"/>
        <v/>
      </c>
      <c r="O5" t="str">
        <f>IF(D5="","",IFERROR(INDEX('03_CLIENTES'!$A$2:$A$501,MATCH(D5,'03_CLIENTES'!$B$2:$B$501,0)),""))</f>
        <v/>
      </c>
      <c r="P5" t="str">
        <f>IF(F5="","",IFERROR(INDEX('04_PRODUCTOS'!$A$2:$A$501,MATCH(F5,'04_PRODUCTOS'!$B$2:$B$501,0)),""))</f>
        <v/>
      </c>
      <c r="Q5" t="str">
        <f t="shared" si="5"/>
        <v/>
      </c>
    </row>
    <row r="6" spans="1:21" x14ac:dyDescent="0.25">
      <c r="A6" t="str">
        <f t="shared" si="0"/>
        <v/>
      </c>
      <c r="B6" s="4" t="str">
        <f t="shared" ca="1" si="1"/>
        <v/>
      </c>
      <c r="C6" s="5" t="str">
        <f t="shared" ca="1" si="2"/>
        <v/>
      </c>
      <c r="G6" s="6"/>
      <c r="H6" s="3" t="str">
        <f>IFERROR(IF(E6="Mayorista",IF(INDEX('04_PRODUCTOS'!$F$2:$F$501,MATCH(F6,'04_PRODUCTOS'!$B$2:$B$501,0))="",INDEX('04_PRODUCTOS'!$E$2:$E$501,MATCH(F6,'04_PRODUCTOS'!$B$2:$B$501,0)),INDEX('04_PRODUCTOS'!$F$2:$F$501,MATCH(F6,'04_PRODUCTOS'!$B$2:$B$501,0))),IF(E6="Especial",IF(INDEX('04_PRODUCTOS'!$G$2:$G$501,MATCH(F6,'04_PRODUCTOS'!$B$2:$B$501,0))="",INDEX('04_PRODUCTOS'!$E$2:$E$501,MATCH(F6,'04_PRODUCTOS'!$B$2:$B$501,0)),INDEX('04_PRODUCTOS'!$G$2:$G$501,MATCH(F6,'04_PRODUCTOS'!$B$2:$B$501,0))),INDEX('04_PRODUCTOS'!$E$2:$E$501,MATCH(F6,'04_PRODUCTOS'!$B$2:$B$501,0)))),"")</f>
        <v/>
      </c>
      <c r="I6" s="3" t="str">
        <f t="shared" si="3"/>
        <v/>
      </c>
      <c r="J6" s="3" t="str">
        <f>IFERROR(IF(INDEX('04_PRODUCTOS'!$D$2:$D$501,MATCH(F6,'04_PRODUCTOS'!$B$2:$B$501,0))="","",I6-(G6*INDEX('04_PRODUCTOS'!$D$2:$D$501,MATCH(F6,'04_PRODUCTOS'!$B$2:$B$501,0)))),"")</f>
        <v/>
      </c>
      <c r="K6" s="7" t="str">
        <f t="shared" si="4"/>
        <v/>
      </c>
      <c r="O6" t="str">
        <f>IF(D6="","",IFERROR(INDEX('03_CLIENTES'!$A$2:$A$501,MATCH(D6,'03_CLIENTES'!$B$2:$B$501,0)),""))</f>
        <v/>
      </c>
      <c r="P6" t="str">
        <f>IF(F6="","",IFERROR(INDEX('04_PRODUCTOS'!$A$2:$A$501,MATCH(F6,'04_PRODUCTOS'!$B$2:$B$501,0)),""))</f>
        <v/>
      </c>
      <c r="Q6" t="str">
        <f t="shared" si="5"/>
        <v/>
      </c>
    </row>
    <row r="7" spans="1:21" x14ac:dyDescent="0.25">
      <c r="A7" t="str">
        <f t="shared" si="0"/>
        <v/>
      </c>
      <c r="B7" s="4" t="str">
        <f t="shared" ca="1" si="1"/>
        <v/>
      </c>
      <c r="C7" s="5" t="str">
        <f t="shared" ca="1" si="2"/>
        <v/>
      </c>
      <c r="G7" s="6"/>
      <c r="H7" s="3" t="str">
        <f>IFERROR(IF(E7="Mayorista",IF(INDEX('04_PRODUCTOS'!$F$2:$F$501,MATCH(F7,'04_PRODUCTOS'!$B$2:$B$501,0))="",INDEX('04_PRODUCTOS'!$E$2:$E$501,MATCH(F7,'04_PRODUCTOS'!$B$2:$B$501,0)),INDEX('04_PRODUCTOS'!$F$2:$F$501,MATCH(F7,'04_PRODUCTOS'!$B$2:$B$501,0))),IF(E7="Especial",IF(INDEX('04_PRODUCTOS'!$G$2:$G$501,MATCH(F7,'04_PRODUCTOS'!$B$2:$B$501,0))="",INDEX('04_PRODUCTOS'!$E$2:$E$501,MATCH(F7,'04_PRODUCTOS'!$B$2:$B$501,0)),INDEX('04_PRODUCTOS'!$G$2:$G$501,MATCH(F7,'04_PRODUCTOS'!$B$2:$B$501,0))),INDEX('04_PRODUCTOS'!$E$2:$E$501,MATCH(F7,'04_PRODUCTOS'!$B$2:$B$501,0)))),"")</f>
        <v/>
      </c>
      <c r="I7" s="3" t="str">
        <f t="shared" si="3"/>
        <v/>
      </c>
      <c r="J7" s="3" t="str">
        <f>IFERROR(IF(INDEX('04_PRODUCTOS'!$D$2:$D$501,MATCH(F7,'04_PRODUCTOS'!$B$2:$B$501,0))="","",I7-(G7*INDEX('04_PRODUCTOS'!$D$2:$D$501,MATCH(F7,'04_PRODUCTOS'!$B$2:$B$501,0)))),"")</f>
        <v/>
      </c>
      <c r="K7" s="7" t="str">
        <f t="shared" si="4"/>
        <v/>
      </c>
      <c r="O7" t="str">
        <f>IF(D7="","",IFERROR(INDEX('03_CLIENTES'!$A$2:$A$501,MATCH(D7,'03_CLIENTES'!$B$2:$B$501,0)),""))</f>
        <v/>
      </c>
      <c r="P7" t="str">
        <f>IF(F7="","",IFERROR(INDEX('04_PRODUCTOS'!$A$2:$A$501,MATCH(F7,'04_PRODUCTOS'!$B$2:$B$501,0)),""))</f>
        <v/>
      </c>
      <c r="Q7" t="str">
        <f t="shared" si="5"/>
        <v/>
      </c>
    </row>
    <row r="8" spans="1:21" x14ac:dyDescent="0.25">
      <c r="A8" t="str">
        <f t="shared" si="0"/>
        <v/>
      </c>
      <c r="B8" s="4" t="str">
        <f t="shared" ca="1" si="1"/>
        <v/>
      </c>
      <c r="C8" s="5" t="str">
        <f t="shared" ca="1" si="2"/>
        <v/>
      </c>
      <c r="G8" s="6"/>
      <c r="H8" s="3" t="str">
        <f>IFERROR(IF(E8="Mayorista",IF(INDEX('04_PRODUCTOS'!$F$2:$F$501,MATCH(F8,'04_PRODUCTOS'!$B$2:$B$501,0))="",INDEX('04_PRODUCTOS'!$E$2:$E$501,MATCH(F8,'04_PRODUCTOS'!$B$2:$B$501,0)),INDEX('04_PRODUCTOS'!$F$2:$F$501,MATCH(F8,'04_PRODUCTOS'!$B$2:$B$501,0))),IF(E8="Especial",IF(INDEX('04_PRODUCTOS'!$G$2:$G$501,MATCH(F8,'04_PRODUCTOS'!$B$2:$B$501,0))="",INDEX('04_PRODUCTOS'!$E$2:$E$501,MATCH(F8,'04_PRODUCTOS'!$B$2:$B$501,0)),INDEX('04_PRODUCTOS'!$G$2:$G$501,MATCH(F8,'04_PRODUCTOS'!$B$2:$B$501,0))),INDEX('04_PRODUCTOS'!$E$2:$E$501,MATCH(F8,'04_PRODUCTOS'!$B$2:$B$501,0)))),"")</f>
        <v/>
      </c>
      <c r="I8" s="3" t="str">
        <f t="shared" si="3"/>
        <v/>
      </c>
      <c r="J8" s="3" t="str">
        <f>IFERROR(IF(INDEX('04_PRODUCTOS'!$D$2:$D$501,MATCH(F8,'04_PRODUCTOS'!$B$2:$B$501,0))="","",I8-(G8*INDEX('04_PRODUCTOS'!$D$2:$D$501,MATCH(F8,'04_PRODUCTOS'!$B$2:$B$501,0)))),"")</f>
        <v/>
      </c>
      <c r="K8" s="7" t="str">
        <f t="shared" si="4"/>
        <v/>
      </c>
      <c r="O8" t="str">
        <f>IF(D8="","",IFERROR(INDEX('03_CLIENTES'!$A$2:$A$501,MATCH(D8,'03_CLIENTES'!$B$2:$B$501,0)),""))</f>
        <v/>
      </c>
      <c r="P8" t="str">
        <f>IF(F8="","",IFERROR(INDEX('04_PRODUCTOS'!$A$2:$A$501,MATCH(F8,'04_PRODUCTOS'!$B$2:$B$501,0)),""))</f>
        <v/>
      </c>
      <c r="Q8" t="str">
        <f t="shared" si="5"/>
        <v/>
      </c>
    </row>
    <row r="9" spans="1:21" x14ac:dyDescent="0.25">
      <c r="A9" t="str">
        <f t="shared" si="0"/>
        <v/>
      </c>
      <c r="B9" s="4" t="str">
        <f t="shared" ca="1" si="1"/>
        <v/>
      </c>
      <c r="C9" s="5" t="str">
        <f t="shared" ca="1" si="2"/>
        <v/>
      </c>
      <c r="G9" s="6"/>
      <c r="H9" s="3" t="str">
        <f>IFERROR(IF(E9="Mayorista",IF(INDEX('04_PRODUCTOS'!$F$2:$F$501,MATCH(F9,'04_PRODUCTOS'!$B$2:$B$501,0))="",INDEX('04_PRODUCTOS'!$E$2:$E$501,MATCH(F9,'04_PRODUCTOS'!$B$2:$B$501,0)),INDEX('04_PRODUCTOS'!$F$2:$F$501,MATCH(F9,'04_PRODUCTOS'!$B$2:$B$501,0))),IF(E9="Especial",IF(INDEX('04_PRODUCTOS'!$G$2:$G$501,MATCH(F9,'04_PRODUCTOS'!$B$2:$B$501,0))="",INDEX('04_PRODUCTOS'!$E$2:$E$501,MATCH(F9,'04_PRODUCTOS'!$B$2:$B$501,0)),INDEX('04_PRODUCTOS'!$G$2:$G$501,MATCH(F9,'04_PRODUCTOS'!$B$2:$B$501,0))),INDEX('04_PRODUCTOS'!$E$2:$E$501,MATCH(F9,'04_PRODUCTOS'!$B$2:$B$501,0)))),"")</f>
        <v/>
      </c>
      <c r="I9" s="3" t="str">
        <f t="shared" si="3"/>
        <v/>
      </c>
      <c r="J9" s="3" t="str">
        <f>IFERROR(IF(INDEX('04_PRODUCTOS'!$D$2:$D$501,MATCH(F9,'04_PRODUCTOS'!$B$2:$B$501,0))="","",I9-(G9*INDEX('04_PRODUCTOS'!$D$2:$D$501,MATCH(F9,'04_PRODUCTOS'!$B$2:$B$501,0)))),"")</f>
        <v/>
      </c>
      <c r="K9" s="7" t="str">
        <f t="shared" si="4"/>
        <v/>
      </c>
      <c r="O9" t="str">
        <f>IF(D9="","",IFERROR(INDEX('03_CLIENTES'!$A$2:$A$501,MATCH(D9,'03_CLIENTES'!$B$2:$B$501,0)),""))</f>
        <v/>
      </c>
      <c r="P9" t="str">
        <f>IF(F9="","",IFERROR(INDEX('04_PRODUCTOS'!$A$2:$A$501,MATCH(F9,'04_PRODUCTOS'!$B$2:$B$501,0)),""))</f>
        <v/>
      </c>
      <c r="Q9" t="str">
        <f t="shared" si="5"/>
        <v/>
      </c>
    </row>
    <row r="10" spans="1:21" x14ac:dyDescent="0.25">
      <c r="A10" t="str">
        <f t="shared" si="0"/>
        <v/>
      </c>
      <c r="B10" s="4" t="str">
        <f t="shared" ca="1" si="1"/>
        <v/>
      </c>
      <c r="C10" s="5" t="str">
        <f t="shared" ca="1" si="2"/>
        <v/>
      </c>
      <c r="G10" s="6"/>
      <c r="H10" s="3" t="str">
        <f>IFERROR(IF(E10="Mayorista",IF(INDEX('04_PRODUCTOS'!$F$2:$F$501,MATCH(F10,'04_PRODUCTOS'!$B$2:$B$501,0))="",INDEX('04_PRODUCTOS'!$E$2:$E$501,MATCH(F10,'04_PRODUCTOS'!$B$2:$B$501,0)),INDEX('04_PRODUCTOS'!$F$2:$F$501,MATCH(F10,'04_PRODUCTOS'!$B$2:$B$501,0))),IF(E10="Especial",IF(INDEX('04_PRODUCTOS'!$G$2:$G$501,MATCH(F10,'04_PRODUCTOS'!$B$2:$B$501,0))="",INDEX('04_PRODUCTOS'!$E$2:$E$501,MATCH(F10,'04_PRODUCTOS'!$B$2:$B$501,0)),INDEX('04_PRODUCTOS'!$G$2:$G$501,MATCH(F10,'04_PRODUCTOS'!$B$2:$B$501,0))),INDEX('04_PRODUCTOS'!$E$2:$E$501,MATCH(F10,'04_PRODUCTOS'!$B$2:$B$501,0)))),"")</f>
        <v/>
      </c>
      <c r="I10" s="3" t="str">
        <f t="shared" si="3"/>
        <v/>
      </c>
      <c r="J10" s="3" t="str">
        <f>IFERROR(IF(INDEX('04_PRODUCTOS'!$D$2:$D$501,MATCH(F10,'04_PRODUCTOS'!$B$2:$B$501,0))="","",I10-(G10*INDEX('04_PRODUCTOS'!$D$2:$D$501,MATCH(F10,'04_PRODUCTOS'!$B$2:$B$501,0)))),"")</f>
        <v/>
      </c>
      <c r="K10" s="7" t="str">
        <f t="shared" si="4"/>
        <v/>
      </c>
      <c r="O10" t="str">
        <f>IF(D10="","",IFERROR(INDEX('03_CLIENTES'!$A$2:$A$501,MATCH(D10,'03_CLIENTES'!$B$2:$B$501,0)),""))</f>
        <v/>
      </c>
      <c r="P10" t="str">
        <f>IF(F10="","",IFERROR(INDEX('04_PRODUCTOS'!$A$2:$A$501,MATCH(F10,'04_PRODUCTOS'!$B$2:$B$501,0)),""))</f>
        <v/>
      </c>
      <c r="Q10" t="str">
        <f t="shared" si="5"/>
        <v/>
      </c>
    </row>
    <row r="11" spans="1:21" x14ac:dyDescent="0.25">
      <c r="A11" t="str">
        <f t="shared" si="0"/>
        <v/>
      </c>
      <c r="B11" s="4" t="str">
        <f t="shared" ca="1" si="1"/>
        <v/>
      </c>
      <c r="C11" s="5" t="str">
        <f t="shared" ca="1" si="2"/>
        <v/>
      </c>
      <c r="G11" s="6"/>
      <c r="H11" s="3" t="str">
        <f>IFERROR(IF(E11="Mayorista",IF(INDEX('04_PRODUCTOS'!$F$2:$F$501,MATCH(F11,'04_PRODUCTOS'!$B$2:$B$501,0))="",INDEX('04_PRODUCTOS'!$E$2:$E$501,MATCH(F11,'04_PRODUCTOS'!$B$2:$B$501,0)),INDEX('04_PRODUCTOS'!$F$2:$F$501,MATCH(F11,'04_PRODUCTOS'!$B$2:$B$501,0))),IF(E11="Especial",IF(INDEX('04_PRODUCTOS'!$G$2:$G$501,MATCH(F11,'04_PRODUCTOS'!$B$2:$B$501,0))="",INDEX('04_PRODUCTOS'!$E$2:$E$501,MATCH(F11,'04_PRODUCTOS'!$B$2:$B$501,0)),INDEX('04_PRODUCTOS'!$G$2:$G$501,MATCH(F11,'04_PRODUCTOS'!$B$2:$B$501,0))),INDEX('04_PRODUCTOS'!$E$2:$E$501,MATCH(F11,'04_PRODUCTOS'!$B$2:$B$501,0)))),"")</f>
        <v/>
      </c>
      <c r="I11" s="3" t="str">
        <f t="shared" si="3"/>
        <v/>
      </c>
      <c r="J11" s="3" t="str">
        <f>IFERROR(IF(INDEX('04_PRODUCTOS'!$D$2:$D$501,MATCH(F11,'04_PRODUCTOS'!$B$2:$B$501,0))="","",I11-(G11*INDEX('04_PRODUCTOS'!$D$2:$D$501,MATCH(F11,'04_PRODUCTOS'!$B$2:$B$501,0)))),"")</f>
        <v/>
      </c>
      <c r="K11" s="7" t="str">
        <f t="shared" si="4"/>
        <v/>
      </c>
      <c r="O11" t="str">
        <f>IF(D11="","",IFERROR(INDEX('03_CLIENTES'!$A$2:$A$501,MATCH(D11,'03_CLIENTES'!$B$2:$B$501,0)),""))</f>
        <v/>
      </c>
      <c r="P11" t="str">
        <f>IF(F11="","",IFERROR(INDEX('04_PRODUCTOS'!$A$2:$A$501,MATCH(F11,'04_PRODUCTOS'!$B$2:$B$501,0)),""))</f>
        <v/>
      </c>
      <c r="Q11" t="str">
        <f t="shared" si="5"/>
        <v/>
      </c>
    </row>
    <row r="12" spans="1:21" x14ac:dyDescent="0.25">
      <c r="A12" t="str">
        <f t="shared" si="0"/>
        <v/>
      </c>
      <c r="B12" s="4" t="str">
        <f t="shared" ca="1" si="1"/>
        <v/>
      </c>
      <c r="C12" s="5" t="str">
        <f t="shared" ca="1" si="2"/>
        <v/>
      </c>
      <c r="G12" s="6"/>
      <c r="H12" s="3" t="str">
        <f>IFERROR(IF(E12="Mayorista",IF(INDEX('04_PRODUCTOS'!$F$2:$F$501,MATCH(F12,'04_PRODUCTOS'!$B$2:$B$501,0))="",INDEX('04_PRODUCTOS'!$E$2:$E$501,MATCH(F12,'04_PRODUCTOS'!$B$2:$B$501,0)),INDEX('04_PRODUCTOS'!$F$2:$F$501,MATCH(F12,'04_PRODUCTOS'!$B$2:$B$501,0))),IF(E12="Especial",IF(INDEX('04_PRODUCTOS'!$G$2:$G$501,MATCH(F12,'04_PRODUCTOS'!$B$2:$B$501,0))="",INDEX('04_PRODUCTOS'!$E$2:$E$501,MATCH(F12,'04_PRODUCTOS'!$B$2:$B$501,0)),INDEX('04_PRODUCTOS'!$G$2:$G$501,MATCH(F12,'04_PRODUCTOS'!$B$2:$B$501,0))),INDEX('04_PRODUCTOS'!$E$2:$E$501,MATCH(F12,'04_PRODUCTOS'!$B$2:$B$501,0)))),"")</f>
        <v/>
      </c>
      <c r="I12" s="3" t="str">
        <f t="shared" si="3"/>
        <v/>
      </c>
      <c r="J12" s="3" t="str">
        <f>IFERROR(IF(INDEX('04_PRODUCTOS'!$D$2:$D$501,MATCH(F12,'04_PRODUCTOS'!$B$2:$B$501,0))="","",I12-(G12*INDEX('04_PRODUCTOS'!$D$2:$D$501,MATCH(F12,'04_PRODUCTOS'!$B$2:$B$501,0)))),"")</f>
        <v/>
      </c>
      <c r="K12" s="7" t="str">
        <f t="shared" si="4"/>
        <v/>
      </c>
      <c r="O12" t="str">
        <f>IF(D12="","",IFERROR(INDEX('03_CLIENTES'!$A$2:$A$501,MATCH(D12,'03_CLIENTES'!$B$2:$B$501,0)),""))</f>
        <v/>
      </c>
      <c r="P12" t="str">
        <f>IF(F12="","",IFERROR(INDEX('04_PRODUCTOS'!$A$2:$A$501,MATCH(F12,'04_PRODUCTOS'!$B$2:$B$501,0)),""))</f>
        <v/>
      </c>
      <c r="Q12" t="str">
        <f t="shared" si="5"/>
        <v/>
      </c>
    </row>
    <row r="13" spans="1:21" x14ac:dyDescent="0.25">
      <c r="A13" t="str">
        <f t="shared" si="0"/>
        <v/>
      </c>
      <c r="B13" s="4" t="str">
        <f t="shared" ca="1" si="1"/>
        <v/>
      </c>
      <c r="C13" s="5" t="str">
        <f t="shared" ca="1" si="2"/>
        <v/>
      </c>
      <c r="G13" s="6"/>
      <c r="H13" s="3" t="str">
        <f>IFERROR(IF(E13="Mayorista",IF(INDEX('04_PRODUCTOS'!$F$2:$F$501,MATCH(F13,'04_PRODUCTOS'!$B$2:$B$501,0))="",INDEX('04_PRODUCTOS'!$E$2:$E$501,MATCH(F13,'04_PRODUCTOS'!$B$2:$B$501,0)),INDEX('04_PRODUCTOS'!$F$2:$F$501,MATCH(F13,'04_PRODUCTOS'!$B$2:$B$501,0))),IF(E13="Especial",IF(INDEX('04_PRODUCTOS'!$G$2:$G$501,MATCH(F13,'04_PRODUCTOS'!$B$2:$B$501,0))="",INDEX('04_PRODUCTOS'!$E$2:$E$501,MATCH(F13,'04_PRODUCTOS'!$B$2:$B$501,0)),INDEX('04_PRODUCTOS'!$G$2:$G$501,MATCH(F13,'04_PRODUCTOS'!$B$2:$B$501,0))),INDEX('04_PRODUCTOS'!$E$2:$E$501,MATCH(F13,'04_PRODUCTOS'!$B$2:$B$501,0)))),"")</f>
        <v/>
      </c>
      <c r="I13" s="3" t="str">
        <f t="shared" si="3"/>
        <v/>
      </c>
      <c r="J13" s="3" t="str">
        <f>IFERROR(IF(INDEX('04_PRODUCTOS'!$D$2:$D$501,MATCH(F13,'04_PRODUCTOS'!$B$2:$B$501,0))="","",I13-(G13*INDEX('04_PRODUCTOS'!$D$2:$D$501,MATCH(F13,'04_PRODUCTOS'!$B$2:$B$501,0)))),"")</f>
        <v/>
      </c>
      <c r="K13" s="7" t="str">
        <f t="shared" si="4"/>
        <v/>
      </c>
      <c r="O13" t="str">
        <f>IF(D13="","",IFERROR(INDEX('03_CLIENTES'!$A$2:$A$501,MATCH(D13,'03_CLIENTES'!$B$2:$B$501,0)),""))</f>
        <v/>
      </c>
      <c r="P13" t="str">
        <f>IF(F13="","",IFERROR(INDEX('04_PRODUCTOS'!$A$2:$A$501,MATCH(F13,'04_PRODUCTOS'!$B$2:$B$501,0)),""))</f>
        <v/>
      </c>
      <c r="Q13" t="str">
        <f t="shared" si="5"/>
        <v/>
      </c>
    </row>
    <row r="14" spans="1:21" x14ac:dyDescent="0.25">
      <c r="A14" t="str">
        <f t="shared" si="0"/>
        <v/>
      </c>
      <c r="B14" s="4" t="str">
        <f t="shared" ca="1" si="1"/>
        <v/>
      </c>
      <c r="C14" s="5" t="str">
        <f t="shared" ca="1" si="2"/>
        <v/>
      </c>
      <c r="G14" s="6"/>
      <c r="H14" s="3" t="str">
        <f>IFERROR(IF(E14="Mayorista",IF(INDEX('04_PRODUCTOS'!$F$2:$F$501,MATCH(F14,'04_PRODUCTOS'!$B$2:$B$501,0))="",INDEX('04_PRODUCTOS'!$E$2:$E$501,MATCH(F14,'04_PRODUCTOS'!$B$2:$B$501,0)),INDEX('04_PRODUCTOS'!$F$2:$F$501,MATCH(F14,'04_PRODUCTOS'!$B$2:$B$501,0))),IF(E14="Especial",IF(INDEX('04_PRODUCTOS'!$G$2:$G$501,MATCH(F14,'04_PRODUCTOS'!$B$2:$B$501,0))="",INDEX('04_PRODUCTOS'!$E$2:$E$501,MATCH(F14,'04_PRODUCTOS'!$B$2:$B$501,0)),INDEX('04_PRODUCTOS'!$G$2:$G$501,MATCH(F14,'04_PRODUCTOS'!$B$2:$B$501,0))),INDEX('04_PRODUCTOS'!$E$2:$E$501,MATCH(F14,'04_PRODUCTOS'!$B$2:$B$501,0)))),"")</f>
        <v/>
      </c>
      <c r="I14" s="3" t="str">
        <f t="shared" si="3"/>
        <v/>
      </c>
      <c r="J14" s="3" t="str">
        <f>IFERROR(IF(INDEX('04_PRODUCTOS'!$D$2:$D$501,MATCH(F14,'04_PRODUCTOS'!$B$2:$B$501,0))="","",I14-(G14*INDEX('04_PRODUCTOS'!$D$2:$D$501,MATCH(F14,'04_PRODUCTOS'!$B$2:$B$501,0)))),"")</f>
        <v/>
      </c>
      <c r="K14" s="7" t="str">
        <f t="shared" si="4"/>
        <v/>
      </c>
      <c r="O14" t="str">
        <f>IF(D14="","",IFERROR(INDEX('03_CLIENTES'!$A$2:$A$501,MATCH(D14,'03_CLIENTES'!$B$2:$B$501,0)),""))</f>
        <v/>
      </c>
      <c r="P14" t="str">
        <f>IF(F14="","",IFERROR(INDEX('04_PRODUCTOS'!$A$2:$A$501,MATCH(F14,'04_PRODUCTOS'!$B$2:$B$501,0)),""))</f>
        <v/>
      </c>
      <c r="Q14" t="str">
        <f t="shared" si="5"/>
        <v/>
      </c>
    </row>
    <row r="15" spans="1:21" x14ac:dyDescent="0.25">
      <c r="A15" t="str">
        <f t="shared" si="0"/>
        <v/>
      </c>
      <c r="B15" s="4" t="str">
        <f t="shared" ca="1" si="1"/>
        <v/>
      </c>
      <c r="C15" s="5" t="str">
        <f t="shared" ca="1" si="2"/>
        <v/>
      </c>
      <c r="G15" s="6"/>
      <c r="H15" s="3" t="str">
        <f>IFERROR(IF(E15="Mayorista",IF(INDEX('04_PRODUCTOS'!$F$2:$F$501,MATCH(F15,'04_PRODUCTOS'!$B$2:$B$501,0))="",INDEX('04_PRODUCTOS'!$E$2:$E$501,MATCH(F15,'04_PRODUCTOS'!$B$2:$B$501,0)),INDEX('04_PRODUCTOS'!$F$2:$F$501,MATCH(F15,'04_PRODUCTOS'!$B$2:$B$501,0))),IF(E15="Especial",IF(INDEX('04_PRODUCTOS'!$G$2:$G$501,MATCH(F15,'04_PRODUCTOS'!$B$2:$B$501,0))="",INDEX('04_PRODUCTOS'!$E$2:$E$501,MATCH(F15,'04_PRODUCTOS'!$B$2:$B$501,0)),INDEX('04_PRODUCTOS'!$G$2:$G$501,MATCH(F15,'04_PRODUCTOS'!$B$2:$B$501,0))),INDEX('04_PRODUCTOS'!$E$2:$E$501,MATCH(F15,'04_PRODUCTOS'!$B$2:$B$501,0)))),"")</f>
        <v/>
      </c>
      <c r="I15" s="3" t="str">
        <f t="shared" si="3"/>
        <v/>
      </c>
      <c r="J15" s="3" t="str">
        <f>IFERROR(IF(INDEX('04_PRODUCTOS'!$D$2:$D$501,MATCH(F15,'04_PRODUCTOS'!$B$2:$B$501,0))="","",I15-(G15*INDEX('04_PRODUCTOS'!$D$2:$D$501,MATCH(F15,'04_PRODUCTOS'!$B$2:$B$501,0)))),"")</f>
        <v/>
      </c>
      <c r="K15" s="7" t="str">
        <f t="shared" si="4"/>
        <v/>
      </c>
      <c r="O15" t="str">
        <f>IF(D15="","",IFERROR(INDEX('03_CLIENTES'!$A$2:$A$501,MATCH(D15,'03_CLIENTES'!$B$2:$B$501,0)),""))</f>
        <v/>
      </c>
      <c r="P15" t="str">
        <f>IF(F15="","",IFERROR(INDEX('04_PRODUCTOS'!$A$2:$A$501,MATCH(F15,'04_PRODUCTOS'!$B$2:$B$501,0)),""))</f>
        <v/>
      </c>
      <c r="Q15" t="str">
        <f t="shared" si="5"/>
        <v/>
      </c>
    </row>
    <row r="16" spans="1:21" x14ac:dyDescent="0.25">
      <c r="A16" t="str">
        <f t="shared" si="0"/>
        <v/>
      </c>
      <c r="B16" s="4" t="str">
        <f t="shared" ca="1" si="1"/>
        <v/>
      </c>
      <c r="C16" s="5" t="str">
        <f t="shared" ca="1" si="2"/>
        <v/>
      </c>
      <c r="G16" s="6"/>
      <c r="H16" s="3" t="str">
        <f>IFERROR(IF(E16="Mayorista",IF(INDEX('04_PRODUCTOS'!$F$2:$F$501,MATCH(F16,'04_PRODUCTOS'!$B$2:$B$501,0))="",INDEX('04_PRODUCTOS'!$E$2:$E$501,MATCH(F16,'04_PRODUCTOS'!$B$2:$B$501,0)),INDEX('04_PRODUCTOS'!$F$2:$F$501,MATCH(F16,'04_PRODUCTOS'!$B$2:$B$501,0))),IF(E16="Especial",IF(INDEX('04_PRODUCTOS'!$G$2:$G$501,MATCH(F16,'04_PRODUCTOS'!$B$2:$B$501,0))="",INDEX('04_PRODUCTOS'!$E$2:$E$501,MATCH(F16,'04_PRODUCTOS'!$B$2:$B$501,0)),INDEX('04_PRODUCTOS'!$G$2:$G$501,MATCH(F16,'04_PRODUCTOS'!$B$2:$B$501,0))),INDEX('04_PRODUCTOS'!$E$2:$E$501,MATCH(F16,'04_PRODUCTOS'!$B$2:$B$501,0)))),"")</f>
        <v/>
      </c>
      <c r="I16" s="3" t="str">
        <f t="shared" si="3"/>
        <v/>
      </c>
      <c r="J16" s="3" t="str">
        <f>IFERROR(IF(INDEX('04_PRODUCTOS'!$D$2:$D$501,MATCH(F16,'04_PRODUCTOS'!$B$2:$B$501,0))="","",I16-(G16*INDEX('04_PRODUCTOS'!$D$2:$D$501,MATCH(F16,'04_PRODUCTOS'!$B$2:$B$501,0)))),"")</f>
        <v/>
      </c>
      <c r="K16" s="7" t="str">
        <f t="shared" si="4"/>
        <v/>
      </c>
      <c r="O16" t="str">
        <f>IF(D16="","",IFERROR(INDEX('03_CLIENTES'!$A$2:$A$501,MATCH(D16,'03_CLIENTES'!$B$2:$B$501,0)),""))</f>
        <v/>
      </c>
      <c r="P16" t="str">
        <f>IF(F16="","",IFERROR(INDEX('04_PRODUCTOS'!$A$2:$A$501,MATCH(F16,'04_PRODUCTOS'!$B$2:$B$501,0)),""))</f>
        <v/>
      </c>
      <c r="Q16" t="str">
        <f t="shared" si="5"/>
        <v/>
      </c>
    </row>
    <row r="17" spans="1:17" x14ac:dyDescent="0.25">
      <c r="A17" t="str">
        <f t="shared" si="0"/>
        <v/>
      </c>
      <c r="B17" s="4" t="str">
        <f t="shared" ca="1" si="1"/>
        <v/>
      </c>
      <c r="C17" s="5" t="str">
        <f t="shared" ca="1" si="2"/>
        <v/>
      </c>
      <c r="G17" s="6"/>
      <c r="H17" s="3" t="str">
        <f>IFERROR(IF(E17="Mayorista",IF(INDEX('04_PRODUCTOS'!$F$2:$F$501,MATCH(F17,'04_PRODUCTOS'!$B$2:$B$501,0))="",INDEX('04_PRODUCTOS'!$E$2:$E$501,MATCH(F17,'04_PRODUCTOS'!$B$2:$B$501,0)),INDEX('04_PRODUCTOS'!$F$2:$F$501,MATCH(F17,'04_PRODUCTOS'!$B$2:$B$501,0))),IF(E17="Especial",IF(INDEX('04_PRODUCTOS'!$G$2:$G$501,MATCH(F17,'04_PRODUCTOS'!$B$2:$B$501,0))="",INDEX('04_PRODUCTOS'!$E$2:$E$501,MATCH(F17,'04_PRODUCTOS'!$B$2:$B$501,0)),INDEX('04_PRODUCTOS'!$G$2:$G$501,MATCH(F17,'04_PRODUCTOS'!$B$2:$B$501,0))),INDEX('04_PRODUCTOS'!$E$2:$E$501,MATCH(F17,'04_PRODUCTOS'!$B$2:$B$501,0)))),"")</f>
        <v/>
      </c>
      <c r="I17" s="3" t="str">
        <f t="shared" si="3"/>
        <v/>
      </c>
      <c r="J17" s="3" t="str">
        <f>IFERROR(IF(INDEX('04_PRODUCTOS'!$D$2:$D$501,MATCH(F17,'04_PRODUCTOS'!$B$2:$B$501,0))="","",I17-(G17*INDEX('04_PRODUCTOS'!$D$2:$D$501,MATCH(F17,'04_PRODUCTOS'!$B$2:$B$501,0)))),"")</f>
        <v/>
      </c>
      <c r="K17" s="7" t="str">
        <f t="shared" si="4"/>
        <v/>
      </c>
      <c r="O17" t="str">
        <f>IF(D17="","",IFERROR(INDEX('03_CLIENTES'!$A$2:$A$501,MATCH(D17,'03_CLIENTES'!$B$2:$B$501,0)),""))</f>
        <v/>
      </c>
      <c r="P17" t="str">
        <f>IF(F17="","",IFERROR(INDEX('04_PRODUCTOS'!$A$2:$A$501,MATCH(F17,'04_PRODUCTOS'!$B$2:$B$501,0)),""))</f>
        <v/>
      </c>
      <c r="Q17" t="str">
        <f t="shared" si="5"/>
        <v/>
      </c>
    </row>
    <row r="18" spans="1:17" x14ac:dyDescent="0.25">
      <c r="A18" t="str">
        <f t="shared" si="0"/>
        <v/>
      </c>
      <c r="B18" s="4" t="str">
        <f t="shared" ca="1" si="1"/>
        <v/>
      </c>
      <c r="C18" s="5" t="str">
        <f t="shared" ca="1" si="2"/>
        <v/>
      </c>
      <c r="G18" s="6"/>
      <c r="H18" s="3" t="str">
        <f>IFERROR(IF(E18="Mayorista",IF(INDEX('04_PRODUCTOS'!$F$2:$F$501,MATCH(F18,'04_PRODUCTOS'!$B$2:$B$501,0))="",INDEX('04_PRODUCTOS'!$E$2:$E$501,MATCH(F18,'04_PRODUCTOS'!$B$2:$B$501,0)),INDEX('04_PRODUCTOS'!$F$2:$F$501,MATCH(F18,'04_PRODUCTOS'!$B$2:$B$501,0))),IF(E18="Especial",IF(INDEX('04_PRODUCTOS'!$G$2:$G$501,MATCH(F18,'04_PRODUCTOS'!$B$2:$B$501,0))="",INDEX('04_PRODUCTOS'!$E$2:$E$501,MATCH(F18,'04_PRODUCTOS'!$B$2:$B$501,0)),INDEX('04_PRODUCTOS'!$G$2:$G$501,MATCH(F18,'04_PRODUCTOS'!$B$2:$B$501,0))),INDEX('04_PRODUCTOS'!$E$2:$E$501,MATCH(F18,'04_PRODUCTOS'!$B$2:$B$501,0)))),"")</f>
        <v/>
      </c>
      <c r="I18" s="3" t="str">
        <f t="shared" si="3"/>
        <v/>
      </c>
      <c r="J18" s="3" t="str">
        <f>IFERROR(IF(INDEX('04_PRODUCTOS'!$D$2:$D$501,MATCH(F18,'04_PRODUCTOS'!$B$2:$B$501,0))="","",I18-(G18*INDEX('04_PRODUCTOS'!$D$2:$D$501,MATCH(F18,'04_PRODUCTOS'!$B$2:$B$501,0)))),"")</f>
        <v/>
      </c>
      <c r="K18" s="7" t="str">
        <f t="shared" si="4"/>
        <v/>
      </c>
      <c r="O18" t="str">
        <f>IF(D18="","",IFERROR(INDEX('03_CLIENTES'!$A$2:$A$501,MATCH(D18,'03_CLIENTES'!$B$2:$B$501,0)),""))</f>
        <v/>
      </c>
      <c r="P18" t="str">
        <f>IF(F18="","",IFERROR(INDEX('04_PRODUCTOS'!$A$2:$A$501,MATCH(F18,'04_PRODUCTOS'!$B$2:$B$501,0)),""))</f>
        <v/>
      </c>
      <c r="Q18" t="str">
        <f t="shared" si="5"/>
        <v/>
      </c>
    </row>
    <row r="19" spans="1:17" x14ac:dyDescent="0.25">
      <c r="A19" t="str">
        <f t="shared" si="0"/>
        <v/>
      </c>
      <c r="B19" s="4" t="str">
        <f t="shared" ca="1" si="1"/>
        <v/>
      </c>
      <c r="C19" s="5" t="str">
        <f t="shared" ca="1" si="2"/>
        <v/>
      </c>
      <c r="G19" s="6"/>
      <c r="H19" s="3" t="str">
        <f>IFERROR(IF(E19="Mayorista",IF(INDEX('04_PRODUCTOS'!$F$2:$F$501,MATCH(F19,'04_PRODUCTOS'!$B$2:$B$501,0))="",INDEX('04_PRODUCTOS'!$E$2:$E$501,MATCH(F19,'04_PRODUCTOS'!$B$2:$B$501,0)),INDEX('04_PRODUCTOS'!$F$2:$F$501,MATCH(F19,'04_PRODUCTOS'!$B$2:$B$501,0))),IF(E19="Especial",IF(INDEX('04_PRODUCTOS'!$G$2:$G$501,MATCH(F19,'04_PRODUCTOS'!$B$2:$B$501,0))="",INDEX('04_PRODUCTOS'!$E$2:$E$501,MATCH(F19,'04_PRODUCTOS'!$B$2:$B$501,0)),INDEX('04_PRODUCTOS'!$G$2:$G$501,MATCH(F19,'04_PRODUCTOS'!$B$2:$B$501,0))),INDEX('04_PRODUCTOS'!$E$2:$E$501,MATCH(F19,'04_PRODUCTOS'!$B$2:$B$501,0)))),"")</f>
        <v/>
      </c>
      <c r="I19" s="3" t="str">
        <f t="shared" si="3"/>
        <v/>
      </c>
      <c r="J19" s="3" t="str">
        <f>IFERROR(IF(INDEX('04_PRODUCTOS'!$D$2:$D$501,MATCH(F19,'04_PRODUCTOS'!$B$2:$B$501,0))="","",I19-(G19*INDEX('04_PRODUCTOS'!$D$2:$D$501,MATCH(F19,'04_PRODUCTOS'!$B$2:$B$501,0)))),"")</f>
        <v/>
      </c>
      <c r="K19" s="7" t="str">
        <f t="shared" si="4"/>
        <v/>
      </c>
      <c r="O19" t="str">
        <f>IF(D19="","",IFERROR(INDEX('03_CLIENTES'!$A$2:$A$501,MATCH(D19,'03_CLIENTES'!$B$2:$B$501,0)),""))</f>
        <v/>
      </c>
      <c r="P19" t="str">
        <f>IF(F19="","",IFERROR(INDEX('04_PRODUCTOS'!$A$2:$A$501,MATCH(F19,'04_PRODUCTOS'!$B$2:$B$501,0)),""))</f>
        <v/>
      </c>
      <c r="Q19" t="str">
        <f t="shared" si="5"/>
        <v/>
      </c>
    </row>
    <row r="20" spans="1:17" x14ac:dyDescent="0.25">
      <c r="A20" t="str">
        <f t="shared" si="0"/>
        <v/>
      </c>
      <c r="B20" s="4" t="str">
        <f t="shared" ca="1" si="1"/>
        <v/>
      </c>
      <c r="C20" s="5" t="str">
        <f t="shared" ca="1" si="2"/>
        <v/>
      </c>
      <c r="G20" s="6"/>
      <c r="H20" s="3" t="str">
        <f>IFERROR(IF(E20="Mayorista",IF(INDEX('04_PRODUCTOS'!$F$2:$F$501,MATCH(F20,'04_PRODUCTOS'!$B$2:$B$501,0))="",INDEX('04_PRODUCTOS'!$E$2:$E$501,MATCH(F20,'04_PRODUCTOS'!$B$2:$B$501,0)),INDEX('04_PRODUCTOS'!$F$2:$F$501,MATCH(F20,'04_PRODUCTOS'!$B$2:$B$501,0))),IF(E20="Especial",IF(INDEX('04_PRODUCTOS'!$G$2:$G$501,MATCH(F20,'04_PRODUCTOS'!$B$2:$B$501,0))="",INDEX('04_PRODUCTOS'!$E$2:$E$501,MATCH(F20,'04_PRODUCTOS'!$B$2:$B$501,0)),INDEX('04_PRODUCTOS'!$G$2:$G$501,MATCH(F20,'04_PRODUCTOS'!$B$2:$B$501,0))),INDEX('04_PRODUCTOS'!$E$2:$E$501,MATCH(F20,'04_PRODUCTOS'!$B$2:$B$501,0)))),"")</f>
        <v/>
      </c>
      <c r="I20" s="3" t="str">
        <f t="shared" si="3"/>
        <v/>
      </c>
      <c r="J20" s="3" t="str">
        <f>IFERROR(IF(INDEX('04_PRODUCTOS'!$D$2:$D$501,MATCH(F20,'04_PRODUCTOS'!$B$2:$B$501,0))="","",I20-(G20*INDEX('04_PRODUCTOS'!$D$2:$D$501,MATCH(F20,'04_PRODUCTOS'!$B$2:$B$501,0)))),"")</f>
        <v/>
      </c>
      <c r="K20" s="7" t="str">
        <f t="shared" si="4"/>
        <v/>
      </c>
      <c r="O20" t="str">
        <f>IF(D20="","",IFERROR(INDEX('03_CLIENTES'!$A$2:$A$501,MATCH(D20,'03_CLIENTES'!$B$2:$B$501,0)),""))</f>
        <v/>
      </c>
      <c r="P20" t="str">
        <f>IF(F20="","",IFERROR(INDEX('04_PRODUCTOS'!$A$2:$A$501,MATCH(F20,'04_PRODUCTOS'!$B$2:$B$501,0)),""))</f>
        <v/>
      </c>
      <c r="Q20" t="str">
        <f t="shared" si="5"/>
        <v/>
      </c>
    </row>
    <row r="21" spans="1:17" x14ac:dyDescent="0.25">
      <c r="A21" t="str">
        <f t="shared" si="0"/>
        <v/>
      </c>
      <c r="B21" s="4" t="str">
        <f t="shared" ca="1" si="1"/>
        <v/>
      </c>
      <c r="C21" s="5" t="str">
        <f t="shared" ca="1" si="2"/>
        <v/>
      </c>
      <c r="G21" s="6"/>
      <c r="H21" s="3" t="str">
        <f>IFERROR(IF(E21="Mayorista",IF(INDEX('04_PRODUCTOS'!$F$2:$F$501,MATCH(F21,'04_PRODUCTOS'!$B$2:$B$501,0))="",INDEX('04_PRODUCTOS'!$E$2:$E$501,MATCH(F21,'04_PRODUCTOS'!$B$2:$B$501,0)),INDEX('04_PRODUCTOS'!$F$2:$F$501,MATCH(F21,'04_PRODUCTOS'!$B$2:$B$501,0))),IF(E21="Especial",IF(INDEX('04_PRODUCTOS'!$G$2:$G$501,MATCH(F21,'04_PRODUCTOS'!$B$2:$B$501,0))="",INDEX('04_PRODUCTOS'!$E$2:$E$501,MATCH(F21,'04_PRODUCTOS'!$B$2:$B$501,0)),INDEX('04_PRODUCTOS'!$G$2:$G$501,MATCH(F21,'04_PRODUCTOS'!$B$2:$B$501,0))),INDEX('04_PRODUCTOS'!$E$2:$E$501,MATCH(F21,'04_PRODUCTOS'!$B$2:$B$501,0)))),"")</f>
        <v/>
      </c>
      <c r="I21" s="3" t="str">
        <f t="shared" si="3"/>
        <v/>
      </c>
      <c r="J21" s="3" t="str">
        <f>IFERROR(IF(INDEX('04_PRODUCTOS'!$D$2:$D$501,MATCH(F21,'04_PRODUCTOS'!$B$2:$B$501,0))="","",I21-(G21*INDEX('04_PRODUCTOS'!$D$2:$D$501,MATCH(F21,'04_PRODUCTOS'!$B$2:$B$501,0)))),"")</f>
        <v/>
      </c>
      <c r="K21" s="7" t="str">
        <f t="shared" si="4"/>
        <v/>
      </c>
      <c r="O21" t="str">
        <f>IF(D21="","",IFERROR(INDEX('03_CLIENTES'!$A$2:$A$501,MATCH(D21,'03_CLIENTES'!$B$2:$B$501,0)),""))</f>
        <v/>
      </c>
      <c r="P21" t="str">
        <f>IF(F21="","",IFERROR(INDEX('04_PRODUCTOS'!$A$2:$A$501,MATCH(F21,'04_PRODUCTOS'!$B$2:$B$501,0)),""))</f>
        <v/>
      </c>
      <c r="Q21" t="str">
        <f t="shared" si="5"/>
        <v/>
      </c>
    </row>
    <row r="22" spans="1:17" x14ac:dyDescent="0.25">
      <c r="A22" t="str">
        <f t="shared" si="0"/>
        <v/>
      </c>
      <c r="B22" s="4" t="str">
        <f t="shared" ca="1" si="1"/>
        <v/>
      </c>
      <c r="C22" s="5" t="str">
        <f t="shared" ca="1" si="2"/>
        <v/>
      </c>
      <c r="G22" s="6"/>
      <c r="H22" s="3" t="str">
        <f>IFERROR(IF(E22="Mayorista",IF(INDEX('04_PRODUCTOS'!$F$2:$F$501,MATCH(F22,'04_PRODUCTOS'!$B$2:$B$501,0))="",INDEX('04_PRODUCTOS'!$E$2:$E$501,MATCH(F22,'04_PRODUCTOS'!$B$2:$B$501,0)),INDEX('04_PRODUCTOS'!$F$2:$F$501,MATCH(F22,'04_PRODUCTOS'!$B$2:$B$501,0))),IF(E22="Especial",IF(INDEX('04_PRODUCTOS'!$G$2:$G$501,MATCH(F22,'04_PRODUCTOS'!$B$2:$B$501,0))="",INDEX('04_PRODUCTOS'!$E$2:$E$501,MATCH(F22,'04_PRODUCTOS'!$B$2:$B$501,0)),INDEX('04_PRODUCTOS'!$G$2:$G$501,MATCH(F22,'04_PRODUCTOS'!$B$2:$B$501,0))),INDEX('04_PRODUCTOS'!$E$2:$E$501,MATCH(F22,'04_PRODUCTOS'!$B$2:$B$501,0)))),"")</f>
        <v/>
      </c>
      <c r="I22" s="3" t="str">
        <f t="shared" si="3"/>
        <v/>
      </c>
      <c r="J22" s="3" t="str">
        <f>IFERROR(IF(INDEX('04_PRODUCTOS'!$D$2:$D$501,MATCH(F22,'04_PRODUCTOS'!$B$2:$B$501,0))="","",I22-(G22*INDEX('04_PRODUCTOS'!$D$2:$D$501,MATCH(F22,'04_PRODUCTOS'!$B$2:$B$501,0)))),"")</f>
        <v/>
      </c>
      <c r="K22" s="7" t="str">
        <f t="shared" si="4"/>
        <v/>
      </c>
      <c r="O22" t="str">
        <f>IF(D22="","",IFERROR(INDEX('03_CLIENTES'!$A$2:$A$501,MATCH(D22,'03_CLIENTES'!$B$2:$B$501,0)),""))</f>
        <v/>
      </c>
      <c r="P22" t="str">
        <f>IF(F22="","",IFERROR(INDEX('04_PRODUCTOS'!$A$2:$A$501,MATCH(F22,'04_PRODUCTOS'!$B$2:$B$501,0)),""))</f>
        <v/>
      </c>
      <c r="Q22" t="str">
        <f t="shared" si="5"/>
        <v/>
      </c>
    </row>
    <row r="23" spans="1:17" x14ac:dyDescent="0.25">
      <c r="A23" t="str">
        <f t="shared" si="0"/>
        <v/>
      </c>
      <c r="B23" s="4" t="str">
        <f t="shared" ca="1" si="1"/>
        <v/>
      </c>
      <c r="C23" s="5" t="str">
        <f t="shared" ca="1" si="2"/>
        <v/>
      </c>
      <c r="G23" s="6"/>
      <c r="H23" s="3" t="str">
        <f>IFERROR(IF(E23="Mayorista",IF(INDEX('04_PRODUCTOS'!$F$2:$F$501,MATCH(F23,'04_PRODUCTOS'!$B$2:$B$501,0))="",INDEX('04_PRODUCTOS'!$E$2:$E$501,MATCH(F23,'04_PRODUCTOS'!$B$2:$B$501,0)),INDEX('04_PRODUCTOS'!$F$2:$F$501,MATCH(F23,'04_PRODUCTOS'!$B$2:$B$501,0))),IF(E23="Especial",IF(INDEX('04_PRODUCTOS'!$G$2:$G$501,MATCH(F23,'04_PRODUCTOS'!$B$2:$B$501,0))="",INDEX('04_PRODUCTOS'!$E$2:$E$501,MATCH(F23,'04_PRODUCTOS'!$B$2:$B$501,0)),INDEX('04_PRODUCTOS'!$G$2:$G$501,MATCH(F23,'04_PRODUCTOS'!$B$2:$B$501,0))),INDEX('04_PRODUCTOS'!$E$2:$E$501,MATCH(F23,'04_PRODUCTOS'!$B$2:$B$501,0)))),"")</f>
        <v/>
      </c>
      <c r="I23" s="3" t="str">
        <f t="shared" si="3"/>
        <v/>
      </c>
      <c r="J23" s="3" t="str">
        <f>IFERROR(IF(INDEX('04_PRODUCTOS'!$D$2:$D$501,MATCH(F23,'04_PRODUCTOS'!$B$2:$B$501,0))="","",I23-(G23*INDEX('04_PRODUCTOS'!$D$2:$D$501,MATCH(F23,'04_PRODUCTOS'!$B$2:$B$501,0)))),"")</f>
        <v/>
      </c>
      <c r="K23" s="7" t="str">
        <f t="shared" si="4"/>
        <v/>
      </c>
      <c r="O23" t="str">
        <f>IF(D23="","",IFERROR(INDEX('03_CLIENTES'!$A$2:$A$501,MATCH(D23,'03_CLIENTES'!$B$2:$B$501,0)),""))</f>
        <v/>
      </c>
      <c r="P23" t="str">
        <f>IF(F23="","",IFERROR(INDEX('04_PRODUCTOS'!$A$2:$A$501,MATCH(F23,'04_PRODUCTOS'!$B$2:$B$501,0)),""))</f>
        <v/>
      </c>
      <c r="Q23" t="str">
        <f t="shared" si="5"/>
        <v/>
      </c>
    </row>
    <row r="24" spans="1:17" x14ac:dyDescent="0.25">
      <c r="A24" t="str">
        <f t="shared" si="0"/>
        <v/>
      </c>
      <c r="B24" s="4" t="str">
        <f t="shared" ca="1" si="1"/>
        <v/>
      </c>
      <c r="C24" s="5" t="str">
        <f t="shared" ca="1" si="2"/>
        <v/>
      </c>
      <c r="G24" s="6"/>
      <c r="H24" s="3" t="str">
        <f>IFERROR(IF(E24="Mayorista",IF(INDEX('04_PRODUCTOS'!$F$2:$F$501,MATCH(F24,'04_PRODUCTOS'!$B$2:$B$501,0))="",INDEX('04_PRODUCTOS'!$E$2:$E$501,MATCH(F24,'04_PRODUCTOS'!$B$2:$B$501,0)),INDEX('04_PRODUCTOS'!$F$2:$F$501,MATCH(F24,'04_PRODUCTOS'!$B$2:$B$501,0))),IF(E24="Especial",IF(INDEX('04_PRODUCTOS'!$G$2:$G$501,MATCH(F24,'04_PRODUCTOS'!$B$2:$B$501,0))="",INDEX('04_PRODUCTOS'!$E$2:$E$501,MATCH(F24,'04_PRODUCTOS'!$B$2:$B$501,0)),INDEX('04_PRODUCTOS'!$G$2:$G$501,MATCH(F24,'04_PRODUCTOS'!$B$2:$B$501,0))),INDEX('04_PRODUCTOS'!$E$2:$E$501,MATCH(F24,'04_PRODUCTOS'!$B$2:$B$501,0)))),"")</f>
        <v/>
      </c>
      <c r="I24" s="3" t="str">
        <f t="shared" si="3"/>
        <v/>
      </c>
      <c r="J24" s="3" t="str">
        <f>IFERROR(IF(INDEX('04_PRODUCTOS'!$D$2:$D$501,MATCH(F24,'04_PRODUCTOS'!$B$2:$B$501,0))="","",I24-(G24*INDEX('04_PRODUCTOS'!$D$2:$D$501,MATCH(F24,'04_PRODUCTOS'!$B$2:$B$501,0)))),"")</f>
        <v/>
      </c>
      <c r="K24" s="7" t="str">
        <f t="shared" si="4"/>
        <v/>
      </c>
      <c r="O24" t="str">
        <f>IF(D24="","",IFERROR(INDEX('03_CLIENTES'!$A$2:$A$501,MATCH(D24,'03_CLIENTES'!$B$2:$B$501,0)),""))</f>
        <v/>
      </c>
      <c r="P24" t="str">
        <f>IF(F24="","",IFERROR(INDEX('04_PRODUCTOS'!$A$2:$A$501,MATCH(F24,'04_PRODUCTOS'!$B$2:$B$501,0)),""))</f>
        <v/>
      </c>
      <c r="Q24" t="str">
        <f t="shared" si="5"/>
        <v/>
      </c>
    </row>
    <row r="25" spans="1:17" x14ac:dyDescent="0.25">
      <c r="A25" t="str">
        <f t="shared" si="0"/>
        <v/>
      </c>
      <c r="B25" s="4" t="str">
        <f t="shared" ca="1" si="1"/>
        <v/>
      </c>
      <c r="C25" s="5" t="str">
        <f t="shared" ca="1" si="2"/>
        <v/>
      </c>
      <c r="G25" s="6"/>
      <c r="H25" s="3" t="str">
        <f>IFERROR(IF(E25="Mayorista",IF(INDEX('04_PRODUCTOS'!$F$2:$F$501,MATCH(F25,'04_PRODUCTOS'!$B$2:$B$501,0))="",INDEX('04_PRODUCTOS'!$E$2:$E$501,MATCH(F25,'04_PRODUCTOS'!$B$2:$B$501,0)),INDEX('04_PRODUCTOS'!$F$2:$F$501,MATCH(F25,'04_PRODUCTOS'!$B$2:$B$501,0))),IF(E25="Especial",IF(INDEX('04_PRODUCTOS'!$G$2:$G$501,MATCH(F25,'04_PRODUCTOS'!$B$2:$B$501,0))="",INDEX('04_PRODUCTOS'!$E$2:$E$501,MATCH(F25,'04_PRODUCTOS'!$B$2:$B$501,0)),INDEX('04_PRODUCTOS'!$G$2:$G$501,MATCH(F25,'04_PRODUCTOS'!$B$2:$B$501,0))),INDEX('04_PRODUCTOS'!$E$2:$E$501,MATCH(F25,'04_PRODUCTOS'!$B$2:$B$501,0)))),"")</f>
        <v/>
      </c>
      <c r="I25" s="3" t="str">
        <f t="shared" si="3"/>
        <v/>
      </c>
      <c r="J25" s="3" t="str">
        <f>IFERROR(IF(INDEX('04_PRODUCTOS'!$D$2:$D$501,MATCH(F25,'04_PRODUCTOS'!$B$2:$B$501,0))="","",I25-(G25*INDEX('04_PRODUCTOS'!$D$2:$D$501,MATCH(F25,'04_PRODUCTOS'!$B$2:$B$501,0)))),"")</f>
        <v/>
      </c>
      <c r="K25" s="7" t="str">
        <f t="shared" si="4"/>
        <v/>
      </c>
      <c r="O25" t="str">
        <f>IF(D25="","",IFERROR(INDEX('03_CLIENTES'!$A$2:$A$501,MATCH(D25,'03_CLIENTES'!$B$2:$B$501,0)),""))</f>
        <v/>
      </c>
      <c r="P25" t="str">
        <f>IF(F25="","",IFERROR(INDEX('04_PRODUCTOS'!$A$2:$A$501,MATCH(F25,'04_PRODUCTOS'!$B$2:$B$501,0)),""))</f>
        <v/>
      </c>
      <c r="Q25" t="str">
        <f t="shared" si="5"/>
        <v/>
      </c>
    </row>
    <row r="26" spans="1:17" x14ac:dyDescent="0.25">
      <c r="A26" t="str">
        <f t="shared" si="0"/>
        <v/>
      </c>
      <c r="B26" s="4" t="str">
        <f t="shared" ca="1" si="1"/>
        <v/>
      </c>
      <c r="C26" s="5" t="str">
        <f t="shared" ca="1" si="2"/>
        <v/>
      </c>
      <c r="G26" s="6"/>
      <c r="H26" s="3" t="str">
        <f>IFERROR(IF(E26="Mayorista",IF(INDEX('04_PRODUCTOS'!$F$2:$F$501,MATCH(F26,'04_PRODUCTOS'!$B$2:$B$501,0))="",INDEX('04_PRODUCTOS'!$E$2:$E$501,MATCH(F26,'04_PRODUCTOS'!$B$2:$B$501,0)),INDEX('04_PRODUCTOS'!$F$2:$F$501,MATCH(F26,'04_PRODUCTOS'!$B$2:$B$501,0))),IF(E26="Especial",IF(INDEX('04_PRODUCTOS'!$G$2:$G$501,MATCH(F26,'04_PRODUCTOS'!$B$2:$B$501,0))="",INDEX('04_PRODUCTOS'!$E$2:$E$501,MATCH(F26,'04_PRODUCTOS'!$B$2:$B$501,0)),INDEX('04_PRODUCTOS'!$G$2:$G$501,MATCH(F26,'04_PRODUCTOS'!$B$2:$B$501,0))),INDEX('04_PRODUCTOS'!$E$2:$E$501,MATCH(F26,'04_PRODUCTOS'!$B$2:$B$501,0)))),"")</f>
        <v/>
      </c>
      <c r="I26" s="3" t="str">
        <f t="shared" si="3"/>
        <v/>
      </c>
      <c r="J26" s="3" t="str">
        <f>IFERROR(IF(INDEX('04_PRODUCTOS'!$D$2:$D$501,MATCH(F26,'04_PRODUCTOS'!$B$2:$B$501,0))="","",I26-(G26*INDEX('04_PRODUCTOS'!$D$2:$D$501,MATCH(F26,'04_PRODUCTOS'!$B$2:$B$501,0)))),"")</f>
        <v/>
      </c>
      <c r="K26" s="7" t="str">
        <f t="shared" si="4"/>
        <v/>
      </c>
      <c r="O26" t="str">
        <f>IF(D26="","",IFERROR(INDEX('03_CLIENTES'!$A$2:$A$501,MATCH(D26,'03_CLIENTES'!$B$2:$B$501,0)),""))</f>
        <v/>
      </c>
      <c r="P26" t="str">
        <f>IF(F26="","",IFERROR(INDEX('04_PRODUCTOS'!$A$2:$A$501,MATCH(F26,'04_PRODUCTOS'!$B$2:$B$501,0)),""))</f>
        <v/>
      </c>
      <c r="Q26" t="str">
        <f t="shared" si="5"/>
        <v/>
      </c>
    </row>
    <row r="27" spans="1:17" x14ac:dyDescent="0.25">
      <c r="A27" t="str">
        <f t="shared" si="0"/>
        <v/>
      </c>
      <c r="B27" s="4" t="str">
        <f t="shared" ca="1" si="1"/>
        <v/>
      </c>
      <c r="C27" s="5" t="str">
        <f t="shared" ca="1" si="2"/>
        <v/>
      </c>
      <c r="G27" s="6"/>
      <c r="H27" s="3" t="str">
        <f>IFERROR(IF(E27="Mayorista",IF(INDEX('04_PRODUCTOS'!$F$2:$F$501,MATCH(F27,'04_PRODUCTOS'!$B$2:$B$501,0))="",INDEX('04_PRODUCTOS'!$E$2:$E$501,MATCH(F27,'04_PRODUCTOS'!$B$2:$B$501,0)),INDEX('04_PRODUCTOS'!$F$2:$F$501,MATCH(F27,'04_PRODUCTOS'!$B$2:$B$501,0))),IF(E27="Especial",IF(INDEX('04_PRODUCTOS'!$G$2:$G$501,MATCH(F27,'04_PRODUCTOS'!$B$2:$B$501,0))="",INDEX('04_PRODUCTOS'!$E$2:$E$501,MATCH(F27,'04_PRODUCTOS'!$B$2:$B$501,0)),INDEX('04_PRODUCTOS'!$G$2:$G$501,MATCH(F27,'04_PRODUCTOS'!$B$2:$B$501,0))),INDEX('04_PRODUCTOS'!$E$2:$E$501,MATCH(F27,'04_PRODUCTOS'!$B$2:$B$501,0)))),"")</f>
        <v/>
      </c>
      <c r="I27" s="3" t="str">
        <f t="shared" si="3"/>
        <v/>
      </c>
      <c r="J27" s="3" t="str">
        <f>IFERROR(IF(INDEX('04_PRODUCTOS'!$D$2:$D$501,MATCH(F27,'04_PRODUCTOS'!$B$2:$B$501,0))="","",I27-(G27*INDEX('04_PRODUCTOS'!$D$2:$D$501,MATCH(F27,'04_PRODUCTOS'!$B$2:$B$501,0)))),"")</f>
        <v/>
      </c>
      <c r="K27" s="7" t="str">
        <f t="shared" si="4"/>
        <v/>
      </c>
      <c r="O27" t="str">
        <f>IF(D27="","",IFERROR(INDEX('03_CLIENTES'!$A$2:$A$501,MATCH(D27,'03_CLIENTES'!$B$2:$B$501,0)),""))</f>
        <v/>
      </c>
      <c r="P27" t="str">
        <f>IF(F27="","",IFERROR(INDEX('04_PRODUCTOS'!$A$2:$A$501,MATCH(F27,'04_PRODUCTOS'!$B$2:$B$501,0)),""))</f>
        <v/>
      </c>
      <c r="Q27" t="str">
        <f t="shared" si="5"/>
        <v/>
      </c>
    </row>
    <row r="28" spans="1:17" x14ac:dyDescent="0.25">
      <c r="A28" t="str">
        <f t="shared" si="0"/>
        <v/>
      </c>
      <c r="B28" s="4" t="str">
        <f t="shared" ca="1" si="1"/>
        <v/>
      </c>
      <c r="C28" s="5" t="str">
        <f t="shared" ca="1" si="2"/>
        <v/>
      </c>
      <c r="G28" s="6"/>
      <c r="H28" s="3" t="str">
        <f>IFERROR(IF(E28="Mayorista",IF(INDEX('04_PRODUCTOS'!$F$2:$F$501,MATCH(F28,'04_PRODUCTOS'!$B$2:$B$501,0))="",INDEX('04_PRODUCTOS'!$E$2:$E$501,MATCH(F28,'04_PRODUCTOS'!$B$2:$B$501,0)),INDEX('04_PRODUCTOS'!$F$2:$F$501,MATCH(F28,'04_PRODUCTOS'!$B$2:$B$501,0))),IF(E28="Especial",IF(INDEX('04_PRODUCTOS'!$G$2:$G$501,MATCH(F28,'04_PRODUCTOS'!$B$2:$B$501,0))="",INDEX('04_PRODUCTOS'!$E$2:$E$501,MATCH(F28,'04_PRODUCTOS'!$B$2:$B$501,0)),INDEX('04_PRODUCTOS'!$G$2:$G$501,MATCH(F28,'04_PRODUCTOS'!$B$2:$B$501,0))),INDEX('04_PRODUCTOS'!$E$2:$E$501,MATCH(F28,'04_PRODUCTOS'!$B$2:$B$501,0)))),"")</f>
        <v/>
      </c>
      <c r="I28" s="3" t="str">
        <f t="shared" si="3"/>
        <v/>
      </c>
      <c r="J28" s="3" t="str">
        <f>IFERROR(IF(INDEX('04_PRODUCTOS'!$D$2:$D$501,MATCH(F28,'04_PRODUCTOS'!$B$2:$B$501,0))="","",I28-(G28*INDEX('04_PRODUCTOS'!$D$2:$D$501,MATCH(F28,'04_PRODUCTOS'!$B$2:$B$501,0)))),"")</f>
        <v/>
      </c>
      <c r="K28" s="7" t="str">
        <f t="shared" si="4"/>
        <v/>
      </c>
      <c r="O28" t="str">
        <f>IF(D28="","",IFERROR(INDEX('03_CLIENTES'!$A$2:$A$501,MATCH(D28,'03_CLIENTES'!$B$2:$B$501,0)),""))</f>
        <v/>
      </c>
      <c r="P28" t="str">
        <f>IF(F28="","",IFERROR(INDEX('04_PRODUCTOS'!$A$2:$A$501,MATCH(F28,'04_PRODUCTOS'!$B$2:$B$501,0)),""))</f>
        <v/>
      </c>
      <c r="Q28" t="str">
        <f t="shared" si="5"/>
        <v/>
      </c>
    </row>
    <row r="29" spans="1:17" x14ac:dyDescent="0.25">
      <c r="A29" t="str">
        <f t="shared" si="0"/>
        <v/>
      </c>
      <c r="B29" s="4" t="str">
        <f t="shared" ca="1" si="1"/>
        <v/>
      </c>
      <c r="C29" s="5" t="str">
        <f t="shared" ca="1" si="2"/>
        <v/>
      </c>
      <c r="G29" s="6"/>
      <c r="H29" s="3" t="str">
        <f>IFERROR(IF(E29="Mayorista",IF(INDEX('04_PRODUCTOS'!$F$2:$F$501,MATCH(F29,'04_PRODUCTOS'!$B$2:$B$501,0))="",INDEX('04_PRODUCTOS'!$E$2:$E$501,MATCH(F29,'04_PRODUCTOS'!$B$2:$B$501,0)),INDEX('04_PRODUCTOS'!$F$2:$F$501,MATCH(F29,'04_PRODUCTOS'!$B$2:$B$501,0))),IF(E29="Especial",IF(INDEX('04_PRODUCTOS'!$G$2:$G$501,MATCH(F29,'04_PRODUCTOS'!$B$2:$B$501,0))="",INDEX('04_PRODUCTOS'!$E$2:$E$501,MATCH(F29,'04_PRODUCTOS'!$B$2:$B$501,0)),INDEX('04_PRODUCTOS'!$G$2:$G$501,MATCH(F29,'04_PRODUCTOS'!$B$2:$B$501,0))),INDEX('04_PRODUCTOS'!$E$2:$E$501,MATCH(F29,'04_PRODUCTOS'!$B$2:$B$501,0)))),"")</f>
        <v/>
      </c>
      <c r="I29" s="3" t="str">
        <f t="shared" si="3"/>
        <v/>
      </c>
      <c r="J29" s="3" t="str">
        <f>IFERROR(IF(INDEX('04_PRODUCTOS'!$D$2:$D$501,MATCH(F29,'04_PRODUCTOS'!$B$2:$B$501,0))="","",I29-(G29*INDEX('04_PRODUCTOS'!$D$2:$D$501,MATCH(F29,'04_PRODUCTOS'!$B$2:$B$501,0)))),"")</f>
        <v/>
      </c>
      <c r="K29" s="7" t="str">
        <f t="shared" si="4"/>
        <v/>
      </c>
      <c r="O29" t="str">
        <f>IF(D29="","",IFERROR(INDEX('03_CLIENTES'!$A$2:$A$501,MATCH(D29,'03_CLIENTES'!$B$2:$B$501,0)),""))</f>
        <v/>
      </c>
      <c r="P29" t="str">
        <f>IF(F29="","",IFERROR(INDEX('04_PRODUCTOS'!$A$2:$A$501,MATCH(F29,'04_PRODUCTOS'!$B$2:$B$501,0)),""))</f>
        <v/>
      </c>
      <c r="Q29" t="str">
        <f t="shared" si="5"/>
        <v/>
      </c>
    </row>
    <row r="30" spans="1:17" x14ac:dyDescent="0.25">
      <c r="A30" t="str">
        <f t="shared" si="0"/>
        <v/>
      </c>
      <c r="B30" s="4" t="str">
        <f t="shared" ca="1" si="1"/>
        <v/>
      </c>
      <c r="C30" s="5" t="str">
        <f t="shared" ca="1" si="2"/>
        <v/>
      </c>
      <c r="G30" s="6"/>
      <c r="H30" s="3" t="str">
        <f>IFERROR(IF(E30="Mayorista",IF(INDEX('04_PRODUCTOS'!$F$2:$F$501,MATCH(F30,'04_PRODUCTOS'!$B$2:$B$501,0))="",INDEX('04_PRODUCTOS'!$E$2:$E$501,MATCH(F30,'04_PRODUCTOS'!$B$2:$B$501,0)),INDEX('04_PRODUCTOS'!$F$2:$F$501,MATCH(F30,'04_PRODUCTOS'!$B$2:$B$501,0))),IF(E30="Especial",IF(INDEX('04_PRODUCTOS'!$G$2:$G$501,MATCH(F30,'04_PRODUCTOS'!$B$2:$B$501,0))="",INDEX('04_PRODUCTOS'!$E$2:$E$501,MATCH(F30,'04_PRODUCTOS'!$B$2:$B$501,0)),INDEX('04_PRODUCTOS'!$G$2:$G$501,MATCH(F30,'04_PRODUCTOS'!$B$2:$B$501,0))),INDEX('04_PRODUCTOS'!$E$2:$E$501,MATCH(F30,'04_PRODUCTOS'!$B$2:$B$501,0)))),"")</f>
        <v/>
      </c>
      <c r="I30" s="3" t="str">
        <f t="shared" si="3"/>
        <v/>
      </c>
      <c r="J30" s="3" t="str">
        <f>IFERROR(IF(INDEX('04_PRODUCTOS'!$D$2:$D$501,MATCH(F30,'04_PRODUCTOS'!$B$2:$B$501,0))="","",I30-(G30*INDEX('04_PRODUCTOS'!$D$2:$D$501,MATCH(F30,'04_PRODUCTOS'!$B$2:$B$501,0)))),"")</f>
        <v/>
      </c>
      <c r="K30" s="7" t="str">
        <f t="shared" si="4"/>
        <v/>
      </c>
      <c r="O30" t="str">
        <f>IF(D30="","",IFERROR(INDEX('03_CLIENTES'!$A$2:$A$501,MATCH(D30,'03_CLIENTES'!$B$2:$B$501,0)),""))</f>
        <v/>
      </c>
      <c r="P30" t="str">
        <f>IF(F30="","",IFERROR(INDEX('04_PRODUCTOS'!$A$2:$A$501,MATCH(F30,'04_PRODUCTOS'!$B$2:$B$501,0)),""))</f>
        <v/>
      </c>
      <c r="Q30" t="str">
        <f t="shared" si="5"/>
        <v/>
      </c>
    </row>
    <row r="31" spans="1:17" x14ac:dyDescent="0.25">
      <c r="A31" t="str">
        <f t="shared" si="0"/>
        <v/>
      </c>
      <c r="B31" s="4" t="str">
        <f t="shared" ca="1" si="1"/>
        <v/>
      </c>
      <c r="C31" s="5" t="str">
        <f t="shared" ca="1" si="2"/>
        <v/>
      </c>
      <c r="G31" s="6"/>
      <c r="H31" s="3" t="str">
        <f>IFERROR(IF(E31="Mayorista",IF(INDEX('04_PRODUCTOS'!$F$2:$F$501,MATCH(F31,'04_PRODUCTOS'!$B$2:$B$501,0))="",INDEX('04_PRODUCTOS'!$E$2:$E$501,MATCH(F31,'04_PRODUCTOS'!$B$2:$B$501,0)),INDEX('04_PRODUCTOS'!$F$2:$F$501,MATCH(F31,'04_PRODUCTOS'!$B$2:$B$501,0))),IF(E31="Especial",IF(INDEX('04_PRODUCTOS'!$G$2:$G$501,MATCH(F31,'04_PRODUCTOS'!$B$2:$B$501,0))="",INDEX('04_PRODUCTOS'!$E$2:$E$501,MATCH(F31,'04_PRODUCTOS'!$B$2:$B$501,0)),INDEX('04_PRODUCTOS'!$G$2:$G$501,MATCH(F31,'04_PRODUCTOS'!$B$2:$B$501,0))),INDEX('04_PRODUCTOS'!$E$2:$E$501,MATCH(F31,'04_PRODUCTOS'!$B$2:$B$501,0)))),"")</f>
        <v/>
      </c>
      <c r="I31" s="3" t="str">
        <f t="shared" si="3"/>
        <v/>
      </c>
      <c r="J31" s="3" t="str">
        <f>IFERROR(IF(INDEX('04_PRODUCTOS'!$D$2:$D$501,MATCH(F31,'04_PRODUCTOS'!$B$2:$B$501,0))="","",I31-(G31*INDEX('04_PRODUCTOS'!$D$2:$D$501,MATCH(F31,'04_PRODUCTOS'!$B$2:$B$501,0)))),"")</f>
        <v/>
      </c>
      <c r="K31" s="7" t="str">
        <f t="shared" si="4"/>
        <v/>
      </c>
      <c r="O31" t="str">
        <f>IF(D31="","",IFERROR(INDEX('03_CLIENTES'!$A$2:$A$501,MATCH(D31,'03_CLIENTES'!$B$2:$B$501,0)),""))</f>
        <v/>
      </c>
      <c r="P31" t="str">
        <f>IF(F31="","",IFERROR(INDEX('04_PRODUCTOS'!$A$2:$A$501,MATCH(F31,'04_PRODUCTOS'!$B$2:$B$501,0)),""))</f>
        <v/>
      </c>
      <c r="Q31" t="str">
        <f t="shared" si="5"/>
        <v/>
      </c>
    </row>
    <row r="32" spans="1:17" x14ac:dyDescent="0.25">
      <c r="A32" t="str">
        <f t="shared" si="0"/>
        <v/>
      </c>
      <c r="B32" s="4" t="str">
        <f t="shared" ca="1" si="1"/>
        <v/>
      </c>
      <c r="C32" s="5" t="str">
        <f t="shared" ca="1" si="2"/>
        <v/>
      </c>
      <c r="G32" s="6"/>
      <c r="H32" s="3" t="str">
        <f>IFERROR(IF(E32="Mayorista",IF(INDEX('04_PRODUCTOS'!$F$2:$F$501,MATCH(F32,'04_PRODUCTOS'!$B$2:$B$501,0))="",INDEX('04_PRODUCTOS'!$E$2:$E$501,MATCH(F32,'04_PRODUCTOS'!$B$2:$B$501,0)),INDEX('04_PRODUCTOS'!$F$2:$F$501,MATCH(F32,'04_PRODUCTOS'!$B$2:$B$501,0))),IF(E32="Especial",IF(INDEX('04_PRODUCTOS'!$G$2:$G$501,MATCH(F32,'04_PRODUCTOS'!$B$2:$B$501,0))="",INDEX('04_PRODUCTOS'!$E$2:$E$501,MATCH(F32,'04_PRODUCTOS'!$B$2:$B$501,0)),INDEX('04_PRODUCTOS'!$G$2:$G$501,MATCH(F32,'04_PRODUCTOS'!$B$2:$B$501,0))),INDEX('04_PRODUCTOS'!$E$2:$E$501,MATCH(F32,'04_PRODUCTOS'!$B$2:$B$501,0)))),"")</f>
        <v/>
      </c>
      <c r="I32" s="3" t="str">
        <f t="shared" si="3"/>
        <v/>
      </c>
      <c r="J32" s="3" t="str">
        <f>IFERROR(IF(INDEX('04_PRODUCTOS'!$D$2:$D$501,MATCH(F32,'04_PRODUCTOS'!$B$2:$B$501,0))="","",I32-(G32*INDEX('04_PRODUCTOS'!$D$2:$D$501,MATCH(F32,'04_PRODUCTOS'!$B$2:$B$501,0)))),"")</f>
        <v/>
      </c>
      <c r="K32" s="7" t="str">
        <f t="shared" si="4"/>
        <v/>
      </c>
      <c r="O32" t="str">
        <f>IF(D32="","",IFERROR(INDEX('03_CLIENTES'!$A$2:$A$501,MATCH(D32,'03_CLIENTES'!$B$2:$B$501,0)),""))</f>
        <v/>
      </c>
      <c r="P32" t="str">
        <f>IF(F32="","",IFERROR(INDEX('04_PRODUCTOS'!$A$2:$A$501,MATCH(F32,'04_PRODUCTOS'!$B$2:$B$501,0)),""))</f>
        <v/>
      </c>
      <c r="Q32" t="str">
        <f t="shared" si="5"/>
        <v/>
      </c>
    </row>
    <row r="33" spans="1:17" x14ac:dyDescent="0.25">
      <c r="A33" t="str">
        <f t="shared" si="0"/>
        <v/>
      </c>
      <c r="B33" s="4" t="str">
        <f t="shared" ca="1" si="1"/>
        <v/>
      </c>
      <c r="C33" s="5" t="str">
        <f t="shared" ca="1" si="2"/>
        <v/>
      </c>
      <c r="G33" s="6"/>
      <c r="H33" s="3" t="str">
        <f>IFERROR(IF(E33="Mayorista",IF(INDEX('04_PRODUCTOS'!$F$2:$F$501,MATCH(F33,'04_PRODUCTOS'!$B$2:$B$501,0))="",INDEX('04_PRODUCTOS'!$E$2:$E$501,MATCH(F33,'04_PRODUCTOS'!$B$2:$B$501,0)),INDEX('04_PRODUCTOS'!$F$2:$F$501,MATCH(F33,'04_PRODUCTOS'!$B$2:$B$501,0))),IF(E33="Especial",IF(INDEX('04_PRODUCTOS'!$G$2:$G$501,MATCH(F33,'04_PRODUCTOS'!$B$2:$B$501,0))="",INDEX('04_PRODUCTOS'!$E$2:$E$501,MATCH(F33,'04_PRODUCTOS'!$B$2:$B$501,0)),INDEX('04_PRODUCTOS'!$G$2:$G$501,MATCH(F33,'04_PRODUCTOS'!$B$2:$B$501,0))),INDEX('04_PRODUCTOS'!$E$2:$E$501,MATCH(F33,'04_PRODUCTOS'!$B$2:$B$501,0)))),"")</f>
        <v/>
      </c>
      <c r="I33" s="3" t="str">
        <f t="shared" si="3"/>
        <v/>
      </c>
      <c r="J33" s="3" t="str">
        <f>IFERROR(IF(INDEX('04_PRODUCTOS'!$D$2:$D$501,MATCH(F33,'04_PRODUCTOS'!$B$2:$B$501,0))="","",I33-(G33*INDEX('04_PRODUCTOS'!$D$2:$D$501,MATCH(F33,'04_PRODUCTOS'!$B$2:$B$501,0)))),"")</f>
        <v/>
      </c>
      <c r="K33" s="7" t="str">
        <f t="shared" si="4"/>
        <v/>
      </c>
      <c r="O33" t="str">
        <f>IF(D33="","",IFERROR(INDEX('03_CLIENTES'!$A$2:$A$501,MATCH(D33,'03_CLIENTES'!$B$2:$B$501,0)),""))</f>
        <v/>
      </c>
      <c r="P33" t="str">
        <f>IF(F33="","",IFERROR(INDEX('04_PRODUCTOS'!$A$2:$A$501,MATCH(F33,'04_PRODUCTOS'!$B$2:$B$501,0)),""))</f>
        <v/>
      </c>
      <c r="Q33" t="str">
        <f t="shared" si="5"/>
        <v/>
      </c>
    </row>
    <row r="34" spans="1:17" x14ac:dyDescent="0.25">
      <c r="A34" t="str">
        <f t="shared" si="0"/>
        <v/>
      </c>
      <c r="B34" s="4" t="str">
        <f t="shared" ca="1" si="1"/>
        <v/>
      </c>
      <c r="C34" s="5" t="str">
        <f t="shared" ca="1" si="2"/>
        <v/>
      </c>
      <c r="G34" s="6"/>
      <c r="H34" s="3" t="str">
        <f>IFERROR(IF(E34="Mayorista",IF(INDEX('04_PRODUCTOS'!$F$2:$F$501,MATCH(F34,'04_PRODUCTOS'!$B$2:$B$501,0))="",INDEX('04_PRODUCTOS'!$E$2:$E$501,MATCH(F34,'04_PRODUCTOS'!$B$2:$B$501,0)),INDEX('04_PRODUCTOS'!$F$2:$F$501,MATCH(F34,'04_PRODUCTOS'!$B$2:$B$501,0))),IF(E34="Especial",IF(INDEX('04_PRODUCTOS'!$G$2:$G$501,MATCH(F34,'04_PRODUCTOS'!$B$2:$B$501,0))="",INDEX('04_PRODUCTOS'!$E$2:$E$501,MATCH(F34,'04_PRODUCTOS'!$B$2:$B$501,0)),INDEX('04_PRODUCTOS'!$G$2:$G$501,MATCH(F34,'04_PRODUCTOS'!$B$2:$B$501,0))),INDEX('04_PRODUCTOS'!$E$2:$E$501,MATCH(F34,'04_PRODUCTOS'!$B$2:$B$501,0)))),"")</f>
        <v/>
      </c>
      <c r="I34" s="3" t="str">
        <f t="shared" si="3"/>
        <v/>
      </c>
      <c r="J34" s="3" t="str">
        <f>IFERROR(IF(INDEX('04_PRODUCTOS'!$D$2:$D$501,MATCH(F34,'04_PRODUCTOS'!$B$2:$B$501,0))="","",I34-(G34*INDEX('04_PRODUCTOS'!$D$2:$D$501,MATCH(F34,'04_PRODUCTOS'!$B$2:$B$501,0)))),"")</f>
        <v/>
      </c>
      <c r="K34" s="7" t="str">
        <f t="shared" si="4"/>
        <v/>
      </c>
      <c r="O34" t="str">
        <f>IF(D34="","",IFERROR(INDEX('03_CLIENTES'!$A$2:$A$501,MATCH(D34,'03_CLIENTES'!$B$2:$B$501,0)),""))</f>
        <v/>
      </c>
      <c r="P34" t="str">
        <f>IF(F34="","",IFERROR(INDEX('04_PRODUCTOS'!$A$2:$A$501,MATCH(F34,'04_PRODUCTOS'!$B$2:$B$501,0)),""))</f>
        <v/>
      </c>
      <c r="Q34" t="str">
        <f t="shared" si="5"/>
        <v/>
      </c>
    </row>
    <row r="35" spans="1:17" x14ac:dyDescent="0.25">
      <c r="A35" t="str">
        <f t="shared" si="0"/>
        <v/>
      </c>
      <c r="B35" s="4" t="str">
        <f t="shared" ca="1" si="1"/>
        <v/>
      </c>
      <c r="C35" s="5" t="str">
        <f t="shared" ca="1" si="2"/>
        <v/>
      </c>
      <c r="G35" s="6"/>
      <c r="H35" s="3" t="str">
        <f>IFERROR(IF(E35="Mayorista",IF(INDEX('04_PRODUCTOS'!$F$2:$F$501,MATCH(F35,'04_PRODUCTOS'!$B$2:$B$501,0))="",INDEX('04_PRODUCTOS'!$E$2:$E$501,MATCH(F35,'04_PRODUCTOS'!$B$2:$B$501,0)),INDEX('04_PRODUCTOS'!$F$2:$F$501,MATCH(F35,'04_PRODUCTOS'!$B$2:$B$501,0))),IF(E35="Especial",IF(INDEX('04_PRODUCTOS'!$G$2:$G$501,MATCH(F35,'04_PRODUCTOS'!$B$2:$B$501,0))="",INDEX('04_PRODUCTOS'!$E$2:$E$501,MATCH(F35,'04_PRODUCTOS'!$B$2:$B$501,0)),INDEX('04_PRODUCTOS'!$G$2:$G$501,MATCH(F35,'04_PRODUCTOS'!$B$2:$B$501,0))),INDEX('04_PRODUCTOS'!$E$2:$E$501,MATCH(F35,'04_PRODUCTOS'!$B$2:$B$501,0)))),"")</f>
        <v/>
      </c>
      <c r="I35" s="3" t="str">
        <f t="shared" si="3"/>
        <v/>
      </c>
      <c r="J35" s="3" t="str">
        <f>IFERROR(IF(INDEX('04_PRODUCTOS'!$D$2:$D$501,MATCH(F35,'04_PRODUCTOS'!$B$2:$B$501,0))="","",I35-(G35*INDEX('04_PRODUCTOS'!$D$2:$D$501,MATCH(F35,'04_PRODUCTOS'!$B$2:$B$501,0)))),"")</f>
        <v/>
      </c>
      <c r="K35" s="7" t="str">
        <f t="shared" si="4"/>
        <v/>
      </c>
      <c r="O35" t="str">
        <f>IF(D35="","",IFERROR(INDEX('03_CLIENTES'!$A$2:$A$501,MATCH(D35,'03_CLIENTES'!$B$2:$B$501,0)),""))</f>
        <v/>
      </c>
      <c r="P35" t="str">
        <f>IF(F35="","",IFERROR(INDEX('04_PRODUCTOS'!$A$2:$A$501,MATCH(F35,'04_PRODUCTOS'!$B$2:$B$501,0)),""))</f>
        <v/>
      </c>
      <c r="Q35" t="str">
        <f t="shared" si="5"/>
        <v/>
      </c>
    </row>
    <row r="36" spans="1:17" x14ac:dyDescent="0.25">
      <c r="A36" t="str">
        <f t="shared" si="0"/>
        <v/>
      </c>
      <c r="B36" s="4" t="str">
        <f t="shared" ca="1" si="1"/>
        <v/>
      </c>
      <c r="C36" s="5" t="str">
        <f t="shared" ca="1" si="2"/>
        <v/>
      </c>
      <c r="G36" s="6"/>
      <c r="H36" s="3" t="str">
        <f>IFERROR(IF(E36="Mayorista",IF(INDEX('04_PRODUCTOS'!$F$2:$F$501,MATCH(F36,'04_PRODUCTOS'!$B$2:$B$501,0))="",INDEX('04_PRODUCTOS'!$E$2:$E$501,MATCH(F36,'04_PRODUCTOS'!$B$2:$B$501,0)),INDEX('04_PRODUCTOS'!$F$2:$F$501,MATCH(F36,'04_PRODUCTOS'!$B$2:$B$501,0))),IF(E36="Especial",IF(INDEX('04_PRODUCTOS'!$G$2:$G$501,MATCH(F36,'04_PRODUCTOS'!$B$2:$B$501,0))="",INDEX('04_PRODUCTOS'!$E$2:$E$501,MATCH(F36,'04_PRODUCTOS'!$B$2:$B$501,0)),INDEX('04_PRODUCTOS'!$G$2:$G$501,MATCH(F36,'04_PRODUCTOS'!$B$2:$B$501,0))),INDEX('04_PRODUCTOS'!$E$2:$E$501,MATCH(F36,'04_PRODUCTOS'!$B$2:$B$501,0)))),"")</f>
        <v/>
      </c>
      <c r="I36" s="3" t="str">
        <f t="shared" si="3"/>
        <v/>
      </c>
      <c r="J36" s="3" t="str">
        <f>IFERROR(IF(INDEX('04_PRODUCTOS'!$D$2:$D$501,MATCH(F36,'04_PRODUCTOS'!$B$2:$B$501,0))="","",I36-(G36*INDEX('04_PRODUCTOS'!$D$2:$D$501,MATCH(F36,'04_PRODUCTOS'!$B$2:$B$501,0)))),"")</f>
        <v/>
      </c>
      <c r="K36" s="7" t="str">
        <f t="shared" si="4"/>
        <v/>
      </c>
      <c r="O36" t="str">
        <f>IF(D36="","",IFERROR(INDEX('03_CLIENTES'!$A$2:$A$501,MATCH(D36,'03_CLIENTES'!$B$2:$B$501,0)),""))</f>
        <v/>
      </c>
      <c r="P36" t="str">
        <f>IF(F36="","",IFERROR(INDEX('04_PRODUCTOS'!$A$2:$A$501,MATCH(F36,'04_PRODUCTOS'!$B$2:$B$501,0)),""))</f>
        <v/>
      </c>
      <c r="Q36" t="str">
        <f t="shared" si="5"/>
        <v/>
      </c>
    </row>
    <row r="37" spans="1:17" x14ac:dyDescent="0.25">
      <c r="A37" t="str">
        <f t="shared" si="0"/>
        <v/>
      </c>
      <c r="B37" s="4" t="str">
        <f t="shared" ca="1" si="1"/>
        <v/>
      </c>
      <c r="C37" s="5" t="str">
        <f t="shared" ca="1" si="2"/>
        <v/>
      </c>
      <c r="G37" s="6"/>
      <c r="H37" s="3" t="str">
        <f>IFERROR(IF(E37="Mayorista",IF(INDEX('04_PRODUCTOS'!$F$2:$F$501,MATCH(F37,'04_PRODUCTOS'!$B$2:$B$501,0))="",INDEX('04_PRODUCTOS'!$E$2:$E$501,MATCH(F37,'04_PRODUCTOS'!$B$2:$B$501,0)),INDEX('04_PRODUCTOS'!$F$2:$F$501,MATCH(F37,'04_PRODUCTOS'!$B$2:$B$501,0))),IF(E37="Especial",IF(INDEX('04_PRODUCTOS'!$G$2:$G$501,MATCH(F37,'04_PRODUCTOS'!$B$2:$B$501,0))="",INDEX('04_PRODUCTOS'!$E$2:$E$501,MATCH(F37,'04_PRODUCTOS'!$B$2:$B$501,0)),INDEX('04_PRODUCTOS'!$G$2:$G$501,MATCH(F37,'04_PRODUCTOS'!$B$2:$B$501,0))),INDEX('04_PRODUCTOS'!$E$2:$E$501,MATCH(F37,'04_PRODUCTOS'!$B$2:$B$501,0)))),"")</f>
        <v/>
      </c>
      <c r="I37" s="3" t="str">
        <f t="shared" si="3"/>
        <v/>
      </c>
      <c r="J37" s="3" t="str">
        <f>IFERROR(IF(INDEX('04_PRODUCTOS'!$D$2:$D$501,MATCH(F37,'04_PRODUCTOS'!$B$2:$B$501,0))="","",I37-(G37*INDEX('04_PRODUCTOS'!$D$2:$D$501,MATCH(F37,'04_PRODUCTOS'!$B$2:$B$501,0)))),"")</f>
        <v/>
      </c>
      <c r="K37" s="7" t="str">
        <f t="shared" si="4"/>
        <v/>
      </c>
      <c r="O37" t="str">
        <f>IF(D37="","",IFERROR(INDEX('03_CLIENTES'!$A$2:$A$501,MATCH(D37,'03_CLIENTES'!$B$2:$B$501,0)),""))</f>
        <v/>
      </c>
      <c r="P37" t="str">
        <f>IF(F37="","",IFERROR(INDEX('04_PRODUCTOS'!$A$2:$A$501,MATCH(F37,'04_PRODUCTOS'!$B$2:$B$501,0)),""))</f>
        <v/>
      </c>
      <c r="Q37" t="str">
        <f t="shared" si="5"/>
        <v/>
      </c>
    </row>
    <row r="38" spans="1:17" x14ac:dyDescent="0.25">
      <c r="A38" t="str">
        <f t="shared" si="0"/>
        <v/>
      </c>
      <c r="B38" s="4" t="str">
        <f t="shared" ca="1" si="1"/>
        <v/>
      </c>
      <c r="C38" s="5" t="str">
        <f t="shared" ca="1" si="2"/>
        <v/>
      </c>
      <c r="G38" s="6"/>
      <c r="H38" s="3" t="str">
        <f>IFERROR(IF(E38="Mayorista",IF(INDEX('04_PRODUCTOS'!$F$2:$F$501,MATCH(F38,'04_PRODUCTOS'!$B$2:$B$501,0))="",INDEX('04_PRODUCTOS'!$E$2:$E$501,MATCH(F38,'04_PRODUCTOS'!$B$2:$B$501,0)),INDEX('04_PRODUCTOS'!$F$2:$F$501,MATCH(F38,'04_PRODUCTOS'!$B$2:$B$501,0))),IF(E38="Especial",IF(INDEX('04_PRODUCTOS'!$G$2:$G$501,MATCH(F38,'04_PRODUCTOS'!$B$2:$B$501,0))="",INDEX('04_PRODUCTOS'!$E$2:$E$501,MATCH(F38,'04_PRODUCTOS'!$B$2:$B$501,0)),INDEX('04_PRODUCTOS'!$G$2:$G$501,MATCH(F38,'04_PRODUCTOS'!$B$2:$B$501,0))),INDEX('04_PRODUCTOS'!$E$2:$E$501,MATCH(F38,'04_PRODUCTOS'!$B$2:$B$501,0)))),"")</f>
        <v/>
      </c>
      <c r="I38" s="3" t="str">
        <f t="shared" si="3"/>
        <v/>
      </c>
      <c r="J38" s="3" t="str">
        <f>IFERROR(IF(INDEX('04_PRODUCTOS'!$D$2:$D$501,MATCH(F38,'04_PRODUCTOS'!$B$2:$B$501,0))="","",I38-(G38*INDEX('04_PRODUCTOS'!$D$2:$D$501,MATCH(F38,'04_PRODUCTOS'!$B$2:$B$501,0)))),"")</f>
        <v/>
      </c>
      <c r="K38" s="7" t="str">
        <f t="shared" si="4"/>
        <v/>
      </c>
      <c r="O38" t="str">
        <f>IF(D38="","",IFERROR(INDEX('03_CLIENTES'!$A$2:$A$501,MATCH(D38,'03_CLIENTES'!$B$2:$B$501,0)),""))</f>
        <v/>
      </c>
      <c r="P38" t="str">
        <f>IF(F38="","",IFERROR(INDEX('04_PRODUCTOS'!$A$2:$A$501,MATCH(F38,'04_PRODUCTOS'!$B$2:$B$501,0)),""))</f>
        <v/>
      </c>
      <c r="Q38" t="str">
        <f t="shared" si="5"/>
        <v/>
      </c>
    </row>
    <row r="39" spans="1:17" x14ac:dyDescent="0.25">
      <c r="A39" t="str">
        <f t="shared" si="0"/>
        <v/>
      </c>
      <c r="B39" s="4" t="str">
        <f t="shared" ca="1" si="1"/>
        <v/>
      </c>
      <c r="C39" s="5" t="str">
        <f t="shared" ca="1" si="2"/>
        <v/>
      </c>
      <c r="G39" s="6"/>
      <c r="H39" s="3" t="str">
        <f>IFERROR(IF(E39="Mayorista",IF(INDEX('04_PRODUCTOS'!$F$2:$F$501,MATCH(F39,'04_PRODUCTOS'!$B$2:$B$501,0))="",INDEX('04_PRODUCTOS'!$E$2:$E$501,MATCH(F39,'04_PRODUCTOS'!$B$2:$B$501,0)),INDEX('04_PRODUCTOS'!$F$2:$F$501,MATCH(F39,'04_PRODUCTOS'!$B$2:$B$501,0))),IF(E39="Especial",IF(INDEX('04_PRODUCTOS'!$G$2:$G$501,MATCH(F39,'04_PRODUCTOS'!$B$2:$B$501,0))="",INDEX('04_PRODUCTOS'!$E$2:$E$501,MATCH(F39,'04_PRODUCTOS'!$B$2:$B$501,0)),INDEX('04_PRODUCTOS'!$G$2:$G$501,MATCH(F39,'04_PRODUCTOS'!$B$2:$B$501,0))),INDEX('04_PRODUCTOS'!$E$2:$E$501,MATCH(F39,'04_PRODUCTOS'!$B$2:$B$501,0)))),"")</f>
        <v/>
      </c>
      <c r="I39" s="3" t="str">
        <f t="shared" si="3"/>
        <v/>
      </c>
      <c r="J39" s="3" t="str">
        <f>IFERROR(IF(INDEX('04_PRODUCTOS'!$D$2:$D$501,MATCH(F39,'04_PRODUCTOS'!$B$2:$B$501,0))="","",I39-(G39*INDEX('04_PRODUCTOS'!$D$2:$D$501,MATCH(F39,'04_PRODUCTOS'!$B$2:$B$501,0)))),"")</f>
        <v/>
      </c>
      <c r="K39" s="7" t="str">
        <f t="shared" si="4"/>
        <v/>
      </c>
      <c r="O39" t="str">
        <f>IF(D39="","",IFERROR(INDEX('03_CLIENTES'!$A$2:$A$501,MATCH(D39,'03_CLIENTES'!$B$2:$B$501,0)),""))</f>
        <v/>
      </c>
      <c r="P39" t="str">
        <f>IF(F39="","",IFERROR(INDEX('04_PRODUCTOS'!$A$2:$A$501,MATCH(F39,'04_PRODUCTOS'!$B$2:$B$501,0)),""))</f>
        <v/>
      </c>
      <c r="Q39" t="str">
        <f t="shared" si="5"/>
        <v/>
      </c>
    </row>
    <row r="40" spans="1:17" x14ac:dyDescent="0.25">
      <c r="A40" t="str">
        <f t="shared" si="0"/>
        <v/>
      </c>
      <c r="B40" s="4" t="str">
        <f t="shared" ca="1" si="1"/>
        <v/>
      </c>
      <c r="C40" s="5" t="str">
        <f t="shared" ca="1" si="2"/>
        <v/>
      </c>
      <c r="G40" s="6"/>
      <c r="H40" s="3" t="str">
        <f>IFERROR(IF(E40="Mayorista",IF(INDEX('04_PRODUCTOS'!$F$2:$F$501,MATCH(F40,'04_PRODUCTOS'!$B$2:$B$501,0))="",INDEX('04_PRODUCTOS'!$E$2:$E$501,MATCH(F40,'04_PRODUCTOS'!$B$2:$B$501,0)),INDEX('04_PRODUCTOS'!$F$2:$F$501,MATCH(F40,'04_PRODUCTOS'!$B$2:$B$501,0))),IF(E40="Especial",IF(INDEX('04_PRODUCTOS'!$G$2:$G$501,MATCH(F40,'04_PRODUCTOS'!$B$2:$B$501,0))="",INDEX('04_PRODUCTOS'!$E$2:$E$501,MATCH(F40,'04_PRODUCTOS'!$B$2:$B$501,0)),INDEX('04_PRODUCTOS'!$G$2:$G$501,MATCH(F40,'04_PRODUCTOS'!$B$2:$B$501,0))),INDEX('04_PRODUCTOS'!$E$2:$E$501,MATCH(F40,'04_PRODUCTOS'!$B$2:$B$501,0)))),"")</f>
        <v/>
      </c>
      <c r="I40" s="3" t="str">
        <f t="shared" si="3"/>
        <v/>
      </c>
      <c r="J40" s="3" t="str">
        <f>IFERROR(IF(INDEX('04_PRODUCTOS'!$D$2:$D$501,MATCH(F40,'04_PRODUCTOS'!$B$2:$B$501,0))="","",I40-(G40*INDEX('04_PRODUCTOS'!$D$2:$D$501,MATCH(F40,'04_PRODUCTOS'!$B$2:$B$501,0)))),"")</f>
        <v/>
      </c>
      <c r="K40" s="7" t="str">
        <f t="shared" si="4"/>
        <v/>
      </c>
      <c r="O40" t="str">
        <f>IF(D40="","",IFERROR(INDEX('03_CLIENTES'!$A$2:$A$501,MATCH(D40,'03_CLIENTES'!$B$2:$B$501,0)),""))</f>
        <v/>
      </c>
      <c r="P40" t="str">
        <f>IF(F40="","",IFERROR(INDEX('04_PRODUCTOS'!$A$2:$A$501,MATCH(F40,'04_PRODUCTOS'!$B$2:$B$501,0)),""))</f>
        <v/>
      </c>
      <c r="Q40" t="str">
        <f t="shared" si="5"/>
        <v/>
      </c>
    </row>
    <row r="41" spans="1:17" x14ac:dyDescent="0.25">
      <c r="A41" t="str">
        <f t="shared" si="0"/>
        <v/>
      </c>
      <c r="B41" s="4" t="str">
        <f t="shared" ca="1" si="1"/>
        <v/>
      </c>
      <c r="C41" s="5" t="str">
        <f t="shared" ca="1" si="2"/>
        <v/>
      </c>
      <c r="G41" s="6"/>
      <c r="H41" s="3" t="str">
        <f>IFERROR(IF(E41="Mayorista",IF(INDEX('04_PRODUCTOS'!$F$2:$F$501,MATCH(F41,'04_PRODUCTOS'!$B$2:$B$501,0))="",INDEX('04_PRODUCTOS'!$E$2:$E$501,MATCH(F41,'04_PRODUCTOS'!$B$2:$B$501,0)),INDEX('04_PRODUCTOS'!$F$2:$F$501,MATCH(F41,'04_PRODUCTOS'!$B$2:$B$501,0))),IF(E41="Especial",IF(INDEX('04_PRODUCTOS'!$G$2:$G$501,MATCH(F41,'04_PRODUCTOS'!$B$2:$B$501,0))="",INDEX('04_PRODUCTOS'!$E$2:$E$501,MATCH(F41,'04_PRODUCTOS'!$B$2:$B$501,0)),INDEX('04_PRODUCTOS'!$G$2:$G$501,MATCH(F41,'04_PRODUCTOS'!$B$2:$B$501,0))),INDEX('04_PRODUCTOS'!$E$2:$E$501,MATCH(F41,'04_PRODUCTOS'!$B$2:$B$501,0)))),"")</f>
        <v/>
      </c>
      <c r="I41" s="3" t="str">
        <f t="shared" si="3"/>
        <v/>
      </c>
      <c r="J41" s="3" t="str">
        <f>IFERROR(IF(INDEX('04_PRODUCTOS'!$D$2:$D$501,MATCH(F41,'04_PRODUCTOS'!$B$2:$B$501,0))="","",I41-(G41*INDEX('04_PRODUCTOS'!$D$2:$D$501,MATCH(F41,'04_PRODUCTOS'!$B$2:$B$501,0)))),"")</f>
        <v/>
      </c>
      <c r="K41" s="7" t="str">
        <f t="shared" si="4"/>
        <v/>
      </c>
      <c r="O41" t="str">
        <f>IF(D41="","",IFERROR(INDEX('03_CLIENTES'!$A$2:$A$501,MATCH(D41,'03_CLIENTES'!$B$2:$B$501,0)),""))</f>
        <v/>
      </c>
      <c r="P41" t="str">
        <f>IF(F41="","",IFERROR(INDEX('04_PRODUCTOS'!$A$2:$A$501,MATCH(F41,'04_PRODUCTOS'!$B$2:$B$501,0)),""))</f>
        <v/>
      </c>
      <c r="Q41" t="str">
        <f t="shared" si="5"/>
        <v/>
      </c>
    </row>
    <row r="42" spans="1:17" x14ac:dyDescent="0.25">
      <c r="A42" t="str">
        <f t="shared" si="0"/>
        <v/>
      </c>
      <c r="B42" s="4" t="str">
        <f t="shared" ca="1" si="1"/>
        <v/>
      </c>
      <c r="C42" s="5" t="str">
        <f t="shared" ca="1" si="2"/>
        <v/>
      </c>
      <c r="G42" s="6"/>
      <c r="H42" s="3" t="str">
        <f>IFERROR(IF(E42="Mayorista",IF(INDEX('04_PRODUCTOS'!$F$2:$F$501,MATCH(F42,'04_PRODUCTOS'!$B$2:$B$501,0))="",INDEX('04_PRODUCTOS'!$E$2:$E$501,MATCH(F42,'04_PRODUCTOS'!$B$2:$B$501,0)),INDEX('04_PRODUCTOS'!$F$2:$F$501,MATCH(F42,'04_PRODUCTOS'!$B$2:$B$501,0))),IF(E42="Especial",IF(INDEX('04_PRODUCTOS'!$G$2:$G$501,MATCH(F42,'04_PRODUCTOS'!$B$2:$B$501,0))="",INDEX('04_PRODUCTOS'!$E$2:$E$501,MATCH(F42,'04_PRODUCTOS'!$B$2:$B$501,0)),INDEX('04_PRODUCTOS'!$G$2:$G$501,MATCH(F42,'04_PRODUCTOS'!$B$2:$B$501,0))),INDEX('04_PRODUCTOS'!$E$2:$E$501,MATCH(F42,'04_PRODUCTOS'!$B$2:$B$501,0)))),"")</f>
        <v/>
      </c>
      <c r="I42" s="3" t="str">
        <f t="shared" si="3"/>
        <v/>
      </c>
      <c r="J42" s="3" t="str">
        <f>IFERROR(IF(INDEX('04_PRODUCTOS'!$D$2:$D$501,MATCH(F42,'04_PRODUCTOS'!$B$2:$B$501,0))="","",I42-(G42*INDEX('04_PRODUCTOS'!$D$2:$D$501,MATCH(F42,'04_PRODUCTOS'!$B$2:$B$501,0)))),"")</f>
        <v/>
      </c>
      <c r="K42" s="7" t="str">
        <f t="shared" si="4"/>
        <v/>
      </c>
      <c r="O42" t="str">
        <f>IF(D42="","",IFERROR(INDEX('03_CLIENTES'!$A$2:$A$501,MATCH(D42,'03_CLIENTES'!$B$2:$B$501,0)),""))</f>
        <v/>
      </c>
      <c r="P42" t="str">
        <f>IF(F42="","",IFERROR(INDEX('04_PRODUCTOS'!$A$2:$A$501,MATCH(F42,'04_PRODUCTOS'!$B$2:$B$501,0)),""))</f>
        <v/>
      </c>
      <c r="Q42" t="str">
        <f t="shared" si="5"/>
        <v/>
      </c>
    </row>
    <row r="43" spans="1:17" x14ac:dyDescent="0.25">
      <c r="A43" t="str">
        <f t="shared" si="0"/>
        <v/>
      </c>
      <c r="B43" s="4" t="str">
        <f t="shared" ca="1" si="1"/>
        <v/>
      </c>
      <c r="C43" s="5" t="str">
        <f t="shared" ca="1" si="2"/>
        <v/>
      </c>
      <c r="G43" s="6"/>
      <c r="H43" s="3" t="str">
        <f>IFERROR(IF(E43="Mayorista",IF(INDEX('04_PRODUCTOS'!$F$2:$F$501,MATCH(F43,'04_PRODUCTOS'!$B$2:$B$501,0))="",INDEX('04_PRODUCTOS'!$E$2:$E$501,MATCH(F43,'04_PRODUCTOS'!$B$2:$B$501,0)),INDEX('04_PRODUCTOS'!$F$2:$F$501,MATCH(F43,'04_PRODUCTOS'!$B$2:$B$501,0))),IF(E43="Especial",IF(INDEX('04_PRODUCTOS'!$G$2:$G$501,MATCH(F43,'04_PRODUCTOS'!$B$2:$B$501,0))="",INDEX('04_PRODUCTOS'!$E$2:$E$501,MATCH(F43,'04_PRODUCTOS'!$B$2:$B$501,0)),INDEX('04_PRODUCTOS'!$G$2:$G$501,MATCH(F43,'04_PRODUCTOS'!$B$2:$B$501,0))),INDEX('04_PRODUCTOS'!$E$2:$E$501,MATCH(F43,'04_PRODUCTOS'!$B$2:$B$501,0)))),"")</f>
        <v/>
      </c>
      <c r="I43" s="3" t="str">
        <f t="shared" si="3"/>
        <v/>
      </c>
      <c r="J43" s="3" t="str">
        <f>IFERROR(IF(INDEX('04_PRODUCTOS'!$D$2:$D$501,MATCH(F43,'04_PRODUCTOS'!$B$2:$B$501,0))="","",I43-(G43*INDEX('04_PRODUCTOS'!$D$2:$D$501,MATCH(F43,'04_PRODUCTOS'!$B$2:$B$501,0)))),"")</f>
        <v/>
      </c>
      <c r="K43" s="7" t="str">
        <f t="shared" si="4"/>
        <v/>
      </c>
      <c r="O43" t="str">
        <f>IF(D43="","",IFERROR(INDEX('03_CLIENTES'!$A$2:$A$501,MATCH(D43,'03_CLIENTES'!$B$2:$B$501,0)),""))</f>
        <v/>
      </c>
      <c r="P43" t="str">
        <f>IF(F43="","",IFERROR(INDEX('04_PRODUCTOS'!$A$2:$A$501,MATCH(F43,'04_PRODUCTOS'!$B$2:$B$501,0)),""))</f>
        <v/>
      </c>
      <c r="Q43" t="str">
        <f t="shared" si="5"/>
        <v/>
      </c>
    </row>
    <row r="44" spans="1:17" x14ac:dyDescent="0.25">
      <c r="A44" t="str">
        <f t="shared" si="0"/>
        <v/>
      </c>
      <c r="B44" s="4" t="str">
        <f t="shared" ca="1" si="1"/>
        <v/>
      </c>
      <c r="C44" s="5" t="str">
        <f t="shared" ca="1" si="2"/>
        <v/>
      </c>
      <c r="G44" s="6"/>
      <c r="H44" s="3" t="str">
        <f>IFERROR(IF(E44="Mayorista",IF(INDEX('04_PRODUCTOS'!$F$2:$F$501,MATCH(F44,'04_PRODUCTOS'!$B$2:$B$501,0))="",INDEX('04_PRODUCTOS'!$E$2:$E$501,MATCH(F44,'04_PRODUCTOS'!$B$2:$B$501,0)),INDEX('04_PRODUCTOS'!$F$2:$F$501,MATCH(F44,'04_PRODUCTOS'!$B$2:$B$501,0))),IF(E44="Especial",IF(INDEX('04_PRODUCTOS'!$G$2:$G$501,MATCH(F44,'04_PRODUCTOS'!$B$2:$B$501,0))="",INDEX('04_PRODUCTOS'!$E$2:$E$501,MATCH(F44,'04_PRODUCTOS'!$B$2:$B$501,0)),INDEX('04_PRODUCTOS'!$G$2:$G$501,MATCH(F44,'04_PRODUCTOS'!$B$2:$B$501,0))),INDEX('04_PRODUCTOS'!$E$2:$E$501,MATCH(F44,'04_PRODUCTOS'!$B$2:$B$501,0)))),"")</f>
        <v/>
      </c>
      <c r="I44" s="3" t="str">
        <f t="shared" si="3"/>
        <v/>
      </c>
      <c r="J44" s="3" t="str">
        <f>IFERROR(IF(INDEX('04_PRODUCTOS'!$D$2:$D$501,MATCH(F44,'04_PRODUCTOS'!$B$2:$B$501,0))="","",I44-(G44*INDEX('04_PRODUCTOS'!$D$2:$D$501,MATCH(F44,'04_PRODUCTOS'!$B$2:$B$501,0)))),"")</f>
        <v/>
      </c>
      <c r="K44" s="7" t="str">
        <f t="shared" si="4"/>
        <v/>
      </c>
      <c r="O44" t="str">
        <f>IF(D44="","",IFERROR(INDEX('03_CLIENTES'!$A$2:$A$501,MATCH(D44,'03_CLIENTES'!$B$2:$B$501,0)),""))</f>
        <v/>
      </c>
      <c r="P44" t="str">
        <f>IF(F44="","",IFERROR(INDEX('04_PRODUCTOS'!$A$2:$A$501,MATCH(F44,'04_PRODUCTOS'!$B$2:$B$501,0)),""))</f>
        <v/>
      </c>
      <c r="Q44" t="str">
        <f t="shared" si="5"/>
        <v/>
      </c>
    </row>
    <row r="45" spans="1:17" x14ac:dyDescent="0.25">
      <c r="A45" t="str">
        <f t="shared" si="0"/>
        <v/>
      </c>
      <c r="B45" s="4" t="str">
        <f t="shared" ca="1" si="1"/>
        <v/>
      </c>
      <c r="C45" s="5" t="str">
        <f t="shared" ca="1" si="2"/>
        <v/>
      </c>
      <c r="G45" s="6"/>
      <c r="H45" s="3" t="str">
        <f>IFERROR(IF(E45="Mayorista",IF(INDEX('04_PRODUCTOS'!$F$2:$F$501,MATCH(F45,'04_PRODUCTOS'!$B$2:$B$501,0))="",INDEX('04_PRODUCTOS'!$E$2:$E$501,MATCH(F45,'04_PRODUCTOS'!$B$2:$B$501,0)),INDEX('04_PRODUCTOS'!$F$2:$F$501,MATCH(F45,'04_PRODUCTOS'!$B$2:$B$501,0))),IF(E45="Especial",IF(INDEX('04_PRODUCTOS'!$G$2:$G$501,MATCH(F45,'04_PRODUCTOS'!$B$2:$B$501,0))="",INDEX('04_PRODUCTOS'!$E$2:$E$501,MATCH(F45,'04_PRODUCTOS'!$B$2:$B$501,0)),INDEX('04_PRODUCTOS'!$G$2:$G$501,MATCH(F45,'04_PRODUCTOS'!$B$2:$B$501,0))),INDEX('04_PRODUCTOS'!$E$2:$E$501,MATCH(F45,'04_PRODUCTOS'!$B$2:$B$501,0)))),"")</f>
        <v/>
      </c>
      <c r="I45" s="3" t="str">
        <f t="shared" si="3"/>
        <v/>
      </c>
      <c r="J45" s="3" t="str">
        <f>IFERROR(IF(INDEX('04_PRODUCTOS'!$D$2:$D$501,MATCH(F45,'04_PRODUCTOS'!$B$2:$B$501,0))="","",I45-(G45*INDEX('04_PRODUCTOS'!$D$2:$D$501,MATCH(F45,'04_PRODUCTOS'!$B$2:$B$501,0)))),"")</f>
        <v/>
      </c>
      <c r="K45" s="7" t="str">
        <f t="shared" si="4"/>
        <v/>
      </c>
      <c r="O45" t="str">
        <f>IF(D45="","",IFERROR(INDEX('03_CLIENTES'!$A$2:$A$501,MATCH(D45,'03_CLIENTES'!$B$2:$B$501,0)),""))</f>
        <v/>
      </c>
      <c r="P45" t="str">
        <f>IF(F45="","",IFERROR(INDEX('04_PRODUCTOS'!$A$2:$A$501,MATCH(F45,'04_PRODUCTOS'!$B$2:$B$501,0)),""))</f>
        <v/>
      </c>
      <c r="Q45" t="str">
        <f t="shared" si="5"/>
        <v/>
      </c>
    </row>
    <row r="46" spans="1:17" x14ac:dyDescent="0.25">
      <c r="A46" t="str">
        <f t="shared" si="0"/>
        <v/>
      </c>
      <c r="B46" s="4" t="str">
        <f t="shared" ca="1" si="1"/>
        <v/>
      </c>
      <c r="C46" s="5" t="str">
        <f t="shared" ca="1" si="2"/>
        <v/>
      </c>
      <c r="G46" s="6"/>
      <c r="H46" s="3" t="str">
        <f>IFERROR(IF(E46="Mayorista",IF(INDEX('04_PRODUCTOS'!$F$2:$F$501,MATCH(F46,'04_PRODUCTOS'!$B$2:$B$501,0))="",INDEX('04_PRODUCTOS'!$E$2:$E$501,MATCH(F46,'04_PRODUCTOS'!$B$2:$B$501,0)),INDEX('04_PRODUCTOS'!$F$2:$F$501,MATCH(F46,'04_PRODUCTOS'!$B$2:$B$501,0))),IF(E46="Especial",IF(INDEX('04_PRODUCTOS'!$G$2:$G$501,MATCH(F46,'04_PRODUCTOS'!$B$2:$B$501,0))="",INDEX('04_PRODUCTOS'!$E$2:$E$501,MATCH(F46,'04_PRODUCTOS'!$B$2:$B$501,0)),INDEX('04_PRODUCTOS'!$G$2:$G$501,MATCH(F46,'04_PRODUCTOS'!$B$2:$B$501,0))),INDEX('04_PRODUCTOS'!$E$2:$E$501,MATCH(F46,'04_PRODUCTOS'!$B$2:$B$501,0)))),"")</f>
        <v/>
      </c>
      <c r="I46" s="3" t="str">
        <f t="shared" si="3"/>
        <v/>
      </c>
      <c r="J46" s="3" t="str">
        <f>IFERROR(IF(INDEX('04_PRODUCTOS'!$D$2:$D$501,MATCH(F46,'04_PRODUCTOS'!$B$2:$B$501,0))="","",I46-(G46*INDEX('04_PRODUCTOS'!$D$2:$D$501,MATCH(F46,'04_PRODUCTOS'!$B$2:$B$501,0)))),"")</f>
        <v/>
      </c>
      <c r="K46" s="7" t="str">
        <f t="shared" si="4"/>
        <v/>
      </c>
      <c r="O46" t="str">
        <f>IF(D46="","",IFERROR(INDEX('03_CLIENTES'!$A$2:$A$501,MATCH(D46,'03_CLIENTES'!$B$2:$B$501,0)),""))</f>
        <v/>
      </c>
      <c r="P46" t="str">
        <f>IF(F46="","",IFERROR(INDEX('04_PRODUCTOS'!$A$2:$A$501,MATCH(F46,'04_PRODUCTOS'!$B$2:$B$501,0)),""))</f>
        <v/>
      </c>
      <c r="Q46" t="str">
        <f t="shared" si="5"/>
        <v/>
      </c>
    </row>
    <row r="47" spans="1:17" x14ac:dyDescent="0.25">
      <c r="A47" t="str">
        <f t="shared" si="0"/>
        <v/>
      </c>
      <c r="B47" s="4" t="str">
        <f t="shared" ca="1" si="1"/>
        <v/>
      </c>
      <c r="C47" s="5" t="str">
        <f t="shared" ca="1" si="2"/>
        <v/>
      </c>
      <c r="G47" s="6"/>
      <c r="H47" s="3" t="str">
        <f>IFERROR(IF(E47="Mayorista",IF(INDEX('04_PRODUCTOS'!$F$2:$F$501,MATCH(F47,'04_PRODUCTOS'!$B$2:$B$501,0))="",INDEX('04_PRODUCTOS'!$E$2:$E$501,MATCH(F47,'04_PRODUCTOS'!$B$2:$B$501,0)),INDEX('04_PRODUCTOS'!$F$2:$F$501,MATCH(F47,'04_PRODUCTOS'!$B$2:$B$501,0))),IF(E47="Especial",IF(INDEX('04_PRODUCTOS'!$G$2:$G$501,MATCH(F47,'04_PRODUCTOS'!$B$2:$B$501,0))="",INDEX('04_PRODUCTOS'!$E$2:$E$501,MATCH(F47,'04_PRODUCTOS'!$B$2:$B$501,0)),INDEX('04_PRODUCTOS'!$G$2:$G$501,MATCH(F47,'04_PRODUCTOS'!$B$2:$B$501,0))),INDEX('04_PRODUCTOS'!$E$2:$E$501,MATCH(F47,'04_PRODUCTOS'!$B$2:$B$501,0)))),"")</f>
        <v/>
      </c>
      <c r="I47" s="3" t="str">
        <f t="shared" si="3"/>
        <v/>
      </c>
      <c r="J47" s="3" t="str">
        <f>IFERROR(IF(INDEX('04_PRODUCTOS'!$D$2:$D$501,MATCH(F47,'04_PRODUCTOS'!$B$2:$B$501,0))="","",I47-(G47*INDEX('04_PRODUCTOS'!$D$2:$D$501,MATCH(F47,'04_PRODUCTOS'!$B$2:$B$501,0)))),"")</f>
        <v/>
      </c>
      <c r="K47" s="7" t="str">
        <f t="shared" si="4"/>
        <v/>
      </c>
      <c r="O47" t="str">
        <f>IF(D47="","",IFERROR(INDEX('03_CLIENTES'!$A$2:$A$501,MATCH(D47,'03_CLIENTES'!$B$2:$B$501,0)),""))</f>
        <v/>
      </c>
      <c r="P47" t="str">
        <f>IF(F47="","",IFERROR(INDEX('04_PRODUCTOS'!$A$2:$A$501,MATCH(F47,'04_PRODUCTOS'!$B$2:$B$501,0)),""))</f>
        <v/>
      </c>
      <c r="Q47" t="str">
        <f t="shared" si="5"/>
        <v/>
      </c>
    </row>
    <row r="48" spans="1:17" x14ac:dyDescent="0.25">
      <c r="A48" t="str">
        <f t="shared" si="0"/>
        <v/>
      </c>
      <c r="B48" s="4" t="str">
        <f t="shared" ca="1" si="1"/>
        <v/>
      </c>
      <c r="C48" s="5" t="str">
        <f t="shared" ca="1" si="2"/>
        <v/>
      </c>
      <c r="G48" s="6"/>
      <c r="H48" s="3" t="str">
        <f>IFERROR(IF(E48="Mayorista",IF(INDEX('04_PRODUCTOS'!$F$2:$F$501,MATCH(F48,'04_PRODUCTOS'!$B$2:$B$501,0))="",INDEX('04_PRODUCTOS'!$E$2:$E$501,MATCH(F48,'04_PRODUCTOS'!$B$2:$B$501,0)),INDEX('04_PRODUCTOS'!$F$2:$F$501,MATCH(F48,'04_PRODUCTOS'!$B$2:$B$501,0))),IF(E48="Especial",IF(INDEX('04_PRODUCTOS'!$G$2:$G$501,MATCH(F48,'04_PRODUCTOS'!$B$2:$B$501,0))="",INDEX('04_PRODUCTOS'!$E$2:$E$501,MATCH(F48,'04_PRODUCTOS'!$B$2:$B$501,0)),INDEX('04_PRODUCTOS'!$G$2:$G$501,MATCH(F48,'04_PRODUCTOS'!$B$2:$B$501,0))),INDEX('04_PRODUCTOS'!$E$2:$E$501,MATCH(F48,'04_PRODUCTOS'!$B$2:$B$501,0)))),"")</f>
        <v/>
      </c>
      <c r="I48" s="3" t="str">
        <f t="shared" si="3"/>
        <v/>
      </c>
      <c r="J48" s="3" t="str">
        <f>IFERROR(IF(INDEX('04_PRODUCTOS'!$D$2:$D$501,MATCH(F48,'04_PRODUCTOS'!$B$2:$B$501,0))="","",I48-(G48*INDEX('04_PRODUCTOS'!$D$2:$D$501,MATCH(F48,'04_PRODUCTOS'!$B$2:$B$501,0)))),"")</f>
        <v/>
      </c>
      <c r="K48" s="7" t="str">
        <f t="shared" si="4"/>
        <v/>
      </c>
      <c r="O48" t="str">
        <f>IF(D48="","",IFERROR(INDEX('03_CLIENTES'!$A$2:$A$501,MATCH(D48,'03_CLIENTES'!$B$2:$B$501,0)),""))</f>
        <v/>
      </c>
      <c r="P48" t="str">
        <f>IF(F48="","",IFERROR(INDEX('04_PRODUCTOS'!$A$2:$A$501,MATCH(F48,'04_PRODUCTOS'!$B$2:$B$501,0)),""))</f>
        <v/>
      </c>
      <c r="Q48" t="str">
        <f t="shared" si="5"/>
        <v/>
      </c>
    </row>
    <row r="49" spans="1:17" x14ac:dyDescent="0.25">
      <c r="A49" t="str">
        <f t="shared" si="0"/>
        <v/>
      </c>
      <c r="B49" s="4" t="str">
        <f t="shared" ca="1" si="1"/>
        <v/>
      </c>
      <c r="C49" s="5" t="str">
        <f t="shared" ca="1" si="2"/>
        <v/>
      </c>
      <c r="G49" s="6"/>
      <c r="H49" s="3" t="str">
        <f>IFERROR(IF(E49="Mayorista",IF(INDEX('04_PRODUCTOS'!$F$2:$F$501,MATCH(F49,'04_PRODUCTOS'!$B$2:$B$501,0))="",INDEX('04_PRODUCTOS'!$E$2:$E$501,MATCH(F49,'04_PRODUCTOS'!$B$2:$B$501,0)),INDEX('04_PRODUCTOS'!$F$2:$F$501,MATCH(F49,'04_PRODUCTOS'!$B$2:$B$501,0))),IF(E49="Especial",IF(INDEX('04_PRODUCTOS'!$G$2:$G$501,MATCH(F49,'04_PRODUCTOS'!$B$2:$B$501,0))="",INDEX('04_PRODUCTOS'!$E$2:$E$501,MATCH(F49,'04_PRODUCTOS'!$B$2:$B$501,0)),INDEX('04_PRODUCTOS'!$G$2:$G$501,MATCH(F49,'04_PRODUCTOS'!$B$2:$B$501,0))),INDEX('04_PRODUCTOS'!$E$2:$E$501,MATCH(F49,'04_PRODUCTOS'!$B$2:$B$501,0)))),"")</f>
        <v/>
      </c>
      <c r="I49" s="3" t="str">
        <f t="shared" si="3"/>
        <v/>
      </c>
      <c r="J49" s="3" t="str">
        <f>IFERROR(IF(INDEX('04_PRODUCTOS'!$D$2:$D$501,MATCH(F49,'04_PRODUCTOS'!$B$2:$B$501,0))="","",I49-(G49*INDEX('04_PRODUCTOS'!$D$2:$D$501,MATCH(F49,'04_PRODUCTOS'!$B$2:$B$501,0)))),"")</f>
        <v/>
      </c>
      <c r="K49" s="7" t="str">
        <f t="shared" si="4"/>
        <v/>
      </c>
      <c r="O49" t="str">
        <f>IF(D49="","",IFERROR(INDEX('03_CLIENTES'!$A$2:$A$501,MATCH(D49,'03_CLIENTES'!$B$2:$B$501,0)),""))</f>
        <v/>
      </c>
      <c r="P49" t="str">
        <f>IF(F49="","",IFERROR(INDEX('04_PRODUCTOS'!$A$2:$A$501,MATCH(F49,'04_PRODUCTOS'!$B$2:$B$501,0)),""))</f>
        <v/>
      </c>
      <c r="Q49" t="str">
        <f t="shared" si="5"/>
        <v/>
      </c>
    </row>
    <row r="50" spans="1:17" x14ac:dyDescent="0.25">
      <c r="A50" t="str">
        <f t="shared" si="0"/>
        <v/>
      </c>
      <c r="B50" s="4" t="str">
        <f t="shared" ca="1" si="1"/>
        <v/>
      </c>
      <c r="C50" s="5" t="str">
        <f t="shared" ca="1" si="2"/>
        <v/>
      </c>
      <c r="G50" s="6"/>
      <c r="H50" s="3" t="str">
        <f>IFERROR(IF(E50="Mayorista",IF(INDEX('04_PRODUCTOS'!$F$2:$F$501,MATCH(F50,'04_PRODUCTOS'!$B$2:$B$501,0))="",INDEX('04_PRODUCTOS'!$E$2:$E$501,MATCH(F50,'04_PRODUCTOS'!$B$2:$B$501,0)),INDEX('04_PRODUCTOS'!$F$2:$F$501,MATCH(F50,'04_PRODUCTOS'!$B$2:$B$501,0))),IF(E50="Especial",IF(INDEX('04_PRODUCTOS'!$G$2:$G$501,MATCH(F50,'04_PRODUCTOS'!$B$2:$B$501,0))="",INDEX('04_PRODUCTOS'!$E$2:$E$501,MATCH(F50,'04_PRODUCTOS'!$B$2:$B$501,0)),INDEX('04_PRODUCTOS'!$G$2:$G$501,MATCH(F50,'04_PRODUCTOS'!$B$2:$B$501,0))),INDEX('04_PRODUCTOS'!$E$2:$E$501,MATCH(F50,'04_PRODUCTOS'!$B$2:$B$501,0)))),"")</f>
        <v/>
      </c>
      <c r="I50" s="3" t="str">
        <f t="shared" si="3"/>
        <v/>
      </c>
      <c r="J50" s="3" t="str">
        <f>IFERROR(IF(INDEX('04_PRODUCTOS'!$D$2:$D$501,MATCH(F50,'04_PRODUCTOS'!$B$2:$B$501,0))="","",I50-(G50*INDEX('04_PRODUCTOS'!$D$2:$D$501,MATCH(F50,'04_PRODUCTOS'!$B$2:$B$501,0)))),"")</f>
        <v/>
      </c>
      <c r="K50" s="7" t="str">
        <f t="shared" si="4"/>
        <v/>
      </c>
      <c r="O50" t="str">
        <f>IF(D50="","",IFERROR(INDEX('03_CLIENTES'!$A$2:$A$501,MATCH(D50,'03_CLIENTES'!$B$2:$B$501,0)),""))</f>
        <v/>
      </c>
      <c r="P50" t="str">
        <f>IF(F50="","",IFERROR(INDEX('04_PRODUCTOS'!$A$2:$A$501,MATCH(F50,'04_PRODUCTOS'!$B$2:$B$501,0)),""))</f>
        <v/>
      </c>
      <c r="Q50" t="str">
        <f t="shared" si="5"/>
        <v/>
      </c>
    </row>
    <row r="51" spans="1:17" x14ac:dyDescent="0.25">
      <c r="A51" t="str">
        <f t="shared" si="0"/>
        <v/>
      </c>
      <c r="B51" s="4" t="str">
        <f t="shared" ca="1" si="1"/>
        <v/>
      </c>
      <c r="C51" s="5" t="str">
        <f t="shared" ca="1" si="2"/>
        <v/>
      </c>
      <c r="G51" s="6"/>
      <c r="H51" s="3" t="str">
        <f>IFERROR(IF(E51="Mayorista",IF(INDEX('04_PRODUCTOS'!$F$2:$F$501,MATCH(F51,'04_PRODUCTOS'!$B$2:$B$501,0))="",INDEX('04_PRODUCTOS'!$E$2:$E$501,MATCH(F51,'04_PRODUCTOS'!$B$2:$B$501,0)),INDEX('04_PRODUCTOS'!$F$2:$F$501,MATCH(F51,'04_PRODUCTOS'!$B$2:$B$501,0))),IF(E51="Especial",IF(INDEX('04_PRODUCTOS'!$G$2:$G$501,MATCH(F51,'04_PRODUCTOS'!$B$2:$B$501,0))="",INDEX('04_PRODUCTOS'!$E$2:$E$501,MATCH(F51,'04_PRODUCTOS'!$B$2:$B$501,0)),INDEX('04_PRODUCTOS'!$G$2:$G$501,MATCH(F51,'04_PRODUCTOS'!$B$2:$B$501,0))),INDEX('04_PRODUCTOS'!$E$2:$E$501,MATCH(F51,'04_PRODUCTOS'!$B$2:$B$501,0)))),"")</f>
        <v/>
      </c>
      <c r="I51" s="3" t="str">
        <f t="shared" si="3"/>
        <v/>
      </c>
      <c r="J51" s="3" t="str">
        <f>IFERROR(IF(INDEX('04_PRODUCTOS'!$D$2:$D$501,MATCH(F51,'04_PRODUCTOS'!$B$2:$B$501,0))="","",I51-(G51*INDEX('04_PRODUCTOS'!$D$2:$D$501,MATCH(F51,'04_PRODUCTOS'!$B$2:$B$501,0)))),"")</f>
        <v/>
      </c>
      <c r="K51" s="7" t="str">
        <f t="shared" si="4"/>
        <v/>
      </c>
      <c r="O51" t="str">
        <f>IF(D51="","",IFERROR(INDEX('03_CLIENTES'!$A$2:$A$501,MATCH(D51,'03_CLIENTES'!$B$2:$B$501,0)),""))</f>
        <v/>
      </c>
      <c r="P51" t="str">
        <f>IF(F51="","",IFERROR(INDEX('04_PRODUCTOS'!$A$2:$A$501,MATCH(F51,'04_PRODUCTOS'!$B$2:$B$501,0)),""))</f>
        <v/>
      </c>
      <c r="Q51" t="str">
        <f t="shared" si="5"/>
        <v/>
      </c>
    </row>
    <row r="52" spans="1:17" x14ac:dyDescent="0.25">
      <c r="A52" t="str">
        <f t="shared" si="0"/>
        <v/>
      </c>
      <c r="B52" s="4" t="str">
        <f t="shared" ca="1" si="1"/>
        <v/>
      </c>
      <c r="C52" s="5" t="str">
        <f t="shared" ca="1" si="2"/>
        <v/>
      </c>
      <c r="G52" s="6"/>
      <c r="H52" s="3" t="str">
        <f>IFERROR(IF(E52="Mayorista",IF(INDEX('04_PRODUCTOS'!$F$2:$F$501,MATCH(F52,'04_PRODUCTOS'!$B$2:$B$501,0))="",INDEX('04_PRODUCTOS'!$E$2:$E$501,MATCH(F52,'04_PRODUCTOS'!$B$2:$B$501,0)),INDEX('04_PRODUCTOS'!$F$2:$F$501,MATCH(F52,'04_PRODUCTOS'!$B$2:$B$501,0))),IF(E52="Especial",IF(INDEX('04_PRODUCTOS'!$G$2:$G$501,MATCH(F52,'04_PRODUCTOS'!$B$2:$B$501,0))="",INDEX('04_PRODUCTOS'!$E$2:$E$501,MATCH(F52,'04_PRODUCTOS'!$B$2:$B$501,0)),INDEX('04_PRODUCTOS'!$G$2:$G$501,MATCH(F52,'04_PRODUCTOS'!$B$2:$B$501,0))),INDEX('04_PRODUCTOS'!$E$2:$E$501,MATCH(F52,'04_PRODUCTOS'!$B$2:$B$501,0)))),"")</f>
        <v/>
      </c>
      <c r="I52" s="3" t="str">
        <f t="shared" si="3"/>
        <v/>
      </c>
      <c r="J52" s="3" t="str">
        <f>IFERROR(IF(INDEX('04_PRODUCTOS'!$D$2:$D$501,MATCH(F52,'04_PRODUCTOS'!$B$2:$B$501,0))="","",I52-(G52*INDEX('04_PRODUCTOS'!$D$2:$D$501,MATCH(F52,'04_PRODUCTOS'!$B$2:$B$501,0)))),"")</f>
        <v/>
      </c>
      <c r="K52" s="7" t="str">
        <f t="shared" si="4"/>
        <v/>
      </c>
      <c r="O52" t="str">
        <f>IF(D52="","",IFERROR(INDEX('03_CLIENTES'!$A$2:$A$501,MATCH(D52,'03_CLIENTES'!$B$2:$B$501,0)),""))</f>
        <v/>
      </c>
      <c r="P52" t="str">
        <f>IF(F52="","",IFERROR(INDEX('04_PRODUCTOS'!$A$2:$A$501,MATCH(F52,'04_PRODUCTOS'!$B$2:$B$501,0)),""))</f>
        <v/>
      </c>
      <c r="Q52" t="str">
        <f t="shared" si="5"/>
        <v/>
      </c>
    </row>
    <row r="53" spans="1:17" x14ac:dyDescent="0.25">
      <c r="A53" t="str">
        <f t="shared" si="0"/>
        <v/>
      </c>
      <c r="B53" s="4" t="str">
        <f t="shared" ca="1" si="1"/>
        <v/>
      </c>
      <c r="C53" s="5" t="str">
        <f t="shared" ca="1" si="2"/>
        <v/>
      </c>
      <c r="G53" s="6"/>
      <c r="H53" s="3" t="str">
        <f>IFERROR(IF(E53="Mayorista",IF(INDEX('04_PRODUCTOS'!$F$2:$F$501,MATCH(F53,'04_PRODUCTOS'!$B$2:$B$501,0))="",INDEX('04_PRODUCTOS'!$E$2:$E$501,MATCH(F53,'04_PRODUCTOS'!$B$2:$B$501,0)),INDEX('04_PRODUCTOS'!$F$2:$F$501,MATCH(F53,'04_PRODUCTOS'!$B$2:$B$501,0))),IF(E53="Especial",IF(INDEX('04_PRODUCTOS'!$G$2:$G$501,MATCH(F53,'04_PRODUCTOS'!$B$2:$B$501,0))="",INDEX('04_PRODUCTOS'!$E$2:$E$501,MATCH(F53,'04_PRODUCTOS'!$B$2:$B$501,0)),INDEX('04_PRODUCTOS'!$G$2:$G$501,MATCH(F53,'04_PRODUCTOS'!$B$2:$B$501,0))),INDEX('04_PRODUCTOS'!$E$2:$E$501,MATCH(F53,'04_PRODUCTOS'!$B$2:$B$501,0)))),"")</f>
        <v/>
      </c>
      <c r="I53" s="3" t="str">
        <f t="shared" si="3"/>
        <v/>
      </c>
      <c r="J53" s="3" t="str">
        <f>IFERROR(IF(INDEX('04_PRODUCTOS'!$D$2:$D$501,MATCH(F53,'04_PRODUCTOS'!$B$2:$B$501,0))="","",I53-(G53*INDEX('04_PRODUCTOS'!$D$2:$D$501,MATCH(F53,'04_PRODUCTOS'!$B$2:$B$501,0)))),"")</f>
        <v/>
      </c>
      <c r="K53" s="7" t="str">
        <f t="shared" si="4"/>
        <v/>
      </c>
      <c r="O53" t="str">
        <f>IF(D53="","",IFERROR(INDEX('03_CLIENTES'!$A$2:$A$501,MATCH(D53,'03_CLIENTES'!$B$2:$B$501,0)),""))</f>
        <v/>
      </c>
      <c r="P53" t="str">
        <f>IF(F53="","",IFERROR(INDEX('04_PRODUCTOS'!$A$2:$A$501,MATCH(F53,'04_PRODUCTOS'!$B$2:$B$501,0)),""))</f>
        <v/>
      </c>
      <c r="Q53" t="str">
        <f t="shared" si="5"/>
        <v/>
      </c>
    </row>
    <row r="54" spans="1:17" x14ac:dyDescent="0.25">
      <c r="A54" t="str">
        <f t="shared" si="0"/>
        <v/>
      </c>
      <c r="B54" s="4" t="str">
        <f t="shared" ca="1" si="1"/>
        <v/>
      </c>
      <c r="C54" s="5" t="str">
        <f t="shared" ca="1" si="2"/>
        <v/>
      </c>
      <c r="G54" s="6"/>
      <c r="H54" s="3" t="str">
        <f>IFERROR(IF(E54="Mayorista",IF(INDEX('04_PRODUCTOS'!$F$2:$F$501,MATCH(F54,'04_PRODUCTOS'!$B$2:$B$501,0))="",INDEX('04_PRODUCTOS'!$E$2:$E$501,MATCH(F54,'04_PRODUCTOS'!$B$2:$B$501,0)),INDEX('04_PRODUCTOS'!$F$2:$F$501,MATCH(F54,'04_PRODUCTOS'!$B$2:$B$501,0))),IF(E54="Especial",IF(INDEX('04_PRODUCTOS'!$G$2:$G$501,MATCH(F54,'04_PRODUCTOS'!$B$2:$B$501,0))="",INDEX('04_PRODUCTOS'!$E$2:$E$501,MATCH(F54,'04_PRODUCTOS'!$B$2:$B$501,0)),INDEX('04_PRODUCTOS'!$G$2:$G$501,MATCH(F54,'04_PRODUCTOS'!$B$2:$B$501,0))),INDEX('04_PRODUCTOS'!$E$2:$E$501,MATCH(F54,'04_PRODUCTOS'!$B$2:$B$501,0)))),"")</f>
        <v/>
      </c>
      <c r="I54" s="3" t="str">
        <f t="shared" si="3"/>
        <v/>
      </c>
      <c r="J54" s="3" t="str">
        <f>IFERROR(IF(INDEX('04_PRODUCTOS'!$D$2:$D$501,MATCH(F54,'04_PRODUCTOS'!$B$2:$B$501,0))="","",I54-(G54*INDEX('04_PRODUCTOS'!$D$2:$D$501,MATCH(F54,'04_PRODUCTOS'!$B$2:$B$501,0)))),"")</f>
        <v/>
      </c>
      <c r="K54" s="7" t="str">
        <f t="shared" si="4"/>
        <v/>
      </c>
      <c r="O54" t="str">
        <f>IF(D54="","",IFERROR(INDEX('03_CLIENTES'!$A$2:$A$501,MATCH(D54,'03_CLIENTES'!$B$2:$B$501,0)),""))</f>
        <v/>
      </c>
      <c r="P54" t="str">
        <f>IF(F54="","",IFERROR(INDEX('04_PRODUCTOS'!$A$2:$A$501,MATCH(F54,'04_PRODUCTOS'!$B$2:$B$501,0)),""))</f>
        <v/>
      </c>
      <c r="Q54" t="str">
        <f t="shared" si="5"/>
        <v/>
      </c>
    </row>
    <row r="55" spans="1:17" x14ac:dyDescent="0.25">
      <c r="A55" t="str">
        <f t="shared" si="0"/>
        <v/>
      </c>
      <c r="B55" s="4" t="str">
        <f t="shared" ca="1" si="1"/>
        <v/>
      </c>
      <c r="C55" s="5" t="str">
        <f t="shared" ca="1" si="2"/>
        <v/>
      </c>
      <c r="G55" s="6"/>
      <c r="H55" s="3" t="str">
        <f>IFERROR(IF(E55="Mayorista",IF(INDEX('04_PRODUCTOS'!$F$2:$F$501,MATCH(F55,'04_PRODUCTOS'!$B$2:$B$501,0))="",INDEX('04_PRODUCTOS'!$E$2:$E$501,MATCH(F55,'04_PRODUCTOS'!$B$2:$B$501,0)),INDEX('04_PRODUCTOS'!$F$2:$F$501,MATCH(F55,'04_PRODUCTOS'!$B$2:$B$501,0))),IF(E55="Especial",IF(INDEX('04_PRODUCTOS'!$G$2:$G$501,MATCH(F55,'04_PRODUCTOS'!$B$2:$B$501,0))="",INDEX('04_PRODUCTOS'!$E$2:$E$501,MATCH(F55,'04_PRODUCTOS'!$B$2:$B$501,0)),INDEX('04_PRODUCTOS'!$G$2:$G$501,MATCH(F55,'04_PRODUCTOS'!$B$2:$B$501,0))),INDEX('04_PRODUCTOS'!$E$2:$E$501,MATCH(F55,'04_PRODUCTOS'!$B$2:$B$501,0)))),"")</f>
        <v/>
      </c>
      <c r="I55" s="3" t="str">
        <f t="shared" si="3"/>
        <v/>
      </c>
      <c r="J55" s="3" t="str">
        <f>IFERROR(IF(INDEX('04_PRODUCTOS'!$D$2:$D$501,MATCH(F55,'04_PRODUCTOS'!$B$2:$B$501,0))="","",I55-(G55*INDEX('04_PRODUCTOS'!$D$2:$D$501,MATCH(F55,'04_PRODUCTOS'!$B$2:$B$501,0)))),"")</f>
        <v/>
      </c>
      <c r="K55" s="7" t="str">
        <f t="shared" si="4"/>
        <v/>
      </c>
      <c r="O55" t="str">
        <f>IF(D55="","",IFERROR(INDEX('03_CLIENTES'!$A$2:$A$501,MATCH(D55,'03_CLIENTES'!$B$2:$B$501,0)),""))</f>
        <v/>
      </c>
      <c r="P55" t="str">
        <f>IF(F55="","",IFERROR(INDEX('04_PRODUCTOS'!$A$2:$A$501,MATCH(F55,'04_PRODUCTOS'!$B$2:$B$501,0)),""))</f>
        <v/>
      </c>
      <c r="Q55" t="str">
        <f t="shared" si="5"/>
        <v/>
      </c>
    </row>
    <row r="56" spans="1:17" x14ac:dyDescent="0.25">
      <c r="A56" t="str">
        <f t="shared" si="0"/>
        <v/>
      </c>
      <c r="B56" s="4" t="str">
        <f t="shared" ca="1" si="1"/>
        <v/>
      </c>
      <c r="C56" s="5" t="str">
        <f t="shared" ca="1" si="2"/>
        <v/>
      </c>
      <c r="G56" s="6"/>
      <c r="H56" s="3" t="str">
        <f>IFERROR(IF(E56="Mayorista",IF(INDEX('04_PRODUCTOS'!$F$2:$F$501,MATCH(F56,'04_PRODUCTOS'!$B$2:$B$501,0))="",INDEX('04_PRODUCTOS'!$E$2:$E$501,MATCH(F56,'04_PRODUCTOS'!$B$2:$B$501,0)),INDEX('04_PRODUCTOS'!$F$2:$F$501,MATCH(F56,'04_PRODUCTOS'!$B$2:$B$501,0))),IF(E56="Especial",IF(INDEX('04_PRODUCTOS'!$G$2:$G$501,MATCH(F56,'04_PRODUCTOS'!$B$2:$B$501,0))="",INDEX('04_PRODUCTOS'!$E$2:$E$501,MATCH(F56,'04_PRODUCTOS'!$B$2:$B$501,0)),INDEX('04_PRODUCTOS'!$G$2:$G$501,MATCH(F56,'04_PRODUCTOS'!$B$2:$B$501,0))),INDEX('04_PRODUCTOS'!$E$2:$E$501,MATCH(F56,'04_PRODUCTOS'!$B$2:$B$501,0)))),"")</f>
        <v/>
      </c>
      <c r="I56" s="3" t="str">
        <f t="shared" si="3"/>
        <v/>
      </c>
      <c r="J56" s="3" t="str">
        <f>IFERROR(IF(INDEX('04_PRODUCTOS'!$D$2:$D$501,MATCH(F56,'04_PRODUCTOS'!$B$2:$B$501,0))="","",I56-(G56*INDEX('04_PRODUCTOS'!$D$2:$D$501,MATCH(F56,'04_PRODUCTOS'!$B$2:$B$501,0)))),"")</f>
        <v/>
      </c>
      <c r="K56" s="7" t="str">
        <f t="shared" si="4"/>
        <v/>
      </c>
      <c r="O56" t="str">
        <f>IF(D56="","",IFERROR(INDEX('03_CLIENTES'!$A$2:$A$501,MATCH(D56,'03_CLIENTES'!$B$2:$B$501,0)),""))</f>
        <v/>
      </c>
      <c r="P56" t="str">
        <f>IF(F56="","",IFERROR(INDEX('04_PRODUCTOS'!$A$2:$A$501,MATCH(F56,'04_PRODUCTOS'!$B$2:$B$501,0)),""))</f>
        <v/>
      </c>
      <c r="Q56" t="str">
        <f t="shared" si="5"/>
        <v/>
      </c>
    </row>
    <row r="57" spans="1:17" x14ac:dyDescent="0.25">
      <c r="A57" t="str">
        <f t="shared" si="0"/>
        <v/>
      </c>
      <c r="B57" s="4" t="str">
        <f t="shared" ca="1" si="1"/>
        <v/>
      </c>
      <c r="C57" s="5" t="str">
        <f t="shared" ca="1" si="2"/>
        <v/>
      </c>
      <c r="G57" s="6"/>
      <c r="H57" s="3" t="str">
        <f>IFERROR(IF(E57="Mayorista",IF(INDEX('04_PRODUCTOS'!$F$2:$F$501,MATCH(F57,'04_PRODUCTOS'!$B$2:$B$501,0))="",INDEX('04_PRODUCTOS'!$E$2:$E$501,MATCH(F57,'04_PRODUCTOS'!$B$2:$B$501,0)),INDEX('04_PRODUCTOS'!$F$2:$F$501,MATCH(F57,'04_PRODUCTOS'!$B$2:$B$501,0))),IF(E57="Especial",IF(INDEX('04_PRODUCTOS'!$G$2:$G$501,MATCH(F57,'04_PRODUCTOS'!$B$2:$B$501,0))="",INDEX('04_PRODUCTOS'!$E$2:$E$501,MATCH(F57,'04_PRODUCTOS'!$B$2:$B$501,0)),INDEX('04_PRODUCTOS'!$G$2:$G$501,MATCH(F57,'04_PRODUCTOS'!$B$2:$B$501,0))),INDEX('04_PRODUCTOS'!$E$2:$E$501,MATCH(F57,'04_PRODUCTOS'!$B$2:$B$501,0)))),"")</f>
        <v/>
      </c>
      <c r="I57" s="3" t="str">
        <f t="shared" si="3"/>
        <v/>
      </c>
      <c r="J57" s="3" t="str">
        <f>IFERROR(IF(INDEX('04_PRODUCTOS'!$D$2:$D$501,MATCH(F57,'04_PRODUCTOS'!$B$2:$B$501,0))="","",I57-(G57*INDEX('04_PRODUCTOS'!$D$2:$D$501,MATCH(F57,'04_PRODUCTOS'!$B$2:$B$501,0)))),"")</f>
        <v/>
      </c>
      <c r="K57" s="7" t="str">
        <f t="shared" si="4"/>
        <v/>
      </c>
      <c r="O57" t="str">
        <f>IF(D57="","",IFERROR(INDEX('03_CLIENTES'!$A$2:$A$501,MATCH(D57,'03_CLIENTES'!$B$2:$B$501,0)),""))</f>
        <v/>
      </c>
      <c r="P57" t="str">
        <f>IF(F57="","",IFERROR(INDEX('04_PRODUCTOS'!$A$2:$A$501,MATCH(F57,'04_PRODUCTOS'!$B$2:$B$501,0)),""))</f>
        <v/>
      </c>
      <c r="Q57" t="str">
        <f t="shared" si="5"/>
        <v/>
      </c>
    </row>
    <row r="58" spans="1:17" x14ac:dyDescent="0.25">
      <c r="A58" t="str">
        <f t="shared" si="0"/>
        <v/>
      </c>
      <c r="B58" s="4" t="str">
        <f t="shared" ca="1" si="1"/>
        <v/>
      </c>
      <c r="C58" s="5" t="str">
        <f t="shared" ca="1" si="2"/>
        <v/>
      </c>
      <c r="G58" s="6"/>
      <c r="H58" s="3" t="str">
        <f>IFERROR(IF(E58="Mayorista",IF(INDEX('04_PRODUCTOS'!$F$2:$F$501,MATCH(F58,'04_PRODUCTOS'!$B$2:$B$501,0))="",INDEX('04_PRODUCTOS'!$E$2:$E$501,MATCH(F58,'04_PRODUCTOS'!$B$2:$B$501,0)),INDEX('04_PRODUCTOS'!$F$2:$F$501,MATCH(F58,'04_PRODUCTOS'!$B$2:$B$501,0))),IF(E58="Especial",IF(INDEX('04_PRODUCTOS'!$G$2:$G$501,MATCH(F58,'04_PRODUCTOS'!$B$2:$B$501,0))="",INDEX('04_PRODUCTOS'!$E$2:$E$501,MATCH(F58,'04_PRODUCTOS'!$B$2:$B$501,0)),INDEX('04_PRODUCTOS'!$G$2:$G$501,MATCH(F58,'04_PRODUCTOS'!$B$2:$B$501,0))),INDEX('04_PRODUCTOS'!$E$2:$E$501,MATCH(F58,'04_PRODUCTOS'!$B$2:$B$501,0)))),"")</f>
        <v/>
      </c>
      <c r="I58" s="3" t="str">
        <f t="shared" si="3"/>
        <v/>
      </c>
      <c r="J58" s="3" t="str">
        <f>IFERROR(IF(INDEX('04_PRODUCTOS'!$D$2:$D$501,MATCH(F58,'04_PRODUCTOS'!$B$2:$B$501,0))="","",I58-(G58*INDEX('04_PRODUCTOS'!$D$2:$D$501,MATCH(F58,'04_PRODUCTOS'!$B$2:$B$501,0)))),"")</f>
        <v/>
      </c>
      <c r="K58" s="7" t="str">
        <f t="shared" si="4"/>
        <v/>
      </c>
      <c r="O58" t="str">
        <f>IF(D58="","",IFERROR(INDEX('03_CLIENTES'!$A$2:$A$501,MATCH(D58,'03_CLIENTES'!$B$2:$B$501,0)),""))</f>
        <v/>
      </c>
      <c r="P58" t="str">
        <f>IF(F58="","",IFERROR(INDEX('04_PRODUCTOS'!$A$2:$A$501,MATCH(F58,'04_PRODUCTOS'!$B$2:$B$501,0)),""))</f>
        <v/>
      </c>
      <c r="Q58" t="str">
        <f t="shared" si="5"/>
        <v/>
      </c>
    </row>
    <row r="59" spans="1:17" x14ac:dyDescent="0.25">
      <c r="A59" t="str">
        <f t="shared" si="0"/>
        <v/>
      </c>
      <c r="B59" s="4" t="str">
        <f t="shared" ca="1" si="1"/>
        <v/>
      </c>
      <c r="C59" s="5" t="str">
        <f t="shared" ca="1" si="2"/>
        <v/>
      </c>
      <c r="G59" s="6"/>
      <c r="H59" s="3" t="str">
        <f>IFERROR(IF(E59="Mayorista",IF(INDEX('04_PRODUCTOS'!$F$2:$F$501,MATCH(F59,'04_PRODUCTOS'!$B$2:$B$501,0))="",INDEX('04_PRODUCTOS'!$E$2:$E$501,MATCH(F59,'04_PRODUCTOS'!$B$2:$B$501,0)),INDEX('04_PRODUCTOS'!$F$2:$F$501,MATCH(F59,'04_PRODUCTOS'!$B$2:$B$501,0))),IF(E59="Especial",IF(INDEX('04_PRODUCTOS'!$G$2:$G$501,MATCH(F59,'04_PRODUCTOS'!$B$2:$B$501,0))="",INDEX('04_PRODUCTOS'!$E$2:$E$501,MATCH(F59,'04_PRODUCTOS'!$B$2:$B$501,0)),INDEX('04_PRODUCTOS'!$G$2:$G$501,MATCH(F59,'04_PRODUCTOS'!$B$2:$B$501,0))),INDEX('04_PRODUCTOS'!$E$2:$E$501,MATCH(F59,'04_PRODUCTOS'!$B$2:$B$501,0)))),"")</f>
        <v/>
      </c>
      <c r="I59" s="3" t="str">
        <f t="shared" si="3"/>
        <v/>
      </c>
      <c r="J59" s="3" t="str">
        <f>IFERROR(IF(INDEX('04_PRODUCTOS'!$D$2:$D$501,MATCH(F59,'04_PRODUCTOS'!$B$2:$B$501,0))="","",I59-(G59*INDEX('04_PRODUCTOS'!$D$2:$D$501,MATCH(F59,'04_PRODUCTOS'!$B$2:$B$501,0)))),"")</f>
        <v/>
      </c>
      <c r="K59" s="7" t="str">
        <f t="shared" si="4"/>
        <v/>
      </c>
      <c r="O59" t="str">
        <f>IF(D59="","",IFERROR(INDEX('03_CLIENTES'!$A$2:$A$501,MATCH(D59,'03_CLIENTES'!$B$2:$B$501,0)),""))</f>
        <v/>
      </c>
      <c r="P59" t="str">
        <f>IF(F59="","",IFERROR(INDEX('04_PRODUCTOS'!$A$2:$A$501,MATCH(F59,'04_PRODUCTOS'!$B$2:$B$501,0)),""))</f>
        <v/>
      </c>
      <c r="Q59" t="str">
        <f t="shared" si="5"/>
        <v/>
      </c>
    </row>
    <row r="60" spans="1:17" x14ac:dyDescent="0.25">
      <c r="A60" t="str">
        <f t="shared" si="0"/>
        <v/>
      </c>
      <c r="B60" s="4" t="str">
        <f t="shared" ca="1" si="1"/>
        <v/>
      </c>
      <c r="C60" s="5" t="str">
        <f t="shared" ca="1" si="2"/>
        <v/>
      </c>
      <c r="G60" s="6"/>
      <c r="H60" s="3" t="str">
        <f>IFERROR(IF(E60="Mayorista",IF(INDEX('04_PRODUCTOS'!$F$2:$F$501,MATCH(F60,'04_PRODUCTOS'!$B$2:$B$501,0))="",INDEX('04_PRODUCTOS'!$E$2:$E$501,MATCH(F60,'04_PRODUCTOS'!$B$2:$B$501,0)),INDEX('04_PRODUCTOS'!$F$2:$F$501,MATCH(F60,'04_PRODUCTOS'!$B$2:$B$501,0))),IF(E60="Especial",IF(INDEX('04_PRODUCTOS'!$G$2:$G$501,MATCH(F60,'04_PRODUCTOS'!$B$2:$B$501,0))="",INDEX('04_PRODUCTOS'!$E$2:$E$501,MATCH(F60,'04_PRODUCTOS'!$B$2:$B$501,0)),INDEX('04_PRODUCTOS'!$G$2:$G$501,MATCH(F60,'04_PRODUCTOS'!$B$2:$B$501,0))),INDEX('04_PRODUCTOS'!$E$2:$E$501,MATCH(F60,'04_PRODUCTOS'!$B$2:$B$501,0)))),"")</f>
        <v/>
      </c>
      <c r="I60" s="3" t="str">
        <f t="shared" si="3"/>
        <v/>
      </c>
      <c r="J60" s="3" t="str">
        <f>IFERROR(IF(INDEX('04_PRODUCTOS'!$D$2:$D$501,MATCH(F60,'04_PRODUCTOS'!$B$2:$B$501,0))="","",I60-(G60*INDEX('04_PRODUCTOS'!$D$2:$D$501,MATCH(F60,'04_PRODUCTOS'!$B$2:$B$501,0)))),"")</f>
        <v/>
      </c>
      <c r="K60" s="7" t="str">
        <f t="shared" si="4"/>
        <v/>
      </c>
      <c r="O60" t="str">
        <f>IF(D60="","",IFERROR(INDEX('03_CLIENTES'!$A$2:$A$501,MATCH(D60,'03_CLIENTES'!$B$2:$B$501,0)),""))</f>
        <v/>
      </c>
      <c r="P60" t="str">
        <f>IF(F60="","",IFERROR(INDEX('04_PRODUCTOS'!$A$2:$A$501,MATCH(F60,'04_PRODUCTOS'!$B$2:$B$501,0)),""))</f>
        <v/>
      </c>
      <c r="Q60" t="str">
        <f t="shared" si="5"/>
        <v/>
      </c>
    </row>
    <row r="61" spans="1:17" x14ac:dyDescent="0.25">
      <c r="A61" t="str">
        <f t="shared" si="0"/>
        <v/>
      </c>
      <c r="B61" s="4" t="str">
        <f t="shared" ca="1" si="1"/>
        <v/>
      </c>
      <c r="C61" s="5" t="str">
        <f t="shared" ca="1" si="2"/>
        <v/>
      </c>
      <c r="G61" s="6"/>
      <c r="H61" s="3" t="str">
        <f>IFERROR(IF(E61="Mayorista",IF(INDEX('04_PRODUCTOS'!$F$2:$F$501,MATCH(F61,'04_PRODUCTOS'!$B$2:$B$501,0))="",INDEX('04_PRODUCTOS'!$E$2:$E$501,MATCH(F61,'04_PRODUCTOS'!$B$2:$B$501,0)),INDEX('04_PRODUCTOS'!$F$2:$F$501,MATCH(F61,'04_PRODUCTOS'!$B$2:$B$501,0))),IF(E61="Especial",IF(INDEX('04_PRODUCTOS'!$G$2:$G$501,MATCH(F61,'04_PRODUCTOS'!$B$2:$B$501,0))="",INDEX('04_PRODUCTOS'!$E$2:$E$501,MATCH(F61,'04_PRODUCTOS'!$B$2:$B$501,0)),INDEX('04_PRODUCTOS'!$G$2:$G$501,MATCH(F61,'04_PRODUCTOS'!$B$2:$B$501,0))),INDEX('04_PRODUCTOS'!$E$2:$E$501,MATCH(F61,'04_PRODUCTOS'!$B$2:$B$501,0)))),"")</f>
        <v/>
      </c>
      <c r="I61" s="3" t="str">
        <f t="shared" si="3"/>
        <v/>
      </c>
      <c r="J61" s="3" t="str">
        <f>IFERROR(IF(INDEX('04_PRODUCTOS'!$D$2:$D$501,MATCH(F61,'04_PRODUCTOS'!$B$2:$B$501,0))="","",I61-(G61*INDEX('04_PRODUCTOS'!$D$2:$D$501,MATCH(F61,'04_PRODUCTOS'!$B$2:$B$501,0)))),"")</f>
        <v/>
      </c>
      <c r="K61" s="7" t="str">
        <f t="shared" si="4"/>
        <v/>
      </c>
      <c r="O61" t="str">
        <f>IF(D61="","",IFERROR(INDEX('03_CLIENTES'!$A$2:$A$501,MATCH(D61,'03_CLIENTES'!$B$2:$B$501,0)),""))</f>
        <v/>
      </c>
      <c r="P61" t="str">
        <f>IF(F61="","",IFERROR(INDEX('04_PRODUCTOS'!$A$2:$A$501,MATCH(F61,'04_PRODUCTOS'!$B$2:$B$501,0)),""))</f>
        <v/>
      </c>
      <c r="Q61" t="str">
        <f t="shared" si="5"/>
        <v/>
      </c>
    </row>
    <row r="62" spans="1:17" x14ac:dyDescent="0.25">
      <c r="A62" t="str">
        <f t="shared" si="0"/>
        <v/>
      </c>
      <c r="B62" s="4" t="str">
        <f t="shared" ca="1" si="1"/>
        <v/>
      </c>
      <c r="C62" s="5" t="str">
        <f t="shared" ca="1" si="2"/>
        <v/>
      </c>
      <c r="G62" s="6"/>
      <c r="H62" s="3" t="str">
        <f>IFERROR(IF(E62="Mayorista",IF(INDEX('04_PRODUCTOS'!$F$2:$F$501,MATCH(F62,'04_PRODUCTOS'!$B$2:$B$501,0))="",INDEX('04_PRODUCTOS'!$E$2:$E$501,MATCH(F62,'04_PRODUCTOS'!$B$2:$B$501,0)),INDEX('04_PRODUCTOS'!$F$2:$F$501,MATCH(F62,'04_PRODUCTOS'!$B$2:$B$501,0))),IF(E62="Especial",IF(INDEX('04_PRODUCTOS'!$G$2:$G$501,MATCH(F62,'04_PRODUCTOS'!$B$2:$B$501,0))="",INDEX('04_PRODUCTOS'!$E$2:$E$501,MATCH(F62,'04_PRODUCTOS'!$B$2:$B$501,0)),INDEX('04_PRODUCTOS'!$G$2:$G$501,MATCH(F62,'04_PRODUCTOS'!$B$2:$B$501,0))),INDEX('04_PRODUCTOS'!$E$2:$E$501,MATCH(F62,'04_PRODUCTOS'!$B$2:$B$501,0)))),"")</f>
        <v/>
      </c>
      <c r="I62" s="3" t="str">
        <f t="shared" si="3"/>
        <v/>
      </c>
      <c r="J62" s="3" t="str">
        <f>IFERROR(IF(INDEX('04_PRODUCTOS'!$D$2:$D$501,MATCH(F62,'04_PRODUCTOS'!$B$2:$B$501,0))="","",I62-(G62*INDEX('04_PRODUCTOS'!$D$2:$D$501,MATCH(F62,'04_PRODUCTOS'!$B$2:$B$501,0)))),"")</f>
        <v/>
      </c>
      <c r="K62" s="7" t="str">
        <f t="shared" si="4"/>
        <v/>
      </c>
      <c r="O62" t="str">
        <f>IF(D62="","",IFERROR(INDEX('03_CLIENTES'!$A$2:$A$501,MATCH(D62,'03_CLIENTES'!$B$2:$B$501,0)),""))</f>
        <v/>
      </c>
      <c r="P62" t="str">
        <f>IF(F62="","",IFERROR(INDEX('04_PRODUCTOS'!$A$2:$A$501,MATCH(F62,'04_PRODUCTOS'!$B$2:$B$501,0)),""))</f>
        <v/>
      </c>
      <c r="Q62" t="str">
        <f t="shared" si="5"/>
        <v/>
      </c>
    </row>
    <row r="63" spans="1:17" x14ac:dyDescent="0.25">
      <c r="A63" t="str">
        <f t="shared" si="0"/>
        <v/>
      </c>
      <c r="B63" s="4" t="str">
        <f t="shared" ca="1" si="1"/>
        <v/>
      </c>
      <c r="C63" s="5" t="str">
        <f t="shared" ca="1" si="2"/>
        <v/>
      </c>
      <c r="G63" s="6"/>
      <c r="H63" s="3" t="str">
        <f>IFERROR(IF(E63="Mayorista",IF(INDEX('04_PRODUCTOS'!$F$2:$F$501,MATCH(F63,'04_PRODUCTOS'!$B$2:$B$501,0))="",INDEX('04_PRODUCTOS'!$E$2:$E$501,MATCH(F63,'04_PRODUCTOS'!$B$2:$B$501,0)),INDEX('04_PRODUCTOS'!$F$2:$F$501,MATCH(F63,'04_PRODUCTOS'!$B$2:$B$501,0))),IF(E63="Especial",IF(INDEX('04_PRODUCTOS'!$G$2:$G$501,MATCH(F63,'04_PRODUCTOS'!$B$2:$B$501,0))="",INDEX('04_PRODUCTOS'!$E$2:$E$501,MATCH(F63,'04_PRODUCTOS'!$B$2:$B$501,0)),INDEX('04_PRODUCTOS'!$G$2:$G$501,MATCH(F63,'04_PRODUCTOS'!$B$2:$B$501,0))),INDEX('04_PRODUCTOS'!$E$2:$E$501,MATCH(F63,'04_PRODUCTOS'!$B$2:$B$501,0)))),"")</f>
        <v/>
      </c>
      <c r="I63" s="3" t="str">
        <f t="shared" si="3"/>
        <v/>
      </c>
      <c r="J63" s="3" t="str">
        <f>IFERROR(IF(INDEX('04_PRODUCTOS'!$D$2:$D$501,MATCH(F63,'04_PRODUCTOS'!$B$2:$B$501,0))="","",I63-(G63*INDEX('04_PRODUCTOS'!$D$2:$D$501,MATCH(F63,'04_PRODUCTOS'!$B$2:$B$501,0)))),"")</f>
        <v/>
      </c>
      <c r="K63" s="7" t="str">
        <f t="shared" si="4"/>
        <v/>
      </c>
      <c r="O63" t="str">
        <f>IF(D63="","",IFERROR(INDEX('03_CLIENTES'!$A$2:$A$501,MATCH(D63,'03_CLIENTES'!$B$2:$B$501,0)),""))</f>
        <v/>
      </c>
      <c r="P63" t="str">
        <f>IF(F63="","",IFERROR(INDEX('04_PRODUCTOS'!$A$2:$A$501,MATCH(F63,'04_PRODUCTOS'!$B$2:$B$501,0)),""))</f>
        <v/>
      </c>
      <c r="Q63" t="str">
        <f t="shared" si="5"/>
        <v/>
      </c>
    </row>
    <row r="64" spans="1:17" x14ac:dyDescent="0.25">
      <c r="A64" t="str">
        <f t="shared" si="0"/>
        <v/>
      </c>
      <c r="B64" s="4" t="str">
        <f t="shared" ca="1" si="1"/>
        <v/>
      </c>
      <c r="C64" s="5" t="str">
        <f t="shared" ca="1" si="2"/>
        <v/>
      </c>
      <c r="G64" s="6"/>
      <c r="H64" s="3" t="str">
        <f>IFERROR(IF(E64="Mayorista",IF(INDEX('04_PRODUCTOS'!$F$2:$F$501,MATCH(F64,'04_PRODUCTOS'!$B$2:$B$501,0))="",INDEX('04_PRODUCTOS'!$E$2:$E$501,MATCH(F64,'04_PRODUCTOS'!$B$2:$B$501,0)),INDEX('04_PRODUCTOS'!$F$2:$F$501,MATCH(F64,'04_PRODUCTOS'!$B$2:$B$501,0))),IF(E64="Especial",IF(INDEX('04_PRODUCTOS'!$G$2:$G$501,MATCH(F64,'04_PRODUCTOS'!$B$2:$B$501,0))="",INDEX('04_PRODUCTOS'!$E$2:$E$501,MATCH(F64,'04_PRODUCTOS'!$B$2:$B$501,0)),INDEX('04_PRODUCTOS'!$G$2:$G$501,MATCH(F64,'04_PRODUCTOS'!$B$2:$B$501,0))),INDEX('04_PRODUCTOS'!$E$2:$E$501,MATCH(F64,'04_PRODUCTOS'!$B$2:$B$501,0)))),"")</f>
        <v/>
      </c>
      <c r="I64" s="3" t="str">
        <f t="shared" si="3"/>
        <v/>
      </c>
      <c r="J64" s="3" t="str">
        <f>IFERROR(IF(INDEX('04_PRODUCTOS'!$D$2:$D$501,MATCH(F64,'04_PRODUCTOS'!$B$2:$B$501,0))="","",I64-(G64*INDEX('04_PRODUCTOS'!$D$2:$D$501,MATCH(F64,'04_PRODUCTOS'!$B$2:$B$501,0)))),"")</f>
        <v/>
      </c>
      <c r="K64" s="7" t="str">
        <f t="shared" si="4"/>
        <v/>
      </c>
      <c r="O64" t="str">
        <f>IF(D64="","",IFERROR(INDEX('03_CLIENTES'!$A$2:$A$501,MATCH(D64,'03_CLIENTES'!$B$2:$B$501,0)),""))</f>
        <v/>
      </c>
      <c r="P64" t="str">
        <f>IF(F64="","",IFERROR(INDEX('04_PRODUCTOS'!$A$2:$A$501,MATCH(F64,'04_PRODUCTOS'!$B$2:$B$501,0)),""))</f>
        <v/>
      </c>
      <c r="Q64" t="str">
        <f t="shared" si="5"/>
        <v/>
      </c>
    </row>
    <row r="65" spans="1:17" x14ac:dyDescent="0.25">
      <c r="A65" t="str">
        <f t="shared" si="0"/>
        <v/>
      </c>
      <c r="B65" s="4" t="str">
        <f t="shared" ca="1" si="1"/>
        <v/>
      </c>
      <c r="C65" s="5" t="str">
        <f t="shared" ca="1" si="2"/>
        <v/>
      </c>
      <c r="G65" s="6"/>
      <c r="H65" s="3" t="str">
        <f>IFERROR(IF(E65="Mayorista",IF(INDEX('04_PRODUCTOS'!$F$2:$F$501,MATCH(F65,'04_PRODUCTOS'!$B$2:$B$501,0))="",INDEX('04_PRODUCTOS'!$E$2:$E$501,MATCH(F65,'04_PRODUCTOS'!$B$2:$B$501,0)),INDEX('04_PRODUCTOS'!$F$2:$F$501,MATCH(F65,'04_PRODUCTOS'!$B$2:$B$501,0))),IF(E65="Especial",IF(INDEX('04_PRODUCTOS'!$G$2:$G$501,MATCH(F65,'04_PRODUCTOS'!$B$2:$B$501,0))="",INDEX('04_PRODUCTOS'!$E$2:$E$501,MATCH(F65,'04_PRODUCTOS'!$B$2:$B$501,0)),INDEX('04_PRODUCTOS'!$G$2:$G$501,MATCH(F65,'04_PRODUCTOS'!$B$2:$B$501,0))),INDEX('04_PRODUCTOS'!$E$2:$E$501,MATCH(F65,'04_PRODUCTOS'!$B$2:$B$501,0)))),"")</f>
        <v/>
      </c>
      <c r="I65" s="3" t="str">
        <f t="shared" si="3"/>
        <v/>
      </c>
      <c r="J65" s="3" t="str">
        <f>IFERROR(IF(INDEX('04_PRODUCTOS'!$D$2:$D$501,MATCH(F65,'04_PRODUCTOS'!$B$2:$B$501,0))="","",I65-(G65*INDEX('04_PRODUCTOS'!$D$2:$D$501,MATCH(F65,'04_PRODUCTOS'!$B$2:$B$501,0)))),"")</f>
        <v/>
      </c>
      <c r="K65" s="7" t="str">
        <f t="shared" si="4"/>
        <v/>
      </c>
      <c r="O65" t="str">
        <f>IF(D65="","",IFERROR(INDEX('03_CLIENTES'!$A$2:$A$501,MATCH(D65,'03_CLIENTES'!$B$2:$B$501,0)),""))</f>
        <v/>
      </c>
      <c r="P65" t="str">
        <f>IF(F65="","",IFERROR(INDEX('04_PRODUCTOS'!$A$2:$A$501,MATCH(F65,'04_PRODUCTOS'!$B$2:$B$501,0)),""))</f>
        <v/>
      </c>
      <c r="Q65" t="str">
        <f t="shared" si="5"/>
        <v/>
      </c>
    </row>
    <row r="66" spans="1:17" x14ac:dyDescent="0.25">
      <c r="A66" t="str">
        <f t="shared" ref="A66:A129" si="6">IF(OR(D66="",F66=""),"","VEN"&amp;TEXT(ROW()-1,"000000"))</f>
        <v/>
      </c>
      <c r="B66" s="4" t="str">
        <f t="shared" ref="B66:B129" ca="1" si="7">IF(A66="","",TODAY())</f>
        <v/>
      </c>
      <c r="C66" s="5" t="str">
        <f t="shared" ref="C66:C129" ca="1" si="8">IF(A66="","",NOW())</f>
        <v/>
      </c>
      <c r="G66" s="6"/>
      <c r="H66" s="3" t="str">
        <f>IFERROR(IF(E66="Mayorista",IF(INDEX('04_PRODUCTOS'!$F$2:$F$501,MATCH(F66,'04_PRODUCTOS'!$B$2:$B$501,0))="",INDEX('04_PRODUCTOS'!$E$2:$E$501,MATCH(F66,'04_PRODUCTOS'!$B$2:$B$501,0)),INDEX('04_PRODUCTOS'!$F$2:$F$501,MATCH(F66,'04_PRODUCTOS'!$B$2:$B$501,0))),IF(E66="Especial",IF(INDEX('04_PRODUCTOS'!$G$2:$G$501,MATCH(F66,'04_PRODUCTOS'!$B$2:$B$501,0))="",INDEX('04_PRODUCTOS'!$E$2:$E$501,MATCH(F66,'04_PRODUCTOS'!$B$2:$B$501,0)),INDEX('04_PRODUCTOS'!$G$2:$G$501,MATCH(F66,'04_PRODUCTOS'!$B$2:$B$501,0))),INDEX('04_PRODUCTOS'!$E$2:$E$501,MATCH(F66,'04_PRODUCTOS'!$B$2:$B$501,0)))),"")</f>
        <v/>
      </c>
      <c r="I66" s="3" t="str">
        <f t="shared" ref="I66:I129" si="9">IF(AND(G66&lt;&gt;"",H66&lt;&gt;""),G66*H66,"")</f>
        <v/>
      </c>
      <c r="J66" s="3" t="str">
        <f>IFERROR(IF(INDEX('04_PRODUCTOS'!$D$2:$D$501,MATCH(F66,'04_PRODUCTOS'!$B$2:$B$501,0))="","",I66-(G66*INDEX('04_PRODUCTOS'!$D$2:$D$501,MATCH(F66,'04_PRODUCTOS'!$B$2:$B$501,0)))),"")</f>
        <v/>
      </c>
      <c r="K66" s="7" t="str">
        <f t="shared" ref="K66:K129" si="10">IF(OR(I66="",J66=""),"",IFERROR(J66/I66,""))</f>
        <v/>
      </c>
      <c r="O66" t="str">
        <f>IF(D66="","",IFERROR(INDEX('03_CLIENTES'!$A$2:$A$501,MATCH(D66,'03_CLIENTES'!$B$2:$B$501,0)),""))</f>
        <v/>
      </c>
      <c r="P66" t="str">
        <f>IF(F66="","",IFERROR(INDEX('04_PRODUCTOS'!$A$2:$A$501,MATCH(F66,'04_PRODUCTOS'!$B$2:$B$501,0)),""))</f>
        <v/>
      </c>
      <c r="Q66" t="str">
        <f t="shared" ref="Q66:Q129" si="11">IF(AND(D66&lt;&gt;"",F66&lt;&gt;"",G66&gt;0,H66&lt;&gt;""),IF(O66="","CLIENTE NO ENCONTRADO",IF(P66="","PRODUCTO NO ENCONTRADO","OK")),"")</f>
        <v/>
      </c>
    </row>
    <row r="67" spans="1:17" x14ac:dyDescent="0.25">
      <c r="A67" t="str">
        <f t="shared" si="6"/>
        <v/>
      </c>
      <c r="B67" s="4" t="str">
        <f t="shared" ca="1" si="7"/>
        <v/>
      </c>
      <c r="C67" s="5" t="str">
        <f t="shared" ca="1" si="8"/>
        <v/>
      </c>
      <c r="G67" s="6"/>
      <c r="H67" s="3" t="str">
        <f>IFERROR(IF(E67="Mayorista",IF(INDEX('04_PRODUCTOS'!$F$2:$F$501,MATCH(F67,'04_PRODUCTOS'!$B$2:$B$501,0))="",INDEX('04_PRODUCTOS'!$E$2:$E$501,MATCH(F67,'04_PRODUCTOS'!$B$2:$B$501,0)),INDEX('04_PRODUCTOS'!$F$2:$F$501,MATCH(F67,'04_PRODUCTOS'!$B$2:$B$501,0))),IF(E67="Especial",IF(INDEX('04_PRODUCTOS'!$G$2:$G$501,MATCH(F67,'04_PRODUCTOS'!$B$2:$B$501,0))="",INDEX('04_PRODUCTOS'!$E$2:$E$501,MATCH(F67,'04_PRODUCTOS'!$B$2:$B$501,0)),INDEX('04_PRODUCTOS'!$G$2:$G$501,MATCH(F67,'04_PRODUCTOS'!$B$2:$B$501,0))),INDEX('04_PRODUCTOS'!$E$2:$E$501,MATCH(F67,'04_PRODUCTOS'!$B$2:$B$501,0)))),"")</f>
        <v/>
      </c>
      <c r="I67" s="3" t="str">
        <f t="shared" si="9"/>
        <v/>
      </c>
      <c r="J67" s="3" t="str">
        <f>IFERROR(IF(INDEX('04_PRODUCTOS'!$D$2:$D$501,MATCH(F67,'04_PRODUCTOS'!$B$2:$B$501,0))="","",I67-(G67*INDEX('04_PRODUCTOS'!$D$2:$D$501,MATCH(F67,'04_PRODUCTOS'!$B$2:$B$501,0)))),"")</f>
        <v/>
      </c>
      <c r="K67" s="7" t="str">
        <f t="shared" si="10"/>
        <v/>
      </c>
      <c r="O67" t="str">
        <f>IF(D67="","",IFERROR(INDEX('03_CLIENTES'!$A$2:$A$501,MATCH(D67,'03_CLIENTES'!$B$2:$B$501,0)),""))</f>
        <v/>
      </c>
      <c r="P67" t="str">
        <f>IF(F67="","",IFERROR(INDEX('04_PRODUCTOS'!$A$2:$A$501,MATCH(F67,'04_PRODUCTOS'!$B$2:$B$501,0)),""))</f>
        <v/>
      </c>
      <c r="Q67" t="str">
        <f t="shared" si="11"/>
        <v/>
      </c>
    </row>
    <row r="68" spans="1:17" x14ac:dyDescent="0.25">
      <c r="A68" t="str">
        <f t="shared" si="6"/>
        <v/>
      </c>
      <c r="B68" s="4" t="str">
        <f t="shared" ca="1" si="7"/>
        <v/>
      </c>
      <c r="C68" s="5" t="str">
        <f t="shared" ca="1" si="8"/>
        <v/>
      </c>
      <c r="G68" s="6"/>
      <c r="H68" s="3" t="str">
        <f>IFERROR(IF(E68="Mayorista",IF(INDEX('04_PRODUCTOS'!$F$2:$F$501,MATCH(F68,'04_PRODUCTOS'!$B$2:$B$501,0))="",INDEX('04_PRODUCTOS'!$E$2:$E$501,MATCH(F68,'04_PRODUCTOS'!$B$2:$B$501,0)),INDEX('04_PRODUCTOS'!$F$2:$F$501,MATCH(F68,'04_PRODUCTOS'!$B$2:$B$501,0))),IF(E68="Especial",IF(INDEX('04_PRODUCTOS'!$G$2:$G$501,MATCH(F68,'04_PRODUCTOS'!$B$2:$B$501,0))="",INDEX('04_PRODUCTOS'!$E$2:$E$501,MATCH(F68,'04_PRODUCTOS'!$B$2:$B$501,0)),INDEX('04_PRODUCTOS'!$G$2:$G$501,MATCH(F68,'04_PRODUCTOS'!$B$2:$B$501,0))),INDEX('04_PRODUCTOS'!$E$2:$E$501,MATCH(F68,'04_PRODUCTOS'!$B$2:$B$501,0)))),"")</f>
        <v/>
      </c>
      <c r="I68" s="3" t="str">
        <f t="shared" si="9"/>
        <v/>
      </c>
      <c r="J68" s="3" t="str">
        <f>IFERROR(IF(INDEX('04_PRODUCTOS'!$D$2:$D$501,MATCH(F68,'04_PRODUCTOS'!$B$2:$B$501,0))="","",I68-(G68*INDEX('04_PRODUCTOS'!$D$2:$D$501,MATCH(F68,'04_PRODUCTOS'!$B$2:$B$501,0)))),"")</f>
        <v/>
      </c>
      <c r="K68" s="7" t="str">
        <f t="shared" si="10"/>
        <v/>
      </c>
      <c r="O68" t="str">
        <f>IF(D68="","",IFERROR(INDEX('03_CLIENTES'!$A$2:$A$501,MATCH(D68,'03_CLIENTES'!$B$2:$B$501,0)),""))</f>
        <v/>
      </c>
      <c r="P68" t="str">
        <f>IF(F68="","",IFERROR(INDEX('04_PRODUCTOS'!$A$2:$A$501,MATCH(F68,'04_PRODUCTOS'!$B$2:$B$501,0)),""))</f>
        <v/>
      </c>
      <c r="Q68" t="str">
        <f t="shared" si="11"/>
        <v/>
      </c>
    </row>
    <row r="69" spans="1:17" x14ac:dyDescent="0.25">
      <c r="A69" t="str">
        <f t="shared" si="6"/>
        <v/>
      </c>
      <c r="B69" s="4" t="str">
        <f t="shared" ca="1" si="7"/>
        <v/>
      </c>
      <c r="C69" s="5" t="str">
        <f t="shared" ca="1" si="8"/>
        <v/>
      </c>
      <c r="G69" s="6"/>
      <c r="H69" s="3" t="str">
        <f>IFERROR(IF(E69="Mayorista",IF(INDEX('04_PRODUCTOS'!$F$2:$F$501,MATCH(F69,'04_PRODUCTOS'!$B$2:$B$501,0))="",INDEX('04_PRODUCTOS'!$E$2:$E$501,MATCH(F69,'04_PRODUCTOS'!$B$2:$B$501,0)),INDEX('04_PRODUCTOS'!$F$2:$F$501,MATCH(F69,'04_PRODUCTOS'!$B$2:$B$501,0))),IF(E69="Especial",IF(INDEX('04_PRODUCTOS'!$G$2:$G$501,MATCH(F69,'04_PRODUCTOS'!$B$2:$B$501,0))="",INDEX('04_PRODUCTOS'!$E$2:$E$501,MATCH(F69,'04_PRODUCTOS'!$B$2:$B$501,0)),INDEX('04_PRODUCTOS'!$G$2:$G$501,MATCH(F69,'04_PRODUCTOS'!$B$2:$B$501,0))),INDEX('04_PRODUCTOS'!$E$2:$E$501,MATCH(F69,'04_PRODUCTOS'!$B$2:$B$501,0)))),"")</f>
        <v/>
      </c>
      <c r="I69" s="3" t="str">
        <f t="shared" si="9"/>
        <v/>
      </c>
      <c r="J69" s="3" t="str">
        <f>IFERROR(IF(INDEX('04_PRODUCTOS'!$D$2:$D$501,MATCH(F69,'04_PRODUCTOS'!$B$2:$B$501,0))="","",I69-(G69*INDEX('04_PRODUCTOS'!$D$2:$D$501,MATCH(F69,'04_PRODUCTOS'!$B$2:$B$501,0)))),"")</f>
        <v/>
      </c>
      <c r="K69" s="7" t="str">
        <f t="shared" si="10"/>
        <v/>
      </c>
      <c r="O69" t="str">
        <f>IF(D69="","",IFERROR(INDEX('03_CLIENTES'!$A$2:$A$501,MATCH(D69,'03_CLIENTES'!$B$2:$B$501,0)),""))</f>
        <v/>
      </c>
      <c r="P69" t="str">
        <f>IF(F69="","",IFERROR(INDEX('04_PRODUCTOS'!$A$2:$A$501,MATCH(F69,'04_PRODUCTOS'!$B$2:$B$501,0)),""))</f>
        <v/>
      </c>
      <c r="Q69" t="str">
        <f t="shared" si="11"/>
        <v/>
      </c>
    </row>
    <row r="70" spans="1:17" x14ac:dyDescent="0.25">
      <c r="A70" t="str">
        <f t="shared" si="6"/>
        <v/>
      </c>
      <c r="B70" s="4" t="str">
        <f t="shared" ca="1" si="7"/>
        <v/>
      </c>
      <c r="C70" s="5" t="str">
        <f t="shared" ca="1" si="8"/>
        <v/>
      </c>
      <c r="G70" s="6"/>
      <c r="H70" s="3" t="str">
        <f>IFERROR(IF(E70="Mayorista",IF(INDEX('04_PRODUCTOS'!$F$2:$F$501,MATCH(F70,'04_PRODUCTOS'!$B$2:$B$501,0))="",INDEX('04_PRODUCTOS'!$E$2:$E$501,MATCH(F70,'04_PRODUCTOS'!$B$2:$B$501,0)),INDEX('04_PRODUCTOS'!$F$2:$F$501,MATCH(F70,'04_PRODUCTOS'!$B$2:$B$501,0))),IF(E70="Especial",IF(INDEX('04_PRODUCTOS'!$G$2:$G$501,MATCH(F70,'04_PRODUCTOS'!$B$2:$B$501,0))="",INDEX('04_PRODUCTOS'!$E$2:$E$501,MATCH(F70,'04_PRODUCTOS'!$B$2:$B$501,0)),INDEX('04_PRODUCTOS'!$G$2:$G$501,MATCH(F70,'04_PRODUCTOS'!$B$2:$B$501,0))),INDEX('04_PRODUCTOS'!$E$2:$E$501,MATCH(F70,'04_PRODUCTOS'!$B$2:$B$501,0)))),"")</f>
        <v/>
      </c>
      <c r="I70" s="3" t="str">
        <f t="shared" si="9"/>
        <v/>
      </c>
      <c r="J70" s="3" t="str">
        <f>IFERROR(IF(INDEX('04_PRODUCTOS'!$D$2:$D$501,MATCH(F70,'04_PRODUCTOS'!$B$2:$B$501,0))="","",I70-(G70*INDEX('04_PRODUCTOS'!$D$2:$D$501,MATCH(F70,'04_PRODUCTOS'!$B$2:$B$501,0)))),"")</f>
        <v/>
      </c>
      <c r="K70" s="7" t="str">
        <f t="shared" si="10"/>
        <v/>
      </c>
      <c r="O70" t="str">
        <f>IF(D70="","",IFERROR(INDEX('03_CLIENTES'!$A$2:$A$501,MATCH(D70,'03_CLIENTES'!$B$2:$B$501,0)),""))</f>
        <v/>
      </c>
      <c r="P70" t="str">
        <f>IF(F70="","",IFERROR(INDEX('04_PRODUCTOS'!$A$2:$A$501,MATCH(F70,'04_PRODUCTOS'!$B$2:$B$501,0)),""))</f>
        <v/>
      </c>
      <c r="Q70" t="str">
        <f t="shared" si="11"/>
        <v/>
      </c>
    </row>
    <row r="71" spans="1:17" x14ac:dyDescent="0.25">
      <c r="A71" t="str">
        <f t="shared" si="6"/>
        <v/>
      </c>
      <c r="B71" s="4" t="str">
        <f t="shared" ca="1" si="7"/>
        <v/>
      </c>
      <c r="C71" s="5" t="str">
        <f t="shared" ca="1" si="8"/>
        <v/>
      </c>
      <c r="G71" s="6"/>
      <c r="H71" s="3" t="str">
        <f>IFERROR(IF(E71="Mayorista",IF(INDEX('04_PRODUCTOS'!$F$2:$F$501,MATCH(F71,'04_PRODUCTOS'!$B$2:$B$501,0))="",INDEX('04_PRODUCTOS'!$E$2:$E$501,MATCH(F71,'04_PRODUCTOS'!$B$2:$B$501,0)),INDEX('04_PRODUCTOS'!$F$2:$F$501,MATCH(F71,'04_PRODUCTOS'!$B$2:$B$501,0))),IF(E71="Especial",IF(INDEX('04_PRODUCTOS'!$G$2:$G$501,MATCH(F71,'04_PRODUCTOS'!$B$2:$B$501,0))="",INDEX('04_PRODUCTOS'!$E$2:$E$501,MATCH(F71,'04_PRODUCTOS'!$B$2:$B$501,0)),INDEX('04_PRODUCTOS'!$G$2:$G$501,MATCH(F71,'04_PRODUCTOS'!$B$2:$B$501,0))),INDEX('04_PRODUCTOS'!$E$2:$E$501,MATCH(F71,'04_PRODUCTOS'!$B$2:$B$501,0)))),"")</f>
        <v/>
      </c>
      <c r="I71" s="3" t="str">
        <f t="shared" si="9"/>
        <v/>
      </c>
      <c r="J71" s="3" t="str">
        <f>IFERROR(IF(INDEX('04_PRODUCTOS'!$D$2:$D$501,MATCH(F71,'04_PRODUCTOS'!$B$2:$B$501,0))="","",I71-(G71*INDEX('04_PRODUCTOS'!$D$2:$D$501,MATCH(F71,'04_PRODUCTOS'!$B$2:$B$501,0)))),"")</f>
        <v/>
      </c>
      <c r="K71" s="7" t="str">
        <f t="shared" si="10"/>
        <v/>
      </c>
      <c r="O71" t="str">
        <f>IF(D71="","",IFERROR(INDEX('03_CLIENTES'!$A$2:$A$501,MATCH(D71,'03_CLIENTES'!$B$2:$B$501,0)),""))</f>
        <v/>
      </c>
      <c r="P71" t="str">
        <f>IF(F71="","",IFERROR(INDEX('04_PRODUCTOS'!$A$2:$A$501,MATCH(F71,'04_PRODUCTOS'!$B$2:$B$501,0)),""))</f>
        <v/>
      </c>
      <c r="Q71" t="str">
        <f t="shared" si="11"/>
        <v/>
      </c>
    </row>
    <row r="72" spans="1:17" x14ac:dyDescent="0.25">
      <c r="A72" t="str">
        <f t="shared" si="6"/>
        <v/>
      </c>
      <c r="B72" s="4" t="str">
        <f t="shared" ca="1" si="7"/>
        <v/>
      </c>
      <c r="C72" s="5" t="str">
        <f t="shared" ca="1" si="8"/>
        <v/>
      </c>
      <c r="G72" s="6"/>
      <c r="H72" s="3" t="str">
        <f>IFERROR(IF(E72="Mayorista",IF(INDEX('04_PRODUCTOS'!$F$2:$F$501,MATCH(F72,'04_PRODUCTOS'!$B$2:$B$501,0))="",INDEX('04_PRODUCTOS'!$E$2:$E$501,MATCH(F72,'04_PRODUCTOS'!$B$2:$B$501,0)),INDEX('04_PRODUCTOS'!$F$2:$F$501,MATCH(F72,'04_PRODUCTOS'!$B$2:$B$501,0))),IF(E72="Especial",IF(INDEX('04_PRODUCTOS'!$G$2:$G$501,MATCH(F72,'04_PRODUCTOS'!$B$2:$B$501,0))="",INDEX('04_PRODUCTOS'!$E$2:$E$501,MATCH(F72,'04_PRODUCTOS'!$B$2:$B$501,0)),INDEX('04_PRODUCTOS'!$G$2:$G$501,MATCH(F72,'04_PRODUCTOS'!$B$2:$B$501,0))),INDEX('04_PRODUCTOS'!$E$2:$E$501,MATCH(F72,'04_PRODUCTOS'!$B$2:$B$501,0)))),"")</f>
        <v/>
      </c>
      <c r="I72" s="3" t="str">
        <f t="shared" si="9"/>
        <v/>
      </c>
      <c r="J72" s="3" t="str">
        <f>IFERROR(IF(INDEX('04_PRODUCTOS'!$D$2:$D$501,MATCH(F72,'04_PRODUCTOS'!$B$2:$B$501,0))="","",I72-(G72*INDEX('04_PRODUCTOS'!$D$2:$D$501,MATCH(F72,'04_PRODUCTOS'!$B$2:$B$501,0)))),"")</f>
        <v/>
      </c>
      <c r="K72" s="7" t="str">
        <f t="shared" si="10"/>
        <v/>
      </c>
      <c r="O72" t="str">
        <f>IF(D72="","",IFERROR(INDEX('03_CLIENTES'!$A$2:$A$501,MATCH(D72,'03_CLIENTES'!$B$2:$B$501,0)),""))</f>
        <v/>
      </c>
      <c r="P72" t="str">
        <f>IF(F72="","",IFERROR(INDEX('04_PRODUCTOS'!$A$2:$A$501,MATCH(F72,'04_PRODUCTOS'!$B$2:$B$501,0)),""))</f>
        <v/>
      </c>
      <c r="Q72" t="str">
        <f t="shared" si="11"/>
        <v/>
      </c>
    </row>
    <row r="73" spans="1:17" x14ac:dyDescent="0.25">
      <c r="A73" t="str">
        <f t="shared" si="6"/>
        <v/>
      </c>
      <c r="B73" s="4" t="str">
        <f t="shared" ca="1" si="7"/>
        <v/>
      </c>
      <c r="C73" s="5" t="str">
        <f t="shared" ca="1" si="8"/>
        <v/>
      </c>
      <c r="G73" s="6"/>
      <c r="H73" s="3" t="str">
        <f>IFERROR(IF(E73="Mayorista",IF(INDEX('04_PRODUCTOS'!$F$2:$F$501,MATCH(F73,'04_PRODUCTOS'!$B$2:$B$501,0))="",INDEX('04_PRODUCTOS'!$E$2:$E$501,MATCH(F73,'04_PRODUCTOS'!$B$2:$B$501,0)),INDEX('04_PRODUCTOS'!$F$2:$F$501,MATCH(F73,'04_PRODUCTOS'!$B$2:$B$501,0))),IF(E73="Especial",IF(INDEX('04_PRODUCTOS'!$G$2:$G$501,MATCH(F73,'04_PRODUCTOS'!$B$2:$B$501,0))="",INDEX('04_PRODUCTOS'!$E$2:$E$501,MATCH(F73,'04_PRODUCTOS'!$B$2:$B$501,0)),INDEX('04_PRODUCTOS'!$G$2:$G$501,MATCH(F73,'04_PRODUCTOS'!$B$2:$B$501,0))),INDEX('04_PRODUCTOS'!$E$2:$E$501,MATCH(F73,'04_PRODUCTOS'!$B$2:$B$501,0)))),"")</f>
        <v/>
      </c>
      <c r="I73" s="3" t="str">
        <f t="shared" si="9"/>
        <v/>
      </c>
      <c r="J73" s="3" t="str">
        <f>IFERROR(IF(INDEX('04_PRODUCTOS'!$D$2:$D$501,MATCH(F73,'04_PRODUCTOS'!$B$2:$B$501,0))="","",I73-(G73*INDEX('04_PRODUCTOS'!$D$2:$D$501,MATCH(F73,'04_PRODUCTOS'!$B$2:$B$501,0)))),"")</f>
        <v/>
      </c>
      <c r="K73" s="7" t="str">
        <f t="shared" si="10"/>
        <v/>
      </c>
      <c r="O73" t="str">
        <f>IF(D73="","",IFERROR(INDEX('03_CLIENTES'!$A$2:$A$501,MATCH(D73,'03_CLIENTES'!$B$2:$B$501,0)),""))</f>
        <v/>
      </c>
      <c r="P73" t="str">
        <f>IF(F73="","",IFERROR(INDEX('04_PRODUCTOS'!$A$2:$A$501,MATCH(F73,'04_PRODUCTOS'!$B$2:$B$501,0)),""))</f>
        <v/>
      </c>
      <c r="Q73" t="str">
        <f t="shared" si="11"/>
        <v/>
      </c>
    </row>
    <row r="74" spans="1:17" x14ac:dyDescent="0.25">
      <c r="A74" t="str">
        <f t="shared" si="6"/>
        <v/>
      </c>
      <c r="B74" s="4" t="str">
        <f t="shared" ca="1" si="7"/>
        <v/>
      </c>
      <c r="C74" s="5" t="str">
        <f t="shared" ca="1" si="8"/>
        <v/>
      </c>
      <c r="G74" s="6"/>
      <c r="H74" s="3" t="str">
        <f>IFERROR(IF(E74="Mayorista",IF(INDEX('04_PRODUCTOS'!$F$2:$F$501,MATCH(F74,'04_PRODUCTOS'!$B$2:$B$501,0))="",INDEX('04_PRODUCTOS'!$E$2:$E$501,MATCH(F74,'04_PRODUCTOS'!$B$2:$B$501,0)),INDEX('04_PRODUCTOS'!$F$2:$F$501,MATCH(F74,'04_PRODUCTOS'!$B$2:$B$501,0))),IF(E74="Especial",IF(INDEX('04_PRODUCTOS'!$G$2:$G$501,MATCH(F74,'04_PRODUCTOS'!$B$2:$B$501,0))="",INDEX('04_PRODUCTOS'!$E$2:$E$501,MATCH(F74,'04_PRODUCTOS'!$B$2:$B$501,0)),INDEX('04_PRODUCTOS'!$G$2:$G$501,MATCH(F74,'04_PRODUCTOS'!$B$2:$B$501,0))),INDEX('04_PRODUCTOS'!$E$2:$E$501,MATCH(F74,'04_PRODUCTOS'!$B$2:$B$501,0)))),"")</f>
        <v/>
      </c>
      <c r="I74" s="3" t="str">
        <f t="shared" si="9"/>
        <v/>
      </c>
      <c r="J74" s="3" t="str">
        <f>IFERROR(IF(INDEX('04_PRODUCTOS'!$D$2:$D$501,MATCH(F74,'04_PRODUCTOS'!$B$2:$B$501,0))="","",I74-(G74*INDEX('04_PRODUCTOS'!$D$2:$D$501,MATCH(F74,'04_PRODUCTOS'!$B$2:$B$501,0)))),"")</f>
        <v/>
      </c>
      <c r="K74" s="7" t="str">
        <f t="shared" si="10"/>
        <v/>
      </c>
      <c r="O74" t="str">
        <f>IF(D74="","",IFERROR(INDEX('03_CLIENTES'!$A$2:$A$501,MATCH(D74,'03_CLIENTES'!$B$2:$B$501,0)),""))</f>
        <v/>
      </c>
      <c r="P74" t="str">
        <f>IF(F74="","",IFERROR(INDEX('04_PRODUCTOS'!$A$2:$A$501,MATCH(F74,'04_PRODUCTOS'!$B$2:$B$501,0)),""))</f>
        <v/>
      </c>
      <c r="Q74" t="str">
        <f t="shared" si="11"/>
        <v/>
      </c>
    </row>
    <row r="75" spans="1:17" x14ac:dyDescent="0.25">
      <c r="A75" t="str">
        <f t="shared" si="6"/>
        <v/>
      </c>
      <c r="B75" s="4" t="str">
        <f t="shared" ca="1" si="7"/>
        <v/>
      </c>
      <c r="C75" s="5" t="str">
        <f t="shared" ca="1" si="8"/>
        <v/>
      </c>
      <c r="G75" s="6"/>
      <c r="H75" s="3" t="str">
        <f>IFERROR(IF(E75="Mayorista",IF(INDEX('04_PRODUCTOS'!$F$2:$F$501,MATCH(F75,'04_PRODUCTOS'!$B$2:$B$501,0))="",INDEX('04_PRODUCTOS'!$E$2:$E$501,MATCH(F75,'04_PRODUCTOS'!$B$2:$B$501,0)),INDEX('04_PRODUCTOS'!$F$2:$F$501,MATCH(F75,'04_PRODUCTOS'!$B$2:$B$501,0))),IF(E75="Especial",IF(INDEX('04_PRODUCTOS'!$G$2:$G$501,MATCH(F75,'04_PRODUCTOS'!$B$2:$B$501,0))="",INDEX('04_PRODUCTOS'!$E$2:$E$501,MATCH(F75,'04_PRODUCTOS'!$B$2:$B$501,0)),INDEX('04_PRODUCTOS'!$G$2:$G$501,MATCH(F75,'04_PRODUCTOS'!$B$2:$B$501,0))),INDEX('04_PRODUCTOS'!$E$2:$E$501,MATCH(F75,'04_PRODUCTOS'!$B$2:$B$501,0)))),"")</f>
        <v/>
      </c>
      <c r="I75" s="3" t="str">
        <f t="shared" si="9"/>
        <v/>
      </c>
      <c r="J75" s="3" t="str">
        <f>IFERROR(IF(INDEX('04_PRODUCTOS'!$D$2:$D$501,MATCH(F75,'04_PRODUCTOS'!$B$2:$B$501,0))="","",I75-(G75*INDEX('04_PRODUCTOS'!$D$2:$D$501,MATCH(F75,'04_PRODUCTOS'!$B$2:$B$501,0)))),"")</f>
        <v/>
      </c>
      <c r="K75" s="7" t="str">
        <f t="shared" si="10"/>
        <v/>
      </c>
      <c r="O75" t="str">
        <f>IF(D75="","",IFERROR(INDEX('03_CLIENTES'!$A$2:$A$501,MATCH(D75,'03_CLIENTES'!$B$2:$B$501,0)),""))</f>
        <v/>
      </c>
      <c r="P75" t="str">
        <f>IF(F75="","",IFERROR(INDEX('04_PRODUCTOS'!$A$2:$A$501,MATCH(F75,'04_PRODUCTOS'!$B$2:$B$501,0)),""))</f>
        <v/>
      </c>
      <c r="Q75" t="str">
        <f t="shared" si="11"/>
        <v/>
      </c>
    </row>
    <row r="76" spans="1:17" x14ac:dyDescent="0.25">
      <c r="A76" t="str">
        <f t="shared" si="6"/>
        <v/>
      </c>
      <c r="B76" s="4" t="str">
        <f t="shared" ca="1" si="7"/>
        <v/>
      </c>
      <c r="C76" s="5" t="str">
        <f t="shared" ca="1" si="8"/>
        <v/>
      </c>
      <c r="G76" s="6"/>
      <c r="H76" s="3" t="str">
        <f>IFERROR(IF(E76="Mayorista",IF(INDEX('04_PRODUCTOS'!$F$2:$F$501,MATCH(F76,'04_PRODUCTOS'!$B$2:$B$501,0))="",INDEX('04_PRODUCTOS'!$E$2:$E$501,MATCH(F76,'04_PRODUCTOS'!$B$2:$B$501,0)),INDEX('04_PRODUCTOS'!$F$2:$F$501,MATCH(F76,'04_PRODUCTOS'!$B$2:$B$501,0))),IF(E76="Especial",IF(INDEX('04_PRODUCTOS'!$G$2:$G$501,MATCH(F76,'04_PRODUCTOS'!$B$2:$B$501,0))="",INDEX('04_PRODUCTOS'!$E$2:$E$501,MATCH(F76,'04_PRODUCTOS'!$B$2:$B$501,0)),INDEX('04_PRODUCTOS'!$G$2:$G$501,MATCH(F76,'04_PRODUCTOS'!$B$2:$B$501,0))),INDEX('04_PRODUCTOS'!$E$2:$E$501,MATCH(F76,'04_PRODUCTOS'!$B$2:$B$501,0)))),"")</f>
        <v/>
      </c>
      <c r="I76" s="3" t="str">
        <f t="shared" si="9"/>
        <v/>
      </c>
      <c r="J76" s="3" t="str">
        <f>IFERROR(IF(INDEX('04_PRODUCTOS'!$D$2:$D$501,MATCH(F76,'04_PRODUCTOS'!$B$2:$B$501,0))="","",I76-(G76*INDEX('04_PRODUCTOS'!$D$2:$D$501,MATCH(F76,'04_PRODUCTOS'!$B$2:$B$501,0)))),"")</f>
        <v/>
      </c>
      <c r="K76" s="7" t="str">
        <f t="shared" si="10"/>
        <v/>
      </c>
      <c r="O76" t="str">
        <f>IF(D76="","",IFERROR(INDEX('03_CLIENTES'!$A$2:$A$501,MATCH(D76,'03_CLIENTES'!$B$2:$B$501,0)),""))</f>
        <v/>
      </c>
      <c r="P76" t="str">
        <f>IF(F76="","",IFERROR(INDEX('04_PRODUCTOS'!$A$2:$A$501,MATCH(F76,'04_PRODUCTOS'!$B$2:$B$501,0)),""))</f>
        <v/>
      </c>
      <c r="Q76" t="str">
        <f t="shared" si="11"/>
        <v/>
      </c>
    </row>
    <row r="77" spans="1:17" x14ac:dyDescent="0.25">
      <c r="A77" t="str">
        <f t="shared" si="6"/>
        <v/>
      </c>
      <c r="B77" s="4" t="str">
        <f t="shared" ca="1" si="7"/>
        <v/>
      </c>
      <c r="C77" s="5" t="str">
        <f t="shared" ca="1" si="8"/>
        <v/>
      </c>
      <c r="G77" s="6"/>
      <c r="H77" s="3" t="str">
        <f>IFERROR(IF(E77="Mayorista",IF(INDEX('04_PRODUCTOS'!$F$2:$F$501,MATCH(F77,'04_PRODUCTOS'!$B$2:$B$501,0))="",INDEX('04_PRODUCTOS'!$E$2:$E$501,MATCH(F77,'04_PRODUCTOS'!$B$2:$B$501,0)),INDEX('04_PRODUCTOS'!$F$2:$F$501,MATCH(F77,'04_PRODUCTOS'!$B$2:$B$501,0))),IF(E77="Especial",IF(INDEX('04_PRODUCTOS'!$G$2:$G$501,MATCH(F77,'04_PRODUCTOS'!$B$2:$B$501,0))="",INDEX('04_PRODUCTOS'!$E$2:$E$501,MATCH(F77,'04_PRODUCTOS'!$B$2:$B$501,0)),INDEX('04_PRODUCTOS'!$G$2:$G$501,MATCH(F77,'04_PRODUCTOS'!$B$2:$B$501,0))),INDEX('04_PRODUCTOS'!$E$2:$E$501,MATCH(F77,'04_PRODUCTOS'!$B$2:$B$501,0)))),"")</f>
        <v/>
      </c>
      <c r="I77" s="3" t="str">
        <f t="shared" si="9"/>
        <v/>
      </c>
      <c r="J77" s="3" t="str">
        <f>IFERROR(IF(INDEX('04_PRODUCTOS'!$D$2:$D$501,MATCH(F77,'04_PRODUCTOS'!$B$2:$B$501,0))="","",I77-(G77*INDEX('04_PRODUCTOS'!$D$2:$D$501,MATCH(F77,'04_PRODUCTOS'!$B$2:$B$501,0)))),"")</f>
        <v/>
      </c>
      <c r="K77" s="7" t="str">
        <f t="shared" si="10"/>
        <v/>
      </c>
      <c r="O77" t="str">
        <f>IF(D77="","",IFERROR(INDEX('03_CLIENTES'!$A$2:$A$501,MATCH(D77,'03_CLIENTES'!$B$2:$B$501,0)),""))</f>
        <v/>
      </c>
      <c r="P77" t="str">
        <f>IF(F77="","",IFERROR(INDEX('04_PRODUCTOS'!$A$2:$A$501,MATCH(F77,'04_PRODUCTOS'!$B$2:$B$501,0)),""))</f>
        <v/>
      </c>
      <c r="Q77" t="str">
        <f t="shared" si="11"/>
        <v/>
      </c>
    </row>
    <row r="78" spans="1:17" x14ac:dyDescent="0.25">
      <c r="A78" t="str">
        <f t="shared" si="6"/>
        <v/>
      </c>
      <c r="B78" s="4" t="str">
        <f t="shared" ca="1" si="7"/>
        <v/>
      </c>
      <c r="C78" s="5" t="str">
        <f t="shared" ca="1" si="8"/>
        <v/>
      </c>
      <c r="G78" s="6"/>
      <c r="H78" s="3" t="str">
        <f>IFERROR(IF(E78="Mayorista",IF(INDEX('04_PRODUCTOS'!$F$2:$F$501,MATCH(F78,'04_PRODUCTOS'!$B$2:$B$501,0))="",INDEX('04_PRODUCTOS'!$E$2:$E$501,MATCH(F78,'04_PRODUCTOS'!$B$2:$B$501,0)),INDEX('04_PRODUCTOS'!$F$2:$F$501,MATCH(F78,'04_PRODUCTOS'!$B$2:$B$501,0))),IF(E78="Especial",IF(INDEX('04_PRODUCTOS'!$G$2:$G$501,MATCH(F78,'04_PRODUCTOS'!$B$2:$B$501,0))="",INDEX('04_PRODUCTOS'!$E$2:$E$501,MATCH(F78,'04_PRODUCTOS'!$B$2:$B$501,0)),INDEX('04_PRODUCTOS'!$G$2:$G$501,MATCH(F78,'04_PRODUCTOS'!$B$2:$B$501,0))),INDEX('04_PRODUCTOS'!$E$2:$E$501,MATCH(F78,'04_PRODUCTOS'!$B$2:$B$501,0)))),"")</f>
        <v/>
      </c>
      <c r="I78" s="3" t="str">
        <f t="shared" si="9"/>
        <v/>
      </c>
      <c r="J78" s="3" t="str">
        <f>IFERROR(IF(INDEX('04_PRODUCTOS'!$D$2:$D$501,MATCH(F78,'04_PRODUCTOS'!$B$2:$B$501,0))="","",I78-(G78*INDEX('04_PRODUCTOS'!$D$2:$D$501,MATCH(F78,'04_PRODUCTOS'!$B$2:$B$501,0)))),"")</f>
        <v/>
      </c>
      <c r="K78" s="7" t="str">
        <f t="shared" si="10"/>
        <v/>
      </c>
      <c r="O78" t="str">
        <f>IF(D78="","",IFERROR(INDEX('03_CLIENTES'!$A$2:$A$501,MATCH(D78,'03_CLIENTES'!$B$2:$B$501,0)),""))</f>
        <v/>
      </c>
      <c r="P78" t="str">
        <f>IF(F78="","",IFERROR(INDEX('04_PRODUCTOS'!$A$2:$A$501,MATCH(F78,'04_PRODUCTOS'!$B$2:$B$501,0)),""))</f>
        <v/>
      </c>
      <c r="Q78" t="str">
        <f t="shared" si="11"/>
        <v/>
      </c>
    </row>
    <row r="79" spans="1:17" x14ac:dyDescent="0.25">
      <c r="A79" t="str">
        <f t="shared" si="6"/>
        <v/>
      </c>
      <c r="B79" s="4" t="str">
        <f t="shared" ca="1" si="7"/>
        <v/>
      </c>
      <c r="C79" s="5" t="str">
        <f t="shared" ca="1" si="8"/>
        <v/>
      </c>
      <c r="G79" s="6"/>
      <c r="H79" s="3" t="str">
        <f>IFERROR(IF(E79="Mayorista",IF(INDEX('04_PRODUCTOS'!$F$2:$F$501,MATCH(F79,'04_PRODUCTOS'!$B$2:$B$501,0))="",INDEX('04_PRODUCTOS'!$E$2:$E$501,MATCH(F79,'04_PRODUCTOS'!$B$2:$B$501,0)),INDEX('04_PRODUCTOS'!$F$2:$F$501,MATCH(F79,'04_PRODUCTOS'!$B$2:$B$501,0))),IF(E79="Especial",IF(INDEX('04_PRODUCTOS'!$G$2:$G$501,MATCH(F79,'04_PRODUCTOS'!$B$2:$B$501,0))="",INDEX('04_PRODUCTOS'!$E$2:$E$501,MATCH(F79,'04_PRODUCTOS'!$B$2:$B$501,0)),INDEX('04_PRODUCTOS'!$G$2:$G$501,MATCH(F79,'04_PRODUCTOS'!$B$2:$B$501,0))),INDEX('04_PRODUCTOS'!$E$2:$E$501,MATCH(F79,'04_PRODUCTOS'!$B$2:$B$501,0)))),"")</f>
        <v/>
      </c>
      <c r="I79" s="3" t="str">
        <f t="shared" si="9"/>
        <v/>
      </c>
      <c r="J79" s="3" t="str">
        <f>IFERROR(IF(INDEX('04_PRODUCTOS'!$D$2:$D$501,MATCH(F79,'04_PRODUCTOS'!$B$2:$B$501,0))="","",I79-(G79*INDEX('04_PRODUCTOS'!$D$2:$D$501,MATCH(F79,'04_PRODUCTOS'!$B$2:$B$501,0)))),"")</f>
        <v/>
      </c>
      <c r="K79" s="7" t="str">
        <f t="shared" si="10"/>
        <v/>
      </c>
      <c r="O79" t="str">
        <f>IF(D79="","",IFERROR(INDEX('03_CLIENTES'!$A$2:$A$501,MATCH(D79,'03_CLIENTES'!$B$2:$B$501,0)),""))</f>
        <v/>
      </c>
      <c r="P79" t="str">
        <f>IF(F79="","",IFERROR(INDEX('04_PRODUCTOS'!$A$2:$A$501,MATCH(F79,'04_PRODUCTOS'!$B$2:$B$501,0)),""))</f>
        <v/>
      </c>
      <c r="Q79" t="str">
        <f t="shared" si="11"/>
        <v/>
      </c>
    </row>
    <row r="80" spans="1:17" x14ac:dyDescent="0.25">
      <c r="A80" t="str">
        <f t="shared" si="6"/>
        <v/>
      </c>
      <c r="B80" s="4" t="str">
        <f t="shared" ca="1" si="7"/>
        <v/>
      </c>
      <c r="C80" s="5" t="str">
        <f t="shared" ca="1" si="8"/>
        <v/>
      </c>
      <c r="G80" s="6"/>
      <c r="H80" s="3" t="str">
        <f>IFERROR(IF(E80="Mayorista",IF(INDEX('04_PRODUCTOS'!$F$2:$F$501,MATCH(F80,'04_PRODUCTOS'!$B$2:$B$501,0))="",INDEX('04_PRODUCTOS'!$E$2:$E$501,MATCH(F80,'04_PRODUCTOS'!$B$2:$B$501,0)),INDEX('04_PRODUCTOS'!$F$2:$F$501,MATCH(F80,'04_PRODUCTOS'!$B$2:$B$501,0))),IF(E80="Especial",IF(INDEX('04_PRODUCTOS'!$G$2:$G$501,MATCH(F80,'04_PRODUCTOS'!$B$2:$B$501,0))="",INDEX('04_PRODUCTOS'!$E$2:$E$501,MATCH(F80,'04_PRODUCTOS'!$B$2:$B$501,0)),INDEX('04_PRODUCTOS'!$G$2:$G$501,MATCH(F80,'04_PRODUCTOS'!$B$2:$B$501,0))),INDEX('04_PRODUCTOS'!$E$2:$E$501,MATCH(F80,'04_PRODUCTOS'!$B$2:$B$501,0)))),"")</f>
        <v/>
      </c>
      <c r="I80" s="3" t="str">
        <f t="shared" si="9"/>
        <v/>
      </c>
      <c r="J80" s="3" t="str">
        <f>IFERROR(IF(INDEX('04_PRODUCTOS'!$D$2:$D$501,MATCH(F80,'04_PRODUCTOS'!$B$2:$B$501,0))="","",I80-(G80*INDEX('04_PRODUCTOS'!$D$2:$D$501,MATCH(F80,'04_PRODUCTOS'!$B$2:$B$501,0)))),"")</f>
        <v/>
      </c>
      <c r="K80" s="7" t="str">
        <f t="shared" si="10"/>
        <v/>
      </c>
      <c r="O80" t="str">
        <f>IF(D80="","",IFERROR(INDEX('03_CLIENTES'!$A$2:$A$501,MATCH(D80,'03_CLIENTES'!$B$2:$B$501,0)),""))</f>
        <v/>
      </c>
      <c r="P80" t="str">
        <f>IF(F80="","",IFERROR(INDEX('04_PRODUCTOS'!$A$2:$A$501,MATCH(F80,'04_PRODUCTOS'!$B$2:$B$501,0)),""))</f>
        <v/>
      </c>
      <c r="Q80" t="str">
        <f t="shared" si="11"/>
        <v/>
      </c>
    </row>
    <row r="81" spans="1:17" x14ac:dyDescent="0.25">
      <c r="A81" t="str">
        <f t="shared" si="6"/>
        <v/>
      </c>
      <c r="B81" s="4" t="str">
        <f t="shared" ca="1" si="7"/>
        <v/>
      </c>
      <c r="C81" s="5" t="str">
        <f t="shared" ca="1" si="8"/>
        <v/>
      </c>
      <c r="G81" s="6"/>
      <c r="H81" s="3" t="str">
        <f>IFERROR(IF(E81="Mayorista",IF(INDEX('04_PRODUCTOS'!$F$2:$F$501,MATCH(F81,'04_PRODUCTOS'!$B$2:$B$501,0))="",INDEX('04_PRODUCTOS'!$E$2:$E$501,MATCH(F81,'04_PRODUCTOS'!$B$2:$B$501,0)),INDEX('04_PRODUCTOS'!$F$2:$F$501,MATCH(F81,'04_PRODUCTOS'!$B$2:$B$501,0))),IF(E81="Especial",IF(INDEX('04_PRODUCTOS'!$G$2:$G$501,MATCH(F81,'04_PRODUCTOS'!$B$2:$B$501,0))="",INDEX('04_PRODUCTOS'!$E$2:$E$501,MATCH(F81,'04_PRODUCTOS'!$B$2:$B$501,0)),INDEX('04_PRODUCTOS'!$G$2:$G$501,MATCH(F81,'04_PRODUCTOS'!$B$2:$B$501,0))),INDEX('04_PRODUCTOS'!$E$2:$E$501,MATCH(F81,'04_PRODUCTOS'!$B$2:$B$501,0)))),"")</f>
        <v/>
      </c>
      <c r="I81" s="3" t="str">
        <f t="shared" si="9"/>
        <v/>
      </c>
      <c r="J81" s="3" t="str">
        <f>IFERROR(IF(INDEX('04_PRODUCTOS'!$D$2:$D$501,MATCH(F81,'04_PRODUCTOS'!$B$2:$B$501,0))="","",I81-(G81*INDEX('04_PRODUCTOS'!$D$2:$D$501,MATCH(F81,'04_PRODUCTOS'!$B$2:$B$501,0)))),"")</f>
        <v/>
      </c>
      <c r="K81" s="7" t="str">
        <f t="shared" si="10"/>
        <v/>
      </c>
      <c r="O81" t="str">
        <f>IF(D81="","",IFERROR(INDEX('03_CLIENTES'!$A$2:$A$501,MATCH(D81,'03_CLIENTES'!$B$2:$B$501,0)),""))</f>
        <v/>
      </c>
      <c r="P81" t="str">
        <f>IF(F81="","",IFERROR(INDEX('04_PRODUCTOS'!$A$2:$A$501,MATCH(F81,'04_PRODUCTOS'!$B$2:$B$501,0)),""))</f>
        <v/>
      </c>
      <c r="Q81" t="str">
        <f t="shared" si="11"/>
        <v/>
      </c>
    </row>
    <row r="82" spans="1:17" x14ac:dyDescent="0.25">
      <c r="A82" t="str">
        <f t="shared" si="6"/>
        <v/>
      </c>
      <c r="B82" s="4" t="str">
        <f t="shared" ca="1" si="7"/>
        <v/>
      </c>
      <c r="C82" s="5" t="str">
        <f t="shared" ca="1" si="8"/>
        <v/>
      </c>
      <c r="G82" s="6"/>
      <c r="H82" s="3" t="str">
        <f>IFERROR(IF(E82="Mayorista",IF(INDEX('04_PRODUCTOS'!$F$2:$F$501,MATCH(F82,'04_PRODUCTOS'!$B$2:$B$501,0))="",INDEX('04_PRODUCTOS'!$E$2:$E$501,MATCH(F82,'04_PRODUCTOS'!$B$2:$B$501,0)),INDEX('04_PRODUCTOS'!$F$2:$F$501,MATCH(F82,'04_PRODUCTOS'!$B$2:$B$501,0))),IF(E82="Especial",IF(INDEX('04_PRODUCTOS'!$G$2:$G$501,MATCH(F82,'04_PRODUCTOS'!$B$2:$B$501,0))="",INDEX('04_PRODUCTOS'!$E$2:$E$501,MATCH(F82,'04_PRODUCTOS'!$B$2:$B$501,0)),INDEX('04_PRODUCTOS'!$G$2:$G$501,MATCH(F82,'04_PRODUCTOS'!$B$2:$B$501,0))),INDEX('04_PRODUCTOS'!$E$2:$E$501,MATCH(F82,'04_PRODUCTOS'!$B$2:$B$501,0)))),"")</f>
        <v/>
      </c>
      <c r="I82" s="3" t="str">
        <f t="shared" si="9"/>
        <v/>
      </c>
      <c r="J82" s="3" t="str">
        <f>IFERROR(IF(INDEX('04_PRODUCTOS'!$D$2:$D$501,MATCH(F82,'04_PRODUCTOS'!$B$2:$B$501,0))="","",I82-(G82*INDEX('04_PRODUCTOS'!$D$2:$D$501,MATCH(F82,'04_PRODUCTOS'!$B$2:$B$501,0)))),"")</f>
        <v/>
      </c>
      <c r="K82" s="7" t="str">
        <f t="shared" si="10"/>
        <v/>
      </c>
      <c r="O82" t="str">
        <f>IF(D82="","",IFERROR(INDEX('03_CLIENTES'!$A$2:$A$501,MATCH(D82,'03_CLIENTES'!$B$2:$B$501,0)),""))</f>
        <v/>
      </c>
      <c r="P82" t="str">
        <f>IF(F82="","",IFERROR(INDEX('04_PRODUCTOS'!$A$2:$A$501,MATCH(F82,'04_PRODUCTOS'!$B$2:$B$501,0)),""))</f>
        <v/>
      </c>
      <c r="Q82" t="str">
        <f t="shared" si="11"/>
        <v/>
      </c>
    </row>
    <row r="83" spans="1:17" x14ac:dyDescent="0.25">
      <c r="A83" t="str">
        <f t="shared" si="6"/>
        <v/>
      </c>
      <c r="B83" s="4" t="str">
        <f t="shared" ca="1" si="7"/>
        <v/>
      </c>
      <c r="C83" s="5" t="str">
        <f t="shared" ca="1" si="8"/>
        <v/>
      </c>
      <c r="G83" s="6"/>
      <c r="H83" s="3" t="str">
        <f>IFERROR(IF(E83="Mayorista",IF(INDEX('04_PRODUCTOS'!$F$2:$F$501,MATCH(F83,'04_PRODUCTOS'!$B$2:$B$501,0))="",INDEX('04_PRODUCTOS'!$E$2:$E$501,MATCH(F83,'04_PRODUCTOS'!$B$2:$B$501,0)),INDEX('04_PRODUCTOS'!$F$2:$F$501,MATCH(F83,'04_PRODUCTOS'!$B$2:$B$501,0))),IF(E83="Especial",IF(INDEX('04_PRODUCTOS'!$G$2:$G$501,MATCH(F83,'04_PRODUCTOS'!$B$2:$B$501,0))="",INDEX('04_PRODUCTOS'!$E$2:$E$501,MATCH(F83,'04_PRODUCTOS'!$B$2:$B$501,0)),INDEX('04_PRODUCTOS'!$G$2:$G$501,MATCH(F83,'04_PRODUCTOS'!$B$2:$B$501,0))),INDEX('04_PRODUCTOS'!$E$2:$E$501,MATCH(F83,'04_PRODUCTOS'!$B$2:$B$501,0)))),"")</f>
        <v/>
      </c>
      <c r="I83" s="3" t="str">
        <f t="shared" si="9"/>
        <v/>
      </c>
      <c r="J83" s="3" t="str">
        <f>IFERROR(IF(INDEX('04_PRODUCTOS'!$D$2:$D$501,MATCH(F83,'04_PRODUCTOS'!$B$2:$B$501,0))="","",I83-(G83*INDEX('04_PRODUCTOS'!$D$2:$D$501,MATCH(F83,'04_PRODUCTOS'!$B$2:$B$501,0)))),"")</f>
        <v/>
      </c>
      <c r="K83" s="7" t="str">
        <f t="shared" si="10"/>
        <v/>
      </c>
      <c r="O83" t="str">
        <f>IF(D83="","",IFERROR(INDEX('03_CLIENTES'!$A$2:$A$501,MATCH(D83,'03_CLIENTES'!$B$2:$B$501,0)),""))</f>
        <v/>
      </c>
      <c r="P83" t="str">
        <f>IF(F83="","",IFERROR(INDEX('04_PRODUCTOS'!$A$2:$A$501,MATCH(F83,'04_PRODUCTOS'!$B$2:$B$501,0)),""))</f>
        <v/>
      </c>
      <c r="Q83" t="str">
        <f t="shared" si="11"/>
        <v/>
      </c>
    </row>
    <row r="84" spans="1:17" x14ac:dyDescent="0.25">
      <c r="A84" t="str">
        <f t="shared" si="6"/>
        <v/>
      </c>
      <c r="B84" s="4" t="str">
        <f t="shared" ca="1" si="7"/>
        <v/>
      </c>
      <c r="C84" s="5" t="str">
        <f t="shared" ca="1" si="8"/>
        <v/>
      </c>
      <c r="G84" s="6"/>
      <c r="H84" s="3" t="str">
        <f>IFERROR(IF(E84="Mayorista",IF(INDEX('04_PRODUCTOS'!$F$2:$F$501,MATCH(F84,'04_PRODUCTOS'!$B$2:$B$501,0))="",INDEX('04_PRODUCTOS'!$E$2:$E$501,MATCH(F84,'04_PRODUCTOS'!$B$2:$B$501,0)),INDEX('04_PRODUCTOS'!$F$2:$F$501,MATCH(F84,'04_PRODUCTOS'!$B$2:$B$501,0))),IF(E84="Especial",IF(INDEX('04_PRODUCTOS'!$G$2:$G$501,MATCH(F84,'04_PRODUCTOS'!$B$2:$B$501,0))="",INDEX('04_PRODUCTOS'!$E$2:$E$501,MATCH(F84,'04_PRODUCTOS'!$B$2:$B$501,0)),INDEX('04_PRODUCTOS'!$G$2:$G$501,MATCH(F84,'04_PRODUCTOS'!$B$2:$B$501,0))),INDEX('04_PRODUCTOS'!$E$2:$E$501,MATCH(F84,'04_PRODUCTOS'!$B$2:$B$501,0)))),"")</f>
        <v/>
      </c>
      <c r="I84" s="3" t="str">
        <f t="shared" si="9"/>
        <v/>
      </c>
      <c r="J84" s="3" t="str">
        <f>IFERROR(IF(INDEX('04_PRODUCTOS'!$D$2:$D$501,MATCH(F84,'04_PRODUCTOS'!$B$2:$B$501,0))="","",I84-(G84*INDEX('04_PRODUCTOS'!$D$2:$D$501,MATCH(F84,'04_PRODUCTOS'!$B$2:$B$501,0)))),"")</f>
        <v/>
      </c>
      <c r="K84" s="7" t="str">
        <f t="shared" si="10"/>
        <v/>
      </c>
      <c r="O84" t="str">
        <f>IF(D84="","",IFERROR(INDEX('03_CLIENTES'!$A$2:$A$501,MATCH(D84,'03_CLIENTES'!$B$2:$B$501,0)),""))</f>
        <v/>
      </c>
      <c r="P84" t="str">
        <f>IF(F84="","",IFERROR(INDEX('04_PRODUCTOS'!$A$2:$A$501,MATCH(F84,'04_PRODUCTOS'!$B$2:$B$501,0)),""))</f>
        <v/>
      </c>
      <c r="Q84" t="str">
        <f t="shared" si="11"/>
        <v/>
      </c>
    </row>
    <row r="85" spans="1:17" x14ac:dyDescent="0.25">
      <c r="A85" t="str">
        <f t="shared" si="6"/>
        <v/>
      </c>
      <c r="B85" s="4" t="str">
        <f t="shared" ca="1" si="7"/>
        <v/>
      </c>
      <c r="C85" s="5" t="str">
        <f t="shared" ca="1" si="8"/>
        <v/>
      </c>
      <c r="G85" s="6"/>
      <c r="H85" s="3" t="str">
        <f>IFERROR(IF(E85="Mayorista",IF(INDEX('04_PRODUCTOS'!$F$2:$F$501,MATCH(F85,'04_PRODUCTOS'!$B$2:$B$501,0))="",INDEX('04_PRODUCTOS'!$E$2:$E$501,MATCH(F85,'04_PRODUCTOS'!$B$2:$B$501,0)),INDEX('04_PRODUCTOS'!$F$2:$F$501,MATCH(F85,'04_PRODUCTOS'!$B$2:$B$501,0))),IF(E85="Especial",IF(INDEX('04_PRODUCTOS'!$G$2:$G$501,MATCH(F85,'04_PRODUCTOS'!$B$2:$B$501,0))="",INDEX('04_PRODUCTOS'!$E$2:$E$501,MATCH(F85,'04_PRODUCTOS'!$B$2:$B$501,0)),INDEX('04_PRODUCTOS'!$G$2:$G$501,MATCH(F85,'04_PRODUCTOS'!$B$2:$B$501,0))),INDEX('04_PRODUCTOS'!$E$2:$E$501,MATCH(F85,'04_PRODUCTOS'!$B$2:$B$501,0)))),"")</f>
        <v/>
      </c>
      <c r="I85" s="3" t="str">
        <f t="shared" si="9"/>
        <v/>
      </c>
      <c r="J85" s="3" t="str">
        <f>IFERROR(IF(INDEX('04_PRODUCTOS'!$D$2:$D$501,MATCH(F85,'04_PRODUCTOS'!$B$2:$B$501,0))="","",I85-(G85*INDEX('04_PRODUCTOS'!$D$2:$D$501,MATCH(F85,'04_PRODUCTOS'!$B$2:$B$501,0)))),"")</f>
        <v/>
      </c>
      <c r="K85" s="7" t="str">
        <f t="shared" si="10"/>
        <v/>
      </c>
      <c r="O85" t="str">
        <f>IF(D85="","",IFERROR(INDEX('03_CLIENTES'!$A$2:$A$501,MATCH(D85,'03_CLIENTES'!$B$2:$B$501,0)),""))</f>
        <v/>
      </c>
      <c r="P85" t="str">
        <f>IF(F85="","",IFERROR(INDEX('04_PRODUCTOS'!$A$2:$A$501,MATCH(F85,'04_PRODUCTOS'!$B$2:$B$501,0)),""))</f>
        <v/>
      </c>
      <c r="Q85" t="str">
        <f t="shared" si="11"/>
        <v/>
      </c>
    </row>
    <row r="86" spans="1:17" x14ac:dyDescent="0.25">
      <c r="A86" t="str">
        <f t="shared" si="6"/>
        <v/>
      </c>
      <c r="B86" s="4" t="str">
        <f t="shared" ca="1" si="7"/>
        <v/>
      </c>
      <c r="C86" s="5" t="str">
        <f t="shared" ca="1" si="8"/>
        <v/>
      </c>
      <c r="G86" s="6"/>
      <c r="H86" s="3" t="str">
        <f>IFERROR(IF(E86="Mayorista",IF(INDEX('04_PRODUCTOS'!$F$2:$F$501,MATCH(F86,'04_PRODUCTOS'!$B$2:$B$501,0))="",INDEX('04_PRODUCTOS'!$E$2:$E$501,MATCH(F86,'04_PRODUCTOS'!$B$2:$B$501,0)),INDEX('04_PRODUCTOS'!$F$2:$F$501,MATCH(F86,'04_PRODUCTOS'!$B$2:$B$501,0))),IF(E86="Especial",IF(INDEX('04_PRODUCTOS'!$G$2:$G$501,MATCH(F86,'04_PRODUCTOS'!$B$2:$B$501,0))="",INDEX('04_PRODUCTOS'!$E$2:$E$501,MATCH(F86,'04_PRODUCTOS'!$B$2:$B$501,0)),INDEX('04_PRODUCTOS'!$G$2:$G$501,MATCH(F86,'04_PRODUCTOS'!$B$2:$B$501,0))),INDEX('04_PRODUCTOS'!$E$2:$E$501,MATCH(F86,'04_PRODUCTOS'!$B$2:$B$501,0)))),"")</f>
        <v/>
      </c>
      <c r="I86" s="3" t="str">
        <f t="shared" si="9"/>
        <v/>
      </c>
      <c r="J86" s="3" t="str">
        <f>IFERROR(IF(INDEX('04_PRODUCTOS'!$D$2:$D$501,MATCH(F86,'04_PRODUCTOS'!$B$2:$B$501,0))="","",I86-(G86*INDEX('04_PRODUCTOS'!$D$2:$D$501,MATCH(F86,'04_PRODUCTOS'!$B$2:$B$501,0)))),"")</f>
        <v/>
      </c>
      <c r="K86" s="7" t="str">
        <f t="shared" si="10"/>
        <v/>
      </c>
      <c r="O86" t="str">
        <f>IF(D86="","",IFERROR(INDEX('03_CLIENTES'!$A$2:$A$501,MATCH(D86,'03_CLIENTES'!$B$2:$B$501,0)),""))</f>
        <v/>
      </c>
      <c r="P86" t="str">
        <f>IF(F86="","",IFERROR(INDEX('04_PRODUCTOS'!$A$2:$A$501,MATCH(F86,'04_PRODUCTOS'!$B$2:$B$501,0)),""))</f>
        <v/>
      </c>
      <c r="Q86" t="str">
        <f t="shared" si="11"/>
        <v/>
      </c>
    </row>
    <row r="87" spans="1:17" x14ac:dyDescent="0.25">
      <c r="A87" t="str">
        <f t="shared" si="6"/>
        <v/>
      </c>
      <c r="B87" s="4" t="str">
        <f t="shared" ca="1" si="7"/>
        <v/>
      </c>
      <c r="C87" s="5" t="str">
        <f t="shared" ca="1" si="8"/>
        <v/>
      </c>
      <c r="G87" s="6"/>
      <c r="H87" s="3" t="str">
        <f>IFERROR(IF(E87="Mayorista",IF(INDEX('04_PRODUCTOS'!$F$2:$F$501,MATCH(F87,'04_PRODUCTOS'!$B$2:$B$501,0))="",INDEX('04_PRODUCTOS'!$E$2:$E$501,MATCH(F87,'04_PRODUCTOS'!$B$2:$B$501,0)),INDEX('04_PRODUCTOS'!$F$2:$F$501,MATCH(F87,'04_PRODUCTOS'!$B$2:$B$501,0))),IF(E87="Especial",IF(INDEX('04_PRODUCTOS'!$G$2:$G$501,MATCH(F87,'04_PRODUCTOS'!$B$2:$B$501,0))="",INDEX('04_PRODUCTOS'!$E$2:$E$501,MATCH(F87,'04_PRODUCTOS'!$B$2:$B$501,0)),INDEX('04_PRODUCTOS'!$G$2:$G$501,MATCH(F87,'04_PRODUCTOS'!$B$2:$B$501,0))),INDEX('04_PRODUCTOS'!$E$2:$E$501,MATCH(F87,'04_PRODUCTOS'!$B$2:$B$501,0)))),"")</f>
        <v/>
      </c>
      <c r="I87" s="3" t="str">
        <f t="shared" si="9"/>
        <v/>
      </c>
      <c r="J87" s="3" t="str">
        <f>IFERROR(IF(INDEX('04_PRODUCTOS'!$D$2:$D$501,MATCH(F87,'04_PRODUCTOS'!$B$2:$B$501,0))="","",I87-(G87*INDEX('04_PRODUCTOS'!$D$2:$D$501,MATCH(F87,'04_PRODUCTOS'!$B$2:$B$501,0)))),"")</f>
        <v/>
      </c>
      <c r="K87" s="7" t="str">
        <f t="shared" si="10"/>
        <v/>
      </c>
      <c r="O87" t="str">
        <f>IF(D87="","",IFERROR(INDEX('03_CLIENTES'!$A$2:$A$501,MATCH(D87,'03_CLIENTES'!$B$2:$B$501,0)),""))</f>
        <v/>
      </c>
      <c r="P87" t="str">
        <f>IF(F87="","",IFERROR(INDEX('04_PRODUCTOS'!$A$2:$A$501,MATCH(F87,'04_PRODUCTOS'!$B$2:$B$501,0)),""))</f>
        <v/>
      </c>
      <c r="Q87" t="str">
        <f t="shared" si="11"/>
        <v/>
      </c>
    </row>
    <row r="88" spans="1:17" x14ac:dyDescent="0.25">
      <c r="A88" t="str">
        <f t="shared" si="6"/>
        <v/>
      </c>
      <c r="B88" s="4" t="str">
        <f t="shared" ca="1" si="7"/>
        <v/>
      </c>
      <c r="C88" s="5" t="str">
        <f t="shared" ca="1" si="8"/>
        <v/>
      </c>
      <c r="G88" s="6"/>
      <c r="H88" s="3" t="str">
        <f>IFERROR(IF(E88="Mayorista",IF(INDEX('04_PRODUCTOS'!$F$2:$F$501,MATCH(F88,'04_PRODUCTOS'!$B$2:$B$501,0))="",INDEX('04_PRODUCTOS'!$E$2:$E$501,MATCH(F88,'04_PRODUCTOS'!$B$2:$B$501,0)),INDEX('04_PRODUCTOS'!$F$2:$F$501,MATCH(F88,'04_PRODUCTOS'!$B$2:$B$501,0))),IF(E88="Especial",IF(INDEX('04_PRODUCTOS'!$G$2:$G$501,MATCH(F88,'04_PRODUCTOS'!$B$2:$B$501,0))="",INDEX('04_PRODUCTOS'!$E$2:$E$501,MATCH(F88,'04_PRODUCTOS'!$B$2:$B$501,0)),INDEX('04_PRODUCTOS'!$G$2:$G$501,MATCH(F88,'04_PRODUCTOS'!$B$2:$B$501,0))),INDEX('04_PRODUCTOS'!$E$2:$E$501,MATCH(F88,'04_PRODUCTOS'!$B$2:$B$501,0)))),"")</f>
        <v/>
      </c>
      <c r="I88" s="3" t="str">
        <f t="shared" si="9"/>
        <v/>
      </c>
      <c r="J88" s="3" t="str">
        <f>IFERROR(IF(INDEX('04_PRODUCTOS'!$D$2:$D$501,MATCH(F88,'04_PRODUCTOS'!$B$2:$B$501,0))="","",I88-(G88*INDEX('04_PRODUCTOS'!$D$2:$D$501,MATCH(F88,'04_PRODUCTOS'!$B$2:$B$501,0)))),"")</f>
        <v/>
      </c>
      <c r="K88" s="7" t="str">
        <f t="shared" si="10"/>
        <v/>
      </c>
      <c r="O88" t="str">
        <f>IF(D88="","",IFERROR(INDEX('03_CLIENTES'!$A$2:$A$501,MATCH(D88,'03_CLIENTES'!$B$2:$B$501,0)),""))</f>
        <v/>
      </c>
      <c r="P88" t="str">
        <f>IF(F88="","",IFERROR(INDEX('04_PRODUCTOS'!$A$2:$A$501,MATCH(F88,'04_PRODUCTOS'!$B$2:$B$501,0)),""))</f>
        <v/>
      </c>
      <c r="Q88" t="str">
        <f t="shared" si="11"/>
        <v/>
      </c>
    </row>
    <row r="89" spans="1:17" x14ac:dyDescent="0.25">
      <c r="A89" t="str">
        <f t="shared" si="6"/>
        <v/>
      </c>
      <c r="B89" s="4" t="str">
        <f t="shared" ca="1" si="7"/>
        <v/>
      </c>
      <c r="C89" s="5" t="str">
        <f t="shared" ca="1" si="8"/>
        <v/>
      </c>
      <c r="G89" s="6"/>
      <c r="H89" s="3" t="str">
        <f>IFERROR(IF(E89="Mayorista",IF(INDEX('04_PRODUCTOS'!$F$2:$F$501,MATCH(F89,'04_PRODUCTOS'!$B$2:$B$501,0))="",INDEX('04_PRODUCTOS'!$E$2:$E$501,MATCH(F89,'04_PRODUCTOS'!$B$2:$B$501,0)),INDEX('04_PRODUCTOS'!$F$2:$F$501,MATCH(F89,'04_PRODUCTOS'!$B$2:$B$501,0))),IF(E89="Especial",IF(INDEX('04_PRODUCTOS'!$G$2:$G$501,MATCH(F89,'04_PRODUCTOS'!$B$2:$B$501,0))="",INDEX('04_PRODUCTOS'!$E$2:$E$501,MATCH(F89,'04_PRODUCTOS'!$B$2:$B$501,0)),INDEX('04_PRODUCTOS'!$G$2:$G$501,MATCH(F89,'04_PRODUCTOS'!$B$2:$B$501,0))),INDEX('04_PRODUCTOS'!$E$2:$E$501,MATCH(F89,'04_PRODUCTOS'!$B$2:$B$501,0)))),"")</f>
        <v/>
      </c>
      <c r="I89" s="3" t="str">
        <f t="shared" si="9"/>
        <v/>
      </c>
      <c r="J89" s="3" t="str">
        <f>IFERROR(IF(INDEX('04_PRODUCTOS'!$D$2:$D$501,MATCH(F89,'04_PRODUCTOS'!$B$2:$B$501,0))="","",I89-(G89*INDEX('04_PRODUCTOS'!$D$2:$D$501,MATCH(F89,'04_PRODUCTOS'!$B$2:$B$501,0)))),"")</f>
        <v/>
      </c>
      <c r="K89" s="7" t="str">
        <f t="shared" si="10"/>
        <v/>
      </c>
      <c r="O89" t="str">
        <f>IF(D89="","",IFERROR(INDEX('03_CLIENTES'!$A$2:$A$501,MATCH(D89,'03_CLIENTES'!$B$2:$B$501,0)),""))</f>
        <v/>
      </c>
      <c r="P89" t="str">
        <f>IF(F89="","",IFERROR(INDEX('04_PRODUCTOS'!$A$2:$A$501,MATCH(F89,'04_PRODUCTOS'!$B$2:$B$501,0)),""))</f>
        <v/>
      </c>
      <c r="Q89" t="str">
        <f t="shared" si="11"/>
        <v/>
      </c>
    </row>
    <row r="90" spans="1:17" x14ac:dyDescent="0.25">
      <c r="A90" t="str">
        <f t="shared" si="6"/>
        <v/>
      </c>
      <c r="B90" s="4" t="str">
        <f t="shared" ca="1" si="7"/>
        <v/>
      </c>
      <c r="C90" s="5" t="str">
        <f t="shared" ca="1" si="8"/>
        <v/>
      </c>
      <c r="G90" s="6"/>
      <c r="H90" s="3" t="str">
        <f>IFERROR(IF(E90="Mayorista",IF(INDEX('04_PRODUCTOS'!$F$2:$F$501,MATCH(F90,'04_PRODUCTOS'!$B$2:$B$501,0))="",INDEX('04_PRODUCTOS'!$E$2:$E$501,MATCH(F90,'04_PRODUCTOS'!$B$2:$B$501,0)),INDEX('04_PRODUCTOS'!$F$2:$F$501,MATCH(F90,'04_PRODUCTOS'!$B$2:$B$501,0))),IF(E90="Especial",IF(INDEX('04_PRODUCTOS'!$G$2:$G$501,MATCH(F90,'04_PRODUCTOS'!$B$2:$B$501,0))="",INDEX('04_PRODUCTOS'!$E$2:$E$501,MATCH(F90,'04_PRODUCTOS'!$B$2:$B$501,0)),INDEX('04_PRODUCTOS'!$G$2:$G$501,MATCH(F90,'04_PRODUCTOS'!$B$2:$B$501,0))),INDEX('04_PRODUCTOS'!$E$2:$E$501,MATCH(F90,'04_PRODUCTOS'!$B$2:$B$501,0)))),"")</f>
        <v/>
      </c>
      <c r="I90" s="3" t="str">
        <f t="shared" si="9"/>
        <v/>
      </c>
      <c r="J90" s="3" t="str">
        <f>IFERROR(IF(INDEX('04_PRODUCTOS'!$D$2:$D$501,MATCH(F90,'04_PRODUCTOS'!$B$2:$B$501,0))="","",I90-(G90*INDEX('04_PRODUCTOS'!$D$2:$D$501,MATCH(F90,'04_PRODUCTOS'!$B$2:$B$501,0)))),"")</f>
        <v/>
      </c>
      <c r="K90" s="7" t="str">
        <f t="shared" si="10"/>
        <v/>
      </c>
      <c r="O90" t="str">
        <f>IF(D90="","",IFERROR(INDEX('03_CLIENTES'!$A$2:$A$501,MATCH(D90,'03_CLIENTES'!$B$2:$B$501,0)),""))</f>
        <v/>
      </c>
      <c r="P90" t="str">
        <f>IF(F90="","",IFERROR(INDEX('04_PRODUCTOS'!$A$2:$A$501,MATCH(F90,'04_PRODUCTOS'!$B$2:$B$501,0)),""))</f>
        <v/>
      </c>
      <c r="Q90" t="str">
        <f t="shared" si="11"/>
        <v/>
      </c>
    </row>
    <row r="91" spans="1:17" x14ac:dyDescent="0.25">
      <c r="A91" t="str">
        <f t="shared" si="6"/>
        <v/>
      </c>
      <c r="B91" s="4" t="str">
        <f t="shared" ca="1" si="7"/>
        <v/>
      </c>
      <c r="C91" s="5" t="str">
        <f t="shared" ca="1" si="8"/>
        <v/>
      </c>
      <c r="G91" s="6"/>
      <c r="H91" s="3" t="str">
        <f>IFERROR(IF(E91="Mayorista",IF(INDEX('04_PRODUCTOS'!$F$2:$F$501,MATCH(F91,'04_PRODUCTOS'!$B$2:$B$501,0))="",INDEX('04_PRODUCTOS'!$E$2:$E$501,MATCH(F91,'04_PRODUCTOS'!$B$2:$B$501,0)),INDEX('04_PRODUCTOS'!$F$2:$F$501,MATCH(F91,'04_PRODUCTOS'!$B$2:$B$501,0))),IF(E91="Especial",IF(INDEX('04_PRODUCTOS'!$G$2:$G$501,MATCH(F91,'04_PRODUCTOS'!$B$2:$B$501,0))="",INDEX('04_PRODUCTOS'!$E$2:$E$501,MATCH(F91,'04_PRODUCTOS'!$B$2:$B$501,0)),INDEX('04_PRODUCTOS'!$G$2:$G$501,MATCH(F91,'04_PRODUCTOS'!$B$2:$B$501,0))),INDEX('04_PRODUCTOS'!$E$2:$E$501,MATCH(F91,'04_PRODUCTOS'!$B$2:$B$501,0)))),"")</f>
        <v/>
      </c>
      <c r="I91" s="3" t="str">
        <f t="shared" si="9"/>
        <v/>
      </c>
      <c r="J91" s="3" t="str">
        <f>IFERROR(IF(INDEX('04_PRODUCTOS'!$D$2:$D$501,MATCH(F91,'04_PRODUCTOS'!$B$2:$B$501,0))="","",I91-(G91*INDEX('04_PRODUCTOS'!$D$2:$D$501,MATCH(F91,'04_PRODUCTOS'!$B$2:$B$501,0)))),"")</f>
        <v/>
      </c>
      <c r="K91" s="7" t="str">
        <f t="shared" si="10"/>
        <v/>
      </c>
      <c r="O91" t="str">
        <f>IF(D91="","",IFERROR(INDEX('03_CLIENTES'!$A$2:$A$501,MATCH(D91,'03_CLIENTES'!$B$2:$B$501,0)),""))</f>
        <v/>
      </c>
      <c r="P91" t="str">
        <f>IF(F91="","",IFERROR(INDEX('04_PRODUCTOS'!$A$2:$A$501,MATCH(F91,'04_PRODUCTOS'!$B$2:$B$501,0)),""))</f>
        <v/>
      </c>
      <c r="Q91" t="str">
        <f t="shared" si="11"/>
        <v/>
      </c>
    </row>
    <row r="92" spans="1:17" x14ac:dyDescent="0.25">
      <c r="A92" t="str">
        <f t="shared" si="6"/>
        <v/>
      </c>
      <c r="B92" s="4" t="str">
        <f t="shared" ca="1" si="7"/>
        <v/>
      </c>
      <c r="C92" s="5" t="str">
        <f t="shared" ca="1" si="8"/>
        <v/>
      </c>
      <c r="G92" s="6"/>
      <c r="H92" s="3" t="str">
        <f>IFERROR(IF(E92="Mayorista",IF(INDEX('04_PRODUCTOS'!$F$2:$F$501,MATCH(F92,'04_PRODUCTOS'!$B$2:$B$501,0))="",INDEX('04_PRODUCTOS'!$E$2:$E$501,MATCH(F92,'04_PRODUCTOS'!$B$2:$B$501,0)),INDEX('04_PRODUCTOS'!$F$2:$F$501,MATCH(F92,'04_PRODUCTOS'!$B$2:$B$501,0))),IF(E92="Especial",IF(INDEX('04_PRODUCTOS'!$G$2:$G$501,MATCH(F92,'04_PRODUCTOS'!$B$2:$B$501,0))="",INDEX('04_PRODUCTOS'!$E$2:$E$501,MATCH(F92,'04_PRODUCTOS'!$B$2:$B$501,0)),INDEX('04_PRODUCTOS'!$G$2:$G$501,MATCH(F92,'04_PRODUCTOS'!$B$2:$B$501,0))),INDEX('04_PRODUCTOS'!$E$2:$E$501,MATCH(F92,'04_PRODUCTOS'!$B$2:$B$501,0)))),"")</f>
        <v/>
      </c>
      <c r="I92" s="3" t="str">
        <f t="shared" si="9"/>
        <v/>
      </c>
      <c r="J92" s="3" t="str">
        <f>IFERROR(IF(INDEX('04_PRODUCTOS'!$D$2:$D$501,MATCH(F92,'04_PRODUCTOS'!$B$2:$B$501,0))="","",I92-(G92*INDEX('04_PRODUCTOS'!$D$2:$D$501,MATCH(F92,'04_PRODUCTOS'!$B$2:$B$501,0)))),"")</f>
        <v/>
      </c>
      <c r="K92" s="7" t="str">
        <f t="shared" si="10"/>
        <v/>
      </c>
      <c r="O92" t="str">
        <f>IF(D92="","",IFERROR(INDEX('03_CLIENTES'!$A$2:$A$501,MATCH(D92,'03_CLIENTES'!$B$2:$B$501,0)),""))</f>
        <v/>
      </c>
      <c r="P92" t="str">
        <f>IF(F92="","",IFERROR(INDEX('04_PRODUCTOS'!$A$2:$A$501,MATCH(F92,'04_PRODUCTOS'!$B$2:$B$501,0)),""))</f>
        <v/>
      </c>
      <c r="Q92" t="str">
        <f t="shared" si="11"/>
        <v/>
      </c>
    </row>
    <row r="93" spans="1:17" x14ac:dyDescent="0.25">
      <c r="A93" t="str">
        <f t="shared" si="6"/>
        <v/>
      </c>
      <c r="B93" s="4" t="str">
        <f t="shared" ca="1" si="7"/>
        <v/>
      </c>
      <c r="C93" s="5" t="str">
        <f t="shared" ca="1" si="8"/>
        <v/>
      </c>
      <c r="G93" s="6"/>
      <c r="H93" s="3" t="str">
        <f>IFERROR(IF(E93="Mayorista",IF(INDEX('04_PRODUCTOS'!$F$2:$F$501,MATCH(F93,'04_PRODUCTOS'!$B$2:$B$501,0))="",INDEX('04_PRODUCTOS'!$E$2:$E$501,MATCH(F93,'04_PRODUCTOS'!$B$2:$B$501,0)),INDEX('04_PRODUCTOS'!$F$2:$F$501,MATCH(F93,'04_PRODUCTOS'!$B$2:$B$501,0))),IF(E93="Especial",IF(INDEX('04_PRODUCTOS'!$G$2:$G$501,MATCH(F93,'04_PRODUCTOS'!$B$2:$B$501,0))="",INDEX('04_PRODUCTOS'!$E$2:$E$501,MATCH(F93,'04_PRODUCTOS'!$B$2:$B$501,0)),INDEX('04_PRODUCTOS'!$G$2:$G$501,MATCH(F93,'04_PRODUCTOS'!$B$2:$B$501,0))),INDEX('04_PRODUCTOS'!$E$2:$E$501,MATCH(F93,'04_PRODUCTOS'!$B$2:$B$501,0)))),"")</f>
        <v/>
      </c>
      <c r="I93" s="3" t="str">
        <f t="shared" si="9"/>
        <v/>
      </c>
      <c r="J93" s="3" t="str">
        <f>IFERROR(IF(INDEX('04_PRODUCTOS'!$D$2:$D$501,MATCH(F93,'04_PRODUCTOS'!$B$2:$B$501,0))="","",I93-(G93*INDEX('04_PRODUCTOS'!$D$2:$D$501,MATCH(F93,'04_PRODUCTOS'!$B$2:$B$501,0)))),"")</f>
        <v/>
      </c>
      <c r="K93" s="7" t="str">
        <f t="shared" si="10"/>
        <v/>
      </c>
      <c r="O93" t="str">
        <f>IF(D93="","",IFERROR(INDEX('03_CLIENTES'!$A$2:$A$501,MATCH(D93,'03_CLIENTES'!$B$2:$B$501,0)),""))</f>
        <v/>
      </c>
      <c r="P93" t="str">
        <f>IF(F93="","",IFERROR(INDEX('04_PRODUCTOS'!$A$2:$A$501,MATCH(F93,'04_PRODUCTOS'!$B$2:$B$501,0)),""))</f>
        <v/>
      </c>
      <c r="Q93" t="str">
        <f t="shared" si="11"/>
        <v/>
      </c>
    </row>
    <row r="94" spans="1:17" x14ac:dyDescent="0.25">
      <c r="A94" t="str">
        <f t="shared" si="6"/>
        <v/>
      </c>
      <c r="B94" s="4" t="str">
        <f t="shared" ca="1" si="7"/>
        <v/>
      </c>
      <c r="C94" s="5" t="str">
        <f t="shared" ca="1" si="8"/>
        <v/>
      </c>
      <c r="G94" s="6"/>
      <c r="H94" s="3" t="str">
        <f>IFERROR(IF(E94="Mayorista",IF(INDEX('04_PRODUCTOS'!$F$2:$F$501,MATCH(F94,'04_PRODUCTOS'!$B$2:$B$501,0))="",INDEX('04_PRODUCTOS'!$E$2:$E$501,MATCH(F94,'04_PRODUCTOS'!$B$2:$B$501,0)),INDEX('04_PRODUCTOS'!$F$2:$F$501,MATCH(F94,'04_PRODUCTOS'!$B$2:$B$501,0))),IF(E94="Especial",IF(INDEX('04_PRODUCTOS'!$G$2:$G$501,MATCH(F94,'04_PRODUCTOS'!$B$2:$B$501,0))="",INDEX('04_PRODUCTOS'!$E$2:$E$501,MATCH(F94,'04_PRODUCTOS'!$B$2:$B$501,0)),INDEX('04_PRODUCTOS'!$G$2:$G$501,MATCH(F94,'04_PRODUCTOS'!$B$2:$B$501,0))),INDEX('04_PRODUCTOS'!$E$2:$E$501,MATCH(F94,'04_PRODUCTOS'!$B$2:$B$501,0)))),"")</f>
        <v/>
      </c>
      <c r="I94" s="3" t="str">
        <f t="shared" si="9"/>
        <v/>
      </c>
      <c r="J94" s="3" t="str">
        <f>IFERROR(IF(INDEX('04_PRODUCTOS'!$D$2:$D$501,MATCH(F94,'04_PRODUCTOS'!$B$2:$B$501,0))="","",I94-(G94*INDEX('04_PRODUCTOS'!$D$2:$D$501,MATCH(F94,'04_PRODUCTOS'!$B$2:$B$501,0)))),"")</f>
        <v/>
      </c>
      <c r="K94" s="7" t="str">
        <f t="shared" si="10"/>
        <v/>
      </c>
      <c r="O94" t="str">
        <f>IF(D94="","",IFERROR(INDEX('03_CLIENTES'!$A$2:$A$501,MATCH(D94,'03_CLIENTES'!$B$2:$B$501,0)),""))</f>
        <v/>
      </c>
      <c r="P94" t="str">
        <f>IF(F94="","",IFERROR(INDEX('04_PRODUCTOS'!$A$2:$A$501,MATCH(F94,'04_PRODUCTOS'!$B$2:$B$501,0)),""))</f>
        <v/>
      </c>
      <c r="Q94" t="str">
        <f t="shared" si="11"/>
        <v/>
      </c>
    </row>
    <row r="95" spans="1:17" x14ac:dyDescent="0.25">
      <c r="A95" t="str">
        <f t="shared" si="6"/>
        <v/>
      </c>
      <c r="B95" s="4" t="str">
        <f t="shared" ca="1" si="7"/>
        <v/>
      </c>
      <c r="C95" s="5" t="str">
        <f t="shared" ca="1" si="8"/>
        <v/>
      </c>
      <c r="G95" s="6"/>
      <c r="H95" s="3" t="str">
        <f>IFERROR(IF(E95="Mayorista",IF(INDEX('04_PRODUCTOS'!$F$2:$F$501,MATCH(F95,'04_PRODUCTOS'!$B$2:$B$501,0))="",INDEX('04_PRODUCTOS'!$E$2:$E$501,MATCH(F95,'04_PRODUCTOS'!$B$2:$B$501,0)),INDEX('04_PRODUCTOS'!$F$2:$F$501,MATCH(F95,'04_PRODUCTOS'!$B$2:$B$501,0))),IF(E95="Especial",IF(INDEX('04_PRODUCTOS'!$G$2:$G$501,MATCH(F95,'04_PRODUCTOS'!$B$2:$B$501,0))="",INDEX('04_PRODUCTOS'!$E$2:$E$501,MATCH(F95,'04_PRODUCTOS'!$B$2:$B$501,0)),INDEX('04_PRODUCTOS'!$G$2:$G$501,MATCH(F95,'04_PRODUCTOS'!$B$2:$B$501,0))),INDEX('04_PRODUCTOS'!$E$2:$E$501,MATCH(F95,'04_PRODUCTOS'!$B$2:$B$501,0)))),"")</f>
        <v/>
      </c>
      <c r="I95" s="3" t="str">
        <f t="shared" si="9"/>
        <v/>
      </c>
      <c r="J95" s="3" t="str">
        <f>IFERROR(IF(INDEX('04_PRODUCTOS'!$D$2:$D$501,MATCH(F95,'04_PRODUCTOS'!$B$2:$B$501,0))="","",I95-(G95*INDEX('04_PRODUCTOS'!$D$2:$D$501,MATCH(F95,'04_PRODUCTOS'!$B$2:$B$501,0)))),"")</f>
        <v/>
      </c>
      <c r="K95" s="7" t="str">
        <f t="shared" si="10"/>
        <v/>
      </c>
      <c r="O95" t="str">
        <f>IF(D95="","",IFERROR(INDEX('03_CLIENTES'!$A$2:$A$501,MATCH(D95,'03_CLIENTES'!$B$2:$B$501,0)),""))</f>
        <v/>
      </c>
      <c r="P95" t="str">
        <f>IF(F95="","",IFERROR(INDEX('04_PRODUCTOS'!$A$2:$A$501,MATCH(F95,'04_PRODUCTOS'!$B$2:$B$501,0)),""))</f>
        <v/>
      </c>
      <c r="Q95" t="str">
        <f t="shared" si="11"/>
        <v/>
      </c>
    </row>
    <row r="96" spans="1:17" x14ac:dyDescent="0.25">
      <c r="A96" t="str">
        <f t="shared" si="6"/>
        <v/>
      </c>
      <c r="B96" s="4" t="str">
        <f t="shared" ca="1" si="7"/>
        <v/>
      </c>
      <c r="C96" s="5" t="str">
        <f t="shared" ca="1" si="8"/>
        <v/>
      </c>
      <c r="G96" s="6"/>
      <c r="H96" s="3" t="str">
        <f>IFERROR(IF(E96="Mayorista",IF(INDEX('04_PRODUCTOS'!$F$2:$F$501,MATCH(F96,'04_PRODUCTOS'!$B$2:$B$501,0))="",INDEX('04_PRODUCTOS'!$E$2:$E$501,MATCH(F96,'04_PRODUCTOS'!$B$2:$B$501,0)),INDEX('04_PRODUCTOS'!$F$2:$F$501,MATCH(F96,'04_PRODUCTOS'!$B$2:$B$501,0))),IF(E96="Especial",IF(INDEX('04_PRODUCTOS'!$G$2:$G$501,MATCH(F96,'04_PRODUCTOS'!$B$2:$B$501,0))="",INDEX('04_PRODUCTOS'!$E$2:$E$501,MATCH(F96,'04_PRODUCTOS'!$B$2:$B$501,0)),INDEX('04_PRODUCTOS'!$G$2:$G$501,MATCH(F96,'04_PRODUCTOS'!$B$2:$B$501,0))),INDEX('04_PRODUCTOS'!$E$2:$E$501,MATCH(F96,'04_PRODUCTOS'!$B$2:$B$501,0)))),"")</f>
        <v/>
      </c>
      <c r="I96" s="3" t="str">
        <f t="shared" si="9"/>
        <v/>
      </c>
      <c r="J96" s="3" t="str">
        <f>IFERROR(IF(INDEX('04_PRODUCTOS'!$D$2:$D$501,MATCH(F96,'04_PRODUCTOS'!$B$2:$B$501,0))="","",I96-(G96*INDEX('04_PRODUCTOS'!$D$2:$D$501,MATCH(F96,'04_PRODUCTOS'!$B$2:$B$501,0)))),"")</f>
        <v/>
      </c>
      <c r="K96" s="7" t="str">
        <f t="shared" si="10"/>
        <v/>
      </c>
      <c r="O96" t="str">
        <f>IF(D96="","",IFERROR(INDEX('03_CLIENTES'!$A$2:$A$501,MATCH(D96,'03_CLIENTES'!$B$2:$B$501,0)),""))</f>
        <v/>
      </c>
      <c r="P96" t="str">
        <f>IF(F96="","",IFERROR(INDEX('04_PRODUCTOS'!$A$2:$A$501,MATCH(F96,'04_PRODUCTOS'!$B$2:$B$501,0)),""))</f>
        <v/>
      </c>
      <c r="Q96" t="str">
        <f t="shared" si="11"/>
        <v/>
      </c>
    </row>
    <row r="97" spans="1:17" x14ac:dyDescent="0.25">
      <c r="A97" t="str">
        <f t="shared" si="6"/>
        <v/>
      </c>
      <c r="B97" s="4" t="str">
        <f t="shared" ca="1" si="7"/>
        <v/>
      </c>
      <c r="C97" s="5" t="str">
        <f t="shared" ca="1" si="8"/>
        <v/>
      </c>
      <c r="G97" s="6"/>
      <c r="H97" s="3" t="str">
        <f>IFERROR(IF(E97="Mayorista",IF(INDEX('04_PRODUCTOS'!$F$2:$F$501,MATCH(F97,'04_PRODUCTOS'!$B$2:$B$501,0))="",INDEX('04_PRODUCTOS'!$E$2:$E$501,MATCH(F97,'04_PRODUCTOS'!$B$2:$B$501,0)),INDEX('04_PRODUCTOS'!$F$2:$F$501,MATCH(F97,'04_PRODUCTOS'!$B$2:$B$501,0))),IF(E97="Especial",IF(INDEX('04_PRODUCTOS'!$G$2:$G$501,MATCH(F97,'04_PRODUCTOS'!$B$2:$B$501,0))="",INDEX('04_PRODUCTOS'!$E$2:$E$501,MATCH(F97,'04_PRODUCTOS'!$B$2:$B$501,0)),INDEX('04_PRODUCTOS'!$G$2:$G$501,MATCH(F97,'04_PRODUCTOS'!$B$2:$B$501,0))),INDEX('04_PRODUCTOS'!$E$2:$E$501,MATCH(F97,'04_PRODUCTOS'!$B$2:$B$501,0)))),"")</f>
        <v/>
      </c>
      <c r="I97" s="3" t="str">
        <f t="shared" si="9"/>
        <v/>
      </c>
      <c r="J97" s="3" t="str">
        <f>IFERROR(IF(INDEX('04_PRODUCTOS'!$D$2:$D$501,MATCH(F97,'04_PRODUCTOS'!$B$2:$B$501,0))="","",I97-(G97*INDEX('04_PRODUCTOS'!$D$2:$D$501,MATCH(F97,'04_PRODUCTOS'!$B$2:$B$501,0)))),"")</f>
        <v/>
      </c>
      <c r="K97" s="7" t="str">
        <f t="shared" si="10"/>
        <v/>
      </c>
      <c r="O97" t="str">
        <f>IF(D97="","",IFERROR(INDEX('03_CLIENTES'!$A$2:$A$501,MATCH(D97,'03_CLIENTES'!$B$2:$B$501,0)),""))</f>
        <v/>
      </c>
      <c r="P97" t="str">
        <f>IF(F97="","",IFERROR(INDEX('04_PRODUCTOS'!$A$2:$A$501,MATCH(F97,'04_PRODUCTOS'!$B$2:$B$501,0)),""))</f>
        <v/>
      </c>
      <c r="Q97" t="str">
        <f t="shared" si="11"/>
        <v/>
      </c>
    </row>
    <row r="98" spans="1:17" x14ac:dyDescent="0.25">
      <c r="A98" t="str">
        <f t="shared" si="6"/>
        <v/>
      </c>
      <c r="B98" s="4" t="str">
        <f t="shared" ca="1" si="7"/>
        <v/>
      </c>
      <c r="C98" s="5" t="str">
        <f t="shared" ca="1" si="8"/>
        <v/>
      </c>
      <c r="G98" s="6"/>
      <c r="H98" s="3" t="str">
        <f>IFERROR(IF(E98="Mayorista",IF(INDEX('04_PRODUCTOS'!$F$2:$F$501,MATCH(F98,'04_PRODUCTOS'!$B$2:$B$501,0))="",INDEX('04_PRODUCTOS'!$E$2:$E$501,MATCH(F98,'04_PRODUCTOS'!$B$2:$B$501,0)),INDEX('04_PRODUCTOS'!$F$2:$F$501,MATCH(F98,'04_PRODUCTOS'!$B$2:$B$501,0))),IF(E98="Especial",IF(INDEX('04_PRODUCTOS'!$G$2:$G$501,MATCH(F98,'04_PRODUCTOS'!$B$2:$B$501,0))="",INDEX('04_PRODUCTOS'!$E$2:$E$501,MATCH(F98,'04_PRODUCTOS'!$B$2:$B$501,0)),INDEX('04_PRODUCTOS'!$G$2:$G$501,MATCH(F98,'04_PRODUCTOS'!$B$2:$B$501,0))),INDEX('04_PRODUCTOS'!$E$2:$E$501,MATCH(F98,'04_PRODUCTOS'!$B$2:$B$501,0)))),"")</f>
        <v/>
      </c>
      <c r="I98" s="3" t="str">
        <f t="shared" si="9"/>
        <v/>
      </c>
      <c r="J98" s="3" t="str">
        <f>IFERROR(IF(INDEX('04_PRODUCTOS'!$D$2:$D$501,MATCH(F98,'04_PRODUCTOS'!$B$2:$B$501,0))="","",I98-(G98*INDEX('04_PRODUCTOS'!$D$2:$D$501,MATCH(F98,'04_PRODUCTOS'!$B$2:$B$501,0)))),"")</f>
        <v/>
      </c>
      <c r="K98" s="7" t="str">
        <f t="shared" si="10"/>
        <v/>
      </c>
      <c r="O98" t="str">
        <f>IF(D98="","",IFERROR(INDEX('03_CLIENTES'!$A$2:$A$501,MATCH(D98,'03_CLIENTES'!$B$2:$B$501,0)),""))</f>
        <v/>
      </c>
      <c r="P98" t="str">
        <f>IF(F98="","",IFERROR(INDEX('04_PRODUCTOS'!$A$2:$A$501,MATCH(F98,'04_PRODUCTOS'!$B$2:$B$501,0)),""))</f>
        <v/>
      </c>
      <c r="Q98" t="str">
        <f t="shared" si="11"/>
        <v/>
      </c>
    </row>
    <row r="99" spans="1:17" x14ac:dyDescent="0.25">
      <c r="A99" t="str">
        <f t="shared" si="6"/>
        <v/>
      </c>
      <c r="B99" s="4" t="str">
        <f t="shared" ca="1" si="7"/>
        <v/>
      </c>
      <c r="C99" s="5" t="str">
        <f t="shared" ca="1" si="8"/>
        <v/>
      </c>
      <c r="G99" s="6"/>
      <c r="H99" s="3" t="str">
        <f>IFERROR(IF(E99="Mayorista",IF(INDEX('04_PRODUCTOS'!$F$2:$F$501,MATCH(F99,'04_PRODUCTOS'!$B$2:$B$501,0))="",INDEX('04_PRODUCTOS'!$E$2:$E$501,MATCH(F99,'04_PRODUCTOS'!$B$2:$B$501,0)),INDEX('04_PRODUCTOS'!$F$2:$F$501,MATCH(F99,'04_PRODUCTOS'!$B$2:$B$501,0))),IF(E99="Especial",IF(INDEX('04_PRODUCTOS'!$G$2:$G$501,MATCH(F99,'04_PRODUCTOS'!$B$2:$B$501,0))="",INDEX('04_PRODUCTOS'!$E$2:$E$501,MATCH(F99,'04_PRODUCTOS'!$B$2:$B$501,0)),INDEX('04_PRODUCTOS'!$G$2:$G$501,MATCH(F99,'04_PRODUCTOS'!$B$2:$B$501,0))),INDEX('04_PRODUCTOS'!$E$2:$E$501,MATCH(F99,'04_PRODUCTOS'!$B$2:$B$501,0)))),"")</f>
        <v/>
      </c>
      <c r="I99" s="3" t="str">
        <f t="shared" si="9"/>
        <v/>
      </c>
      <c r="J99" s="3" t="str">
        <f>IFERROR(IF(INDEX('04_PRODUCTOS'!$D$2:$D$501,MATCH(F99,'04_PRODUCTOS'!$B$2:$B$501,0))="","",I99-(G99*INDEX('04_PRODUCTOS'!$D$2:$D$501,MATCH(F99,'04_PRODUCTOS'!$B$2:$B$501,0)))),"")</f>
        <v/>
      </c>
      <c r="K99" s="7" t="str">
        <f t="shared" si="10"/>
        <v/>
      </c>
      <c r="O99" t="str">
        <f>IF(D99="","",IFERROR(INDEX('03_CLIENTES'!$A$2:$A$501,MATCH(D99,'03_CLIENTES'!$B$2:$B$501,0)),""))</f>
        <v/>
      </c>
      <c r="P99" t="str">
        <f>IF(F99="","",IFERROR(INDEX('04_PRODUCTOS'!$A$2:$A$501,MATCH(F99,'04_PRODUCTOS'!$B$2:$B$501,0)),""))</f>
        <v/>
      </c>
      <c r="Q99" t="str">
        <f t="shared" si="11"/>
        <v/>
      </c>
    </row>
    <row r="100" spans="1:17" x14ac:dyDescent="0.25">
      <c r="A100" t="str">
        <f t="shared" si="6"/>
        <v/>
      </c>
      <c r="B100" s="4" t="str">
        <f t="shared" ca="1" si="7"/>
        <v/>
      </c>
      <c r="C100" s="5" t="str">
        <f t="shared" ca="1" si="8"/>
        <v/>
      </c>
      <c r="G100" s="6"/>
      <c r="H100" s="3" t="str">
        <f>IFERROR(IF(E100="Mayorista",IF(INDEX('04_PRODUCTOS'!$F$2:$F$501,MATCH(F100,'04_PRODUCTOS'!$B$2:$B$501,0))="",INDEX('04_PRODUCTOS'!$E$2:$E$501,MATCH(F100,'04_PRODUCTOS'!$B$2:$B$501,0)),INDEX('04_PRODUCTOS'!$F$2:$F$501,MATCH(F100,'04_PRODUCTOS'!$B$2:$B$501,0))),IF(E100="Especial",IF(INDEX('04_PRODUCTOS'!$G$2:$G$501,MATCH(F100,'04_PRODUCTOS'!$B$2:$B$501,0))="",INDEX('04_PRODUCTOS'!$E$2:$E$501,MATCH(F100,'04_PRODUCTOS'!$B$2:$B$501,0)),INDEX('04_PRODUCTOS'!$G$2:$G$501,MATCH(F100,'04_PRODUCTOS'!$B$2:$B$501,0))),INDEX('04_PRODUCTOS'!$E$2:$E$501,MATCH(F100,'04_PRODUCTOS'!$B$2:$B$501,0)))),"")</f>
        <v/>
      </c>
      <c r="I100" s="3" t="str">
        <f t="shared" si="9"/>
        <v/>
      </c>
      <c r="J100" s="3" t="str">
        <f>IFERROR(IF(INDEX('04_PRODUCTOS'!$D$2:$D$501,MATCH(F100,'04_PRODUCTOS'!$B$2:$B$501,0))="","",I100-(G100*INDEX('04_PRODUCTOS'!$D$2:$D$501,MATCH(F100,'04_PRODUCTOS'!$B$2:$B$501,0)))),"")</f>
        <v/>
      </c>
      <c r="K100" s="7" t="str">
        <f t="shared" si="10"/>
        <v/>
      </c>
      <c r="O100" t="str">
        <f>IF(D100="","",IFERROR(INDEX('03_CLIENTES'!$A$2:$A$501,MATCH(D100,'03_CLIENTES'!$B$2:$B$501,0)),""))</f>
        <v/>
      </c>
      <c r="P100" t="str">
        <f>IF(F100="","",IFERROR(INDEX('04_PRODUCTOS'!$A$2:$A$501,MATCH(F100,'04_PRODUCTOS'!$B$2:$B$501,0)),""))</f>
        <v/>
      </c>
      <c r="Q100" t="str">
        <f t="shared" si="11"/>
        <v/>
      </c>
    </row>
    <row r="101" spans="1:17" x14ac:dyDescent="0.25">
      <c r="A101" t="str">
        <f t="shared" si="6"/>
        <v/>
      </c>
      <c r="B101" s="4" t="str">
        <f t="shared" ca="1" si="7"/>
        <v/>
      </c>
      <c r="C101" s="5" t="str">
        <f t="shared" ca="1" si="8"/>
        <v/>
      </c>
      <c r="G101" s="6"/>
      <c r="H101" s="3" t="str">
        <f>IFERROR(IF(E101="Mayorista",IF(INDEX('04_PRODUCTOS'!$F$2:$F$501,MATCH(F101,'04_PRODUCTOS'!$B$2:$B$501,0))="",INDEX('04_PRODUCTOS'!$E$2:$E$501,MATCH(F101,'04_PRODUCTOS'!$B$2:$B$501,0)),INDEX('04_PRODUCTOS'!$F$2:$F$501,MATCH(F101,'04_PRODUCTOS'!$B$2:$B$501,0))),IF(E101="Especial",IF(INDEX('04_PRODUCTOS'!$G$2:$G$501,MATCH(F101,'04_PRODUCTOS'!$B$2:$B$501,0))="",INDEX('04_PRODUCTOS'!$E$2:$E$501,MATCH(F101,'04_PRODUCTOS'!$B$2:$B$501,0)),INDEX('04_PRODUCTOS'!$G$2:$G$501,MATCH(F101,'04_PRODUCTOS'!$B$2:$B$501,0))),INDEX('04_PRODUCTOS'!$E$2:$E$501,MATCH(F101,'04_PRODUCTOS'!$B$2:$B$501,0)))),"")</f>
        <v/>
      </c>
      <c r="I101" s="3" t="str">
        <f t="shared" si="9"/>
        <v/>
      </c>
      <c r="J101" s="3" t="str">
        <f>IFERROR(IF(INDEX('04_PRODUCTOS'!$D$2:$D$501,MATCH(F101,'04_PRODUCTOS'!$B$2:$B$501,0))="","",I101-(G101*INDEX('04_PRODUCTOS'!$D$2:$D$501,MATCH(F101,'04_PRODUCTOS'!$B$2:$B$501,0)))),"")</f>
        <v/>
      </c>
      <c r="K101" s="7" t="str">
        <f t="shared" si="10"/>
        <v/>
      </c>
      <c r="O101" t="str">
        <f>IF(D101="","",IFERROR(INDEX('03_CLIENTES'!$A$2:$A$501,MATCH(D101,'03_CLIENTES'!$B$2:$B$501,0)),""))</f>
        <v/>
      </c>
      <c r="P101" t="str">
        <f>IF(F101="","",IFERROR(INDEX('04_PRODUCTOS'!$A$2:$A$501,MATCH(F101,'04_PRODUCTOS'!$B$2:$B$501,0)),""))</f>
        <v/>
      </c>
      <c r="Q101" t="str">
        <f t="shared" si="11"/>
        <v/>
      </c>
    </row>
    <row r="102" spans="1:17" x14ac:dyDescent="0.25">
      <c r="A102" t="str">
        <f t="shared" si="6"/>
        <v/>
      </c>
      <c r="B102" s="4" t="str">
        <f t="shared" ca="1" si="7"/>
        <v/>
      </c>
      <c r="C102" s="5" t="str">
        <f t="shared" ca="1" si="8"/>
        <v/>
      </c>
      <c r="G102" s="6"/>
      <c r="H102" s="3" t="str">
        <f>IFERROR(IF(E102="Mayorista",IF(INDEX('04_PRODUCTOS'!$F$2:$F$501,MATCH(F102,'04_PRODUCTOS'!$B$2:$B$501,0))="",INDEX('04_PRODUCTOS'!$E$2:$E$501,MATCH(F102,'04_PRODUCTOS'!$B$2:$B$501,0)),INDEX('04_PRODUCTOS'!$F$2:$F$501,MATCH(F102,'04_PRODUCTOS'!$B$2:$B$501,0))),IF(E102="Especial",IF(INDEX('04_PRODUCTOS'!$G$2:$G$501,MATCH(F102,'04_PRODUCTOS'!$B$2:$B$501,0))="",INDEX('04_PRODUCTOS'!$E$2:$E$501,MATCH(F102,'04_PRODUCTOS'!$B$2:$B$501,0)),INDEX('04_PRODUCTOS'!$G$2:$G$501,MATCH(F102,'04_PRODUCTOS'!$B$2:$B$501,0))),INDEX('04_PRODUCTOS'!$E$2:$E$501,MATCH(F102,'04_PRODUCTOS'!$B$2:$B$501,0)))),"")</f>
        <v/>
      </c>
      <c r="I102" s="3" t="str">
        <f t="shared" si="9"/>
        <v/>
      </c>
      <c r="J102" s="3" t="str">
        <f>IFERROR(IF(INDEX('04_PRODUCTOS'!$D$2:$D$501,MATCH(F102,'04_PRODUCTOS'!$B$2:$B$501,0))="","",I102-(G102*INDEX('04_PRODUCTOS'!$D$2:$D$501,MATCH(F102,'04_PRODUCTOS'!$B$2:$B$501,0)))),"")</f>
        <v/>
      </c>
      <c r="K102" s="7" t="str">
        <f t="shared" si="10"/>
        <v/>
      </c>
      <c r="O102" t="str">
        <f>IF(D102="","",IFERROR(INDEX('03_CLIENTES'!$A$2:$A$501,MATCH(D102,'03_CLIENTES'!$B$2:$B$501,0)),""))</f>
        <v/>
      </c>
      <c r="P102" t="str">
        <f>IF(F102="","",IFERROR(INDEX('04_PRODUCTOS'!$A$2:$A$501,MATCH(F102,'04_PRODUCTOS'!$B$2:$B$501,0)),""))</f>
        <v/>
      </c>
      <c r="Q102" t="str">
        <f t="shared" si="11"/>
        <v/>
      </c>
    </row>
    <row r="103" spans="1:17" x14ac:dyDescent="0.25">
      <c r="A103" t="str">
        <f t="shared" si="6"/>
        <v/>
      </c>
      <c r="B103" s="4" t="str">
        <f t="shared" ca="1" si="7"/>
        <v/>
      </c>
      <c r="C103" s="5" t="str">
        <f t="shared" ca="1" si="8"/>
        <v/>
      </c>
      <c r="G103" s="6"/>
      <c r="H103" s="3" t="str">
        <f>IFERROR(IF(E103="Mayorista",IF(INDEX('04_PRODUCTOS'!$F$2:$F$501,MATCH(F103,'04_PRODUCTOS'!$B$2:$B$501,0))="",INDEX('04_PRODUCTOS'!$E$2:$E$501,MATCH(F103,'04_PRODUCTOS'!$B$2:$B$501,0)),INDEX('04_PRODUCTOS'!$F$2:$F$501,MATCH(F103,'04_PRODUCTOS'!$B$2:$B$501,0))),IF(E103="Especial",IF(INDEX('04_PRODUCTOS'!$G$2:$G$501,MATCH(F103,'04_PRODUCTOS'!$B$2:$B$501,0))="",INDEX('04_PRODUCTOS'!$E$2:$E$501,MATCH(F103,'04_PRODUCTOS'!$B$2:$B$501,0)),INDEX('04_PRODUCTOS'!$G$2:$G$501,MATCH(F103,'04_PRODUCTOS'!$B$2:$B$501,0))),INDEX('04_PRODUCTOS'!$E$2:$E$501,MATCH(F103,'04_PRODUCTOS'!$B$2:$B$501,0)))),"")</f>
        <v/>
      </c>
      <c r="I103" s="3" t="str">
        <f t="shared" si="9"/>
        <v/>
      </c>
      <c r="J103" s="3" t="str">
        <f>IFERROR(IF(INDEX('04_PRODUCTOS'!$D$2:$D$501,MATCH(F103,'04_PRODUCTOS'!$B$2:$B$501,0))="","",I103-(G103*INDEX('04_PRODUCTOS'!$D$2:$D$501,MATCH(F103,'04_PRODUCTOS'!$B$2:$B$501,0)))),"")</f>
        <v/>
      </c>
      <c r="K103" s="7" t="str">
        <f t="shared" si="10"/>
        <v/>
      </c>
      <c r="O103" t="str">
        <f>IF(D103="","",IFERROR(INDEX('03_CLIENTES'!$A$2:$A$501,MATCH(D103,'03_CLIENTES'!$B$2:$B$501,0)),""))</f>
        <v/>
      </c>
      <c r="P103" t="str">
        <f>IF(F103="","",IFERROR(INDEX('04_PRODUCTOS'!$A$2:$A$501,MATCH(F103,'04_PRODUCTOS'!$B$2:$B$501,0)),""))</f>
        <v/>
      </c>
      <c r="Q103" t="str">
        <f t="shared" si="11"/>
        <v/>
      </c>
    </row>
    <row r="104" spans="1:17" x14ac:dyDescent="0.25">
      <c r="A104" t="str">
        <f t="shared" si="6"/>
        <v/>
      </c>
      <c r="B104" s="4" t="str">
        <f t="shared" ca="1" si="7"/>
        <v/>
      </c>
      <c r="C104" s="5" t="str">
        <f t="shared" ca="1" si="8"/>
        <v/>
      </c>
      <c r="G104" s="6"/>
      <c r="H104" s="3" t="str">
        <f>IFERROR(IF(E104="Mayorista",IF(INDEX('04_PRODUCTOS'!$F$2:$F$501,MATCH(F104,'04_PRODUCTOS'!$B$2:$B$501,0))="",INDEX('04_PRODUCTOS'!$E$2:$E$501,MATCH(F104,'04_PRODUCTOS'!$B$2:$B$501,0)),INDEX('04_PRODUCTOS'!$F$2:$F$501,MATCH(F104,'04_PRODUCTOS'!$B$2:$B$501,0))),IF(E104="Especial",IF(INDEX('04_PRODUCTOS'!$G$2:$G$501,MATCH(F104,'04_PRODUCTOS'!$B$2:$B$501,0))="",INDEX('04_PRODUCTOS'!$E$2:$E$501,MATCH(F104,'04_PRODUCTOS'!$B$2:$B$501,0)),INDEX('04_PRODUCTOS'!$G$2:$G$501,MATCH(F104,'04_PRODUCTOS'!$B$2:$B$501,0))),INDEX('04_PRODUCTOS'!$E$2:$E$501,MATCH(F104,'04_PRODUCTOS'!$B$2:$B$501,0)))),"")</f>
        <v/>
      </c>
      <c r="I104" s="3" t="str">
        <f t="shared" si="9"/>
        <v/>
      </c>
      <c r="J104" s="3" t="str">
        <f>IFERROR(IF(INDEX('04_PRODUCTOS'!$D$2:$D$501,MATCH(F104,'04_PRODUCTOS'!$B$2:$B$501,0))="","",I104-(G104*INDEX('04_PRODUCTOS'!$D$2:$D$501,MATCH(F104,'04_PRODUCTOS'!$B$2:$B$501,0)))),"")</f>
        <v/>
      </c>
      <c r="K104" s="7" t="str">
        <f t="shared" si="10"/>
        <v/>
      </c>
      <c r="O104" t="str">
        <f>IF(D104="","",IFERROR(INDEX('03_CLIENTES'!$A$2:$A$501,MATCH(D104,'03_CLIENTES'!$B$2:$B$501,0)),""))</f>
        <v/>
      </c>
      <c r="P104" t="str">
        <f>IF(F104="","",IFERROR(INDEX('04_PRODUCTOS'!$A$2:$A$501,MATCH(F104,'04_PRODUCTOS'!$B$2:$B$501,0)),""))</f>
        <v/>
      </c>
      <c r="Q104" t="str">
        <f t="shared" si="11"/>
        <v/>
      </c>
    </row>
    <row r="105" spans="1:17" x14ac:dyDescent="0.25">
      <c r="A105" t="str">
        <f t="shared" si="6"/>
        <v/>
      </c>
      <c r="B105" s="4" t="str">
        <f t="shared" ca="1" si="7"/>
        <v/>
      </c>
      <c r="C105" s="5" t="str">
        <f t="shared" ca="1" si="8"/>
        <v/>
      </c>
      <c r="G105" s="6"/>
      <c r="H105" s="3" t="str">
        <f>IFERROR(IF(E105="Mayorista",IF(INDEX('04_PRODUCTOS'!$F$2:$F$501,MATCH(F105,'04_PRODUCTOS'!$B$2:$B$501,0))="",INDEX('04_PRODUCTOS'!$E$2:$E$501,MATCH(F105,'04_PRODUCTOS'!$B$2:$B$501,0)),INDEX('04_PRODUCTOS'!$F$2:$F$501,MATCH(F105,'04_PRODUCTOS'!$B$2:$B$501,0))),IF(E105="Especial",IF(INDEX('04_PRODUCTOS'!$G$2:$G$501,MATCH(F105,'04_PRODUCTOS'!$B$2:$B$501,0))="",INDEX('04_PRODUCTOS'!$E$2:$E$501,MATCH(F105,'04_PRODUCTOS'!$B$2:$B$501,0)),INDEX('04_PRODUCTOS'!$G$2:$G$501,MATCH(F105,'04_PRODUCTOS'!$B$2:$B$501,0))),INDEX('04_PRODUCTOS'!$E$2:$E$501,MATCH(F105,'04_PRODUCTOS'!$B$2:$B$501,0)))),"")</f>
        <v/>
      </c>
      <c r="I105" s="3" t="str">
        <f t="shared" si="9"/>
        <v/>
      </c>
      <c r="J105" s="3" t="str">
        <f>IFERROR(IF(INDEX('04_PRODUCTOS'!$D$2:$D$501,MATCH(F105,'04_PRODUCTOS'!$B$2:$B$501,0))="","",I105-(G105*INDEX('04_PRODUCTOS'!$D$2:$D$501,MATCH(F105,'04_PRODUCTOS'!$B$2:$B$501,0)))),"")</f>
        <v/>
      </c>
      <c r="K105" s="7" t="str">
        <f t="shared" si="10"/>
        <v/>
      </c>
      <c r="O105" t="str">
        <f>IF(D105="","",IFERROR(INDEX('03_CLIENTES'!$A$2:$A$501,MATCH(D105,'03_CLIENTES'!$B$2:$B$501,0)),""))</f>
        <v/>
      </c>
      <c r="P105" t="str">
        <f>IF(F105="","",IFERROR(INDEX('04_PRODUCTOS'!$A$2:$A$501,MATCH(F105,'04_PRODUCTOS'!$B$2:$B$501,0)),""))</f>
        <v/>
      </c>
      <c r="Q105" t="str">
        <f t="shared" si="11"/>
        <v/>
      </c>
    </row>
    <row r="106" spans="1:17" x14ac:dyDescent="0.25">
      <c r="A106" t="str">
        <f t="shared" si="6"/>
        <v/>
      </c>
      <c r="B106" s="4" t="str">
        <f t="shared" ca="1" si="7"/>
        <v/>
      </c>
      <c r="C106" s="5" t="str">
        <f t="shared" ca="1" si="8"/>
        <v/>
      </c>
      <c r="G106" s="6"/>
      <c r="H106" s="3" t="str">
        <f>IFERROR(IF(E106="Mayorista",IF(INDEX('04_PRODUCTOS'!$F$2:$F$501,MATCH(F106,'04_PRODUCTOS'!$B$2:$B$501,0))="",INDEX('04_PRODUCTOS'!$E$2:$E$501,MATCH(F106,'04_PRODUCTOS'!$B$2:$B$501,0)),INDEX('04_PRODUCTOS'!$F$2:$F$501,MATCH(F106,'04_PRODUCTOS'!$B$2:$B$501,0))),IF(E106="Especial",IF(INDEX('04_PRODUCTOS'!$G$2:$G$501,MATCH(F106,'04_PRODUCTOS'!$B$2:$B$501,0))="",INDEX('04_PRODUCTOS'!$E$2:$E$501,MATCH(F106,'04_PRODUCTOS'!$B$2:$B$501,0)),INDEX('04_PRODUCTOS'!$G$2:$G$501,MATCH(F106,'04_PRODUCTOS'!$B$2:$B$501,0))),INDEX('04_PRODUCTOS'!$E$2:$E$501,MATCH(F106,'04_PRODUCTOS'!$B$2:$B$501,0)))),"")</f>
        <v/>
      </c>
      <c r="I106" s="3" t="str">
        <f t="shared" si="9"/>
        <v/>
      </c>
      <c r="J106" s="3" t="str">
        <f>IFERROR(IF(INDEX('04_PRODUCTOS'!$D$2:$D$501,MATCH(F106,'04_PRODUCTOS'!$B$2:$B$501,0))="","",I106-(G106*INDEX('04_PRODUCTOS'!$D$2:$D$501,MATCH(F106,'04_PRODUCTOS'!$B$2:$B$501,0)))),"")</f>
        <v/>
      </c>
      <c r="K106" s="7" t="str">
        <f t="shared" si="10"/>
        <v/>
      </c>
      <c r="O106" t="str">
        <f>IF(D106="","",IFERROR(INDEX('03_CLIENTES'!$A$2:$A$501,MATCH(D106,'03_CLIENTES'!$B$2:$B$501,0)),""))</f>
        <v/>
      </c>
      <c r="P106" t="str">
        <f>IF(F106="","",IFERROR(INDEX('04_PRODUCTOS'!$A$2:$A$501,MATCH(F106,'04_PRODUCTOS'!$B$2:$B$501,0)),""))</f>
        <v/>
      </c>
      <c r="Q106" t="str">
        <f t="shared" si="11"/>
        <v/>
      </c>
    </row>
    <row r="107" spans="1:17" x14ac:dyDescent="0.25">
      <c r="A107" t="str">
        <f t="shared" si="6"/>
        <v/>
      </c>
      <c r="B107" s="4" t="str">
        <f t="shared" ca="1" si="7"/>
        <v/>
      </c>
      <c r="C107" s="5" t="str">
        <f t="shared" ca="1" si="8"/>
        <v/>
      </c>
      <c r="G107" s="6"/>
      <c r="H107" s="3" t="str">
        <f>IFERROR(IF(E107="Mayorista",IF(INDEX('04_PRODUCTOS'!$F$2:$F$501,MATCH(F107,'04_PRODUCTOS'!$B$2:$B$501,0))="",INDEX('04_PRODUCTOS'!$E$2:$E$501,MATCH(F107,'04_PRODUCTOS'!$B$2:$B$501,0)),INDEX('04_PRODUCTOS'!$F$2:$F$501,MATCH(F107,'04_PRODUCTOS'!$B$2:$B$501,0))),IF(E107="Especial",IF(INDEX('04_PRODUCTOS'!$G$2:$G$501,MATCH(F107,'04_PRODUCTOS'!$B$2:$B$501,0))="",INDEX('04_PRODUCTOS'!$E$2:$E$501,MATCH(F107,'04_PRODUCTOS'!$B$2:$B$501,0)),INDEX('04_PRODUCTOS'!$G$2:$G$501,MATCH(F107,'04_PRODUCTOS'!$B$2:$B$501,0))),INDEX('04_PRODUCTOS'!$E$2:$E$501,MATCH(F107,'04_PRODUCTOS'!$B$2:$B$501,0)))),"")</f>
        <v/>
      </c>
      <c r="I107" s="3" t="str">
        <f t="shared" si="9"/>
        <v/>
      </c>
      <c r="J107" s="3" t="str">
        <f>IFERROR(IF(INDEX('04_PRODUCTOS'!$D$2:$D$501,MATCH(F107,'04_PRODUCTOS'!$B$2:$B$501,0))="","",I107-(G107*INDEX('04_PRODUCTOS'!$D$2:$D$501,MATCH(F107,'04_PRODUCTOS'!$B$2:$B$501,0)))),"")</f>
        <v/>
      </c>
      <c r="K107" s="7" t="str">
        <f t="shared" si="10"/>
        <v/>
      </c>
      <c r="O107" t="str">
        <f>IF(D107="","",IFERROR(INDEX('03_CLIENTES'!$A$2:$A$501,MATCH(D107,'03_CLIENTES'!$B$2:$B$501,0)),""))</f>
        <v/>
      </c>
      <c r="P107" t="str">
        <f>IF(F107="","",IFERROR(INDEX('04_PRODUCTOS'!$A$2:$A$501,MATCH(F107,'04_PRODUCTOS'!$B$2:$B$501,0)),""))</f>
        <v/>
      </c>
      <c r="Q107" t="str">
        <f t="shared" si="11"/>
        <v/>
      </c>
    </row>
    <row r="108" spans="1:17" x14ac:dyDescent="0.25">
      <c r="A108" t="str">
        <f t="shared" si="6"/>
        <v/>
      </c>
      <c r="B108" s="4" t="str">
        <f t="shared" ca="1" si="7"/>
        <v/>
      </c>
      <c r="C108" s="5" t="str">
        <f t="shared" ca="1" si="8"/>
        <v/>
      </c>
      <c r="G108" s="6"/>
      <c r="H108" s="3" t="str">
        <f>IFERROR(IF(E108="Mayorista",IF(INDEX('04_PRODUCTOS'!$F$2:$F$501,MATCH(F108,'04_PRODUCTOS'!$B$2:$B$501,0))="",INDEX('04_PRODUCTOS'!$E$2:$E$501,MATCH(F108,'04_PRODUCTOS'!$B$2:$B$501,0)),INDEX('04_PRODUCTOS'!$F$2:$F$501,MATCH(F108,'04_PRODUCTOS'!$B$2:$B$501,0))),IF(E108="Especial",IF(INDEX('04_PRODUCTOS'!$G$2:$G$501,MATCH(F108,'04_PRODUCTOS'!$B$2:$B$501,0))="",INDEX('04_PRODUCTOS'!$E$2:$E$501,MATCH(F108,'04_PRODUCTOS'!$B$2:$B$501,0)),INDEX('04_PRODUCTOS'!$G$2:$G$501,MATCH(F108,'04_PRODUCTOS'!$B$2:$B$501,0))),INDEX('04_PRODUCTOS'!$E$2:$E$501,MATCH(F108,'04_PRODUCTOS'!$B$2:$B$501,0)))),"")</f>
        <v/>
      </c>
      <c r="I108" s="3" t="str">
        <f t="shared" si="9"/>
        <v/>
      </c>
      <c r="J108" s="3" t="str">
        <f>IFERROR(IF(INDEX('04_PRODUCTOS'!$D$2:$D$501,MATCH(F108,'04_PRODUCTOS'!$B$2:$B$501,0))="","",I108-(G108*INDEX('04_PRODUCTOS'!$D$2:$D$501,MATCH(F108,'04_PRODUCTOS'!$B$2:$B$501,0)))),"")</f>
        <v/>
      </c>
      <c r="K108" s="7" t="str">
        <f t="shared" si="10"/>
        <v/>
      </c>
      <c r="O108" t="str">
        <f>IF(D108="","",IFERROR(INDEX('03_CLIENTES'!$A$2:$A$501,MATCH(D108,'03_CLIENTES'!$B$2:$B$501,0)),""))</f>
        <v/>
      </c>
      <c r="P108" t="str">
        <f>IF(F108="","",IFERROR(INDEX('04_PRODUCTOS'!$A$2:$A$501,MATCH(F108,'04_PRODUCTOS'!$B$2:$B$501,0)),""))</f>
        <v/>
      </c>
      <c r="Q108" t="str">
        <f t="shared" si="11"/>
        <v/>
      </c>
    </row>
    <row r="109" spans="1:17" x14ac:dyDescent="0.25">
      <c r="A109" t="str">
        <f t="shared" si="6"/>
        <v/>
      </c>
      <c r="B109" s="4" t="str">
        <f t="shared" ca="1" si="7"/>
        <v/>
      </c>
      <c r="C109" s="5" t="str">
        <f t="shared" ca="1" si="8"/>
        <v/>
      </c>
      <c r="G109" s="6"/>
      <c r="H109" s="3" t="str">
        <f>IFERROR(IF(E109="Mayorista",IF(INDEX('04_PRODUCTOS'!$F$2:$F$501,MATCH(F109,'04_PRODUCTOS'!$B$2:$B$501,0))="",INDEX('04_PRODUCTOS'!$E$2:$E$501,MATCH(F109,'04_PRODUCTOS'!$B$2:$B$501,0)),INDEX('04_PRODUCTOS'!$F$2:$F$501,MATCH(F109,'04_PRODUCTOS'!$B$2:$B$501,0))),IF(E109="Especial",IF(INDEX('04_PRODUCTOS'!$G$2:$G$501,MATCH(F109,'04_PRODUCTOS'!$B$2:$B$501,0))="",INDEX('04_PRODUCTOS'!$E$2:$E$501,MATCH(F109,'04_PRODUCTOS'!$B$2:$B$501,0)),INDEX('04_PRODUCTOS'!$G$2:$G$501,MATCH(F109,'04_PRODUCTOS'!$B$2:$B$501,0))),INDEX('04_PRODUCTOS'!$E$2:$E$501,MATCH(F109,'04_PRODUCTOS'!$B$2:$B$501,0)))),"")</f>
        <v/>
      </c>
      <c r="I109" s="3" t="str">
        <f t="shared" si="9"/>
        <v/>
      </c>
      <c r="J109" s="3" t="str">
        <f>IFERROR(IF(INDEX('04_PRODUCTOS'!$D$2:$D$501,MATCH(F109,'04_PRODUCTOS'!$B$2:$B$501,0))="","",I109-(G109*INDEX('04_PRODUCTOS'!$D$2:$D$501,MATCH(F109,'04_PRODUCTOS'!$B$2:$B$501,0)))),"")</f>
        <v/>
      </c>
      <c r="K109" s="7" t="str">
        <f t="shared" si="10"/>
        <v/>
      </c>
      <c r="O109" t="str">
        <f>IF(D109="","",IFERROR(INDEX('03_CLIENTES'!$A$2:$A$501,MATCH(D109,'03_CLIENTES'!$B$2:$B$501,0)),""))</f>
        <v/>
      </c>
      <c r="P109" t="str">
        <f>IF(F109="","",IFERROR(INDEX('04_PRODUCTOS'!$A$2:$A$501,MATCH(F109,'04_PRODUCTOS'!$B$2:$B$501,0)),""))</f>
        <v/>
      </c>
      <c r="Q109" t="str">
        <f t="shared" si="11"/>
        <v/>
      </c>
    </row>
    <row r="110" spans="1:17" x14ac:dyDescent="0.25">
      <c r="A110" t="str">
        <f t="shared" si="6"/>
        <v/>
      </c>
      <c r="B110" s="4" t="str">
        <f t="shared" ca="1" si="7"/>
        <v/>
      </c>
      <c r="C110" s="5" t="str">
        <f t="shared" ca="1" si="8"/>
        <v/>
      </c>
      <c r="G110" s="6"/>
      <c r="H110" s="3" t="str">
        <f>IFERROR(IF(E110="Mayorista",IF(INDEX('04_PRODUCTOS'!$F$2:$F$501,MATCH(F110,'04_PRODUCTOS'!$B$2:$B$501,0))="",INDEX('04_PRODUCTOS'!$E$2:$E$501,MATCH(F110,'04_PRODUCTOS'!$B$2:$B$501,0)),INDEX('04_PRODUCTOS'!$F$2:$F$501,MATCH(F110,'04_PRODUCTOS'!$B$2:$B$501,0))),IF(E110="Especial",IF(INDEX('04_PRODUCTOS'!$G$2:$G$501,MATCH(F110,'04_PRODUCTOS'!$B$2:$B$501,0))="",INDEX('04_PRODUCTOS'!$E$2:$E$501,MATCH(F110,'04_PRODUCTOS'!$B$2:$B$501,0)),INDEX('04_PRODUCTOS'!$G$2:$G$501,MATCH(F110,'04_PRODUCTOS'!$B$2:$B$501,0))),INDEX('04_PRODUCTOS'!$E$2:$E$501,MATCH(F110,'04_PRODUCTOS'!$B$2:$B$501,0)))),"")</f>
        <v/>
      </c>
      <c r="I110" s="3" t="str">
        <f t="shared" si="9"/>
        <v/>
      </c>
      <c r="J110" s="3" t="str">
        <f>IFERROR(IF(INDEX('04_PRODUCTOS'!$D$2:$D$501,MATCH(F110,'04_PRODUCTOS'!$B$2:$B$501,0))="","",I110-(G110*INDEX('04_PRODUCTOS'!$D$2:$D$501,MATCH(F110,'04_PRODUCTOS'!$B$2:$B$501,0)))),"")</f>
        <v/>
      </c>
      <c r="K110" s="7" t="str">
        <f t="shared" si="10"/>
        <v/>
      </c>
      <c r="O110" t="str">
        <f>IF(D110="","",IFERROR(INDEX('03_CLIENTES'!$A$2:$A$501,MATCH(D110,'03_CLIENTES'!$B$2:$B$501,0)),""))</f>
        <v/>
      </c>
      <c r="P110" t="str">
        <f>IF(F110="","",IFERROR(INDEX('04_PRODUCTOS'!$A$2:$A$501,MATCH(F110,'04_PRODUCTOS'!$B$2:$B$501,0)),""))</f>
        <v/>
      </c>
      <c r="Q110" t="str">
        <f t="shared" si="11"/>
        <v/>
      </c>
    </row>
    <row r="111" spans="1:17" x14ac:dyDescent="0.25">
      <c r="A111" t="str">
        <f t="shared" si="6"/>
        <v/>
      </c>
      <c r="B111" s="4" t="str">
        <f t="shared" ca="1" si="7"/>
        <v/>
      </c>
      <c r="C111" s="5" t="str">
        <f t="shared" ca="1" si="8"/>
        <v/>
      </c>
      <c r="G111" s="6"/>
      <c r="H111" s="3" t="str">
        <f>IFERROR(IF(E111="Mayorista",IF(INDEX('04_PRODUCTOS'!$F$2:$F$501,MATCH(F111,'04_PRODUCTOS'!$B$2:$B$501,0))="",INDEX('04_PRODUCTOS'!$E$2:$E$501,MATCH(F111,'04_PRODUCTOS'!$B$2:$B$501,0)),INDEX('04_PRODUCTOS'!$F$2:$F$501,MATCH(F111,'04_PRODUCTOS'!$B$2:$B$501,0))),IF(E111="Especial",IF(INDEX('04_PRODUCTOS'!$G$2:$G$501,MATCH(F111,'04_PRODUCTOS'!$B$2:$B$501,0))="",INDEX('04_PRODUCTOS'!$E$2:$E$501,MATCH(F111,'04_PRODUCTOS'!$B$2:$B$501,0)),INDEX('04_PRODUCTOS'!$G$2:$G$501,MATCH(F111,'04_PRODUCTOS'!$B$2:$B$501,0))),INDEX('04_PRODUCTOS'!$E$2:$E$501,MATCH(F111,'04_PRODUCTOS'!$B$2:$B$501,0)))),"")</f>
        <v/>
      </c>
      <c r="I111" s="3" t="str">
        <f t="shared" si="9"/>
        <v/>
      </c>
      <c r="J111" s="3" t="str">
        <f>IFERROR(IF(INDEX('04_PRODUCTOS'!$D$2:$D$501,MATCH(F111,'04_PRODUCTOS'!$B$2:$B$501,0))="","",I111-(G111*INDEX('04_PRODUCTOS'!$D$2:$D$501,MATCH(F111,'04_PRODUCTOS'!$B$2:$B$501,0)))),"")</f>
        <v/>
      </c>
      <c r="K111" s="7" t="str">
        <f t="shared" si="10"/>
        <v/>
      </c>
      <c r="O111" t="str">
        <f>IF(D111="","",IFERROR(INDEX('03_CLIENTES'!$A$2:$A$501,MATCH(D111,'03_CLIENTES'!$B$2:$B$501,0)),""))</f>
        <v/>
      </c>
      <c r="P111" t="str">
        <f>IF(F111="","",IFERROR(INDEX('04_PRODUCTOS'!$A$2:$A$501,MATCH(F111,'04_PRODUCTOS'!$B$2:$B$501,0)),""))</f>
        <v/>
      </c>
      <c r="Q111" t="str">
        <f t="shared" si="11"/>
        <v/>
      </c>
    </row>
    <row r="112" spans="1:17" x14ac:dyDescent="0.25">
      <c r="A112" t="str">
        <f t="shared" si="6"/>
        <v/>
      </c>
      <c r="B112" s="4" t="str">
        <f t="shared" ca="1" si="7"/>
        <v/>
      </c>
      <c r="C112" s="5" t="str">
        <f t="shared" ca="1" si="8"/>
        <v/>
      </c>
      <c r="G112" s="6"/>
      <c r="H112" s="3" t="str">
        <f>IFERROR(IF(E112="Mayorista",IF(INDEX('04_PRODUCTOS'!$F$2:$F$501,MATCH(F112,'04_PRODUCTOS'!$B$2:$B$501,0))="",INDEX('04_PRODUCTOS'!$E$2:$E$501,MATCH(F112,'04_PRODUCTOS'!$B$2:$B$501,0)),INDEX('04_PRODUCTOS'!$F$2:$F$501,MATCH(F112,'04_PRODUCTOS'!$B$2:$B$501,0))),IF(E112="Especial",IF(INDEX('04_PRODUCTOS'!$G$2:$G$501,MATCH(F112,'04_PRODUCTOS'!$B$2:$B$501,0))="",INDEX('04_PRODUCTOS'!$E$2:$E$501,MATCH(F112,'04_PRODUCTOS'!$B$2:$B$501,0)),INDEX('04_PRODUCTOS'!$G$2:$G$501,MATCH(F112,'04_PRODUCTOS'!$B$2:$B$501,0))),INDEX('04_PRODUCTOS'!$E$2:$E$501,MATCH(F112,'04_PRODUCTOS'!$B$2:$B$501,0)))),"")</f>
        <v/>
      </c>
      <c r="I112" s="3" t="str">
        <f t="shared" si="9"/>
        <v/>
      </c>
      <c r="J112" s="3" t="str">
        <f>IFERROR(IF(INDEX('04_PRODUCTOS'!$D$2:$D$501,MATCH(F112,'04_PRODUCTOS'!$B$2:$B$501,0))="","",I112-(G112*INDEX('04_PRODUCTOS'!$D$2:$D$501,MATCH(F112,'04_PRODUCTOS'!$B$2:$B$501,0)))),"")</f>
        <v/>
      </c>
      <c r="K112" s="7" t="str">
        <f t="shared" si="10"/>
        <v/>
      </c>
      <c r="O112" t="str">
        <f>IF(D112="","",IFERROR(INDEX('03_CLIENTES'!$A$2:$A$501,MATCH(D112,'03_CLIENTES'!$B$2:$B$501,0)),""))</f>
        <v/>
      </c>
      <c r="P112" t="str">
        <f>IF(F112="","",IFERROR(INDEX('04_PRODUCTOS'!$A$2:$A$501,MATCH(F112,'04_PRODUCTOS'!$B$2:$B$501,0)),""))</f>
        <v/>
      </c>
      <c r="Q112" t="str">
        <f t="shared" si="11"/>
        <v/>
      </c>
    </row>
    <row r="113" spans="1:17" x14ac:dyDescent="0.25">
      <c r="A113" t="str">
        <f t="shared" si="6"/>
        <v/>
      </c>
      <c r="B113" s="4" t="str">
        <f t="shared" ca="1" si="7"/>
        <v/>
      </c>
      <c r="C113" s="5" t="str">
        <f t="shared" ca="1" si="8"/>
        <v/>
      </c>
      <c r="G113" s="6"/>
      <c r="H113" s="3" t="str">
        <f>IFERROR(IF(E113="Mayorista",IF(INDEX('04_PRODUCTOS'!$F$2:$F$501,MATCH(F113,'04_PRODUCTOS'!$B$2:$B$501,0))="",INDEX('04_PRODUCTOS'!$E$2:$E$501,MATCH(F113,'04_PRODUCTOS'!$B$2:$B$501,0)),INDEX('04_PRODUCTOS'!$F$2:$F$501,MATCH(F113,'04_PRODUCTOS'!$B$2:$B$501,0))),IF(E113="Especial",IF(INDEX('04_PRODUCTOS'!$G$2:$G$501,MATCH(F113,'04_PRODUCTOS'!$B$2:$B$501,0))="",INDEX('04_PRODUCTOS'!$E$2:$E$501,MATCH(F113,'04_PRODUCTOS'!$B$2:$B$501,0)),INDEX('04_PRODUCTOS'!$G$2:$G$501,MATCH(F113,'04_PRODUCTOS'!$B$2:$B$501,0))),INDEX('04_PRODUCTOS'!$E$2:$E$501,MATCH(F113,'04_PRODUCTOS'!$B$2:$B$501,0)))),"")</f>
        <v/>
      </c>
      <c r="I113" s="3" t="str">
        <f t="shared" si="9"/>
        <v/>
      </c>
      <c r="J113" s="3" t="str">
        <f>IFERROR(IF(INDEX('04_PRODUCTOS'!$D$2:$D$501,MATCH(F113,'04_PRODUCTOS'!$B$2:$B$501,0))="","",I113-(G113*INDEX('04_PRODUCTOS'!$D$2:$D$501,MATCH(F113,'04_PRODUCTOS'!$B$2:$B$501,0)))),"")</f>
        <v/>
      </c>
      <c r="K113" s="7" t="str">
        <f t="shared" si="10"/>
        <v/>
      </c>
      <c r="O113" t="str">
        <f>IF(D113="","",IFERROR(INDEX('03_CLIENTES'!$A$2:$A$501,MATCH(D113,'03_CLIENTES'!$B$2:$B$501,0)),""))</f>
        <v/>
      </c>
      <c r="P113" t="str">
        <f>IF(F113="","",IFERROR(INDEX('04_PRODUCTOS'!$A$2:$A$501,MATCH(F113,'04_PRODUCTOS'!$B$2:$B$501,0)),""))</f>
        <v/>
      </c>
      <c r="Q113" t="str">
        <f t="shared" si="11"/>
        <v/>
      </c>
    </row>
    <row r="114" spans="1:17" x14ac:dyDescent="0.25">
      <c r="A114" t="str">
        <f t="shared" si="6"/>
        <v/>
      </c>
      <c r="B114" s="4" t="str">
        <f t="shared" ca="1" si="7"/>
        <v/>
      </c>
      <c r="C114" s="5" t="str">
        <f t="shared" ca="1" si="8"/>
        <v/>
      </c>
      <c r="G114" s="6"/>
      <c r="H114" s="3" t="str">
        <f>IFERROR(IF(E114="Mayorista",IF(INDEX('04_PRODUCTOS'!$F$2:$F$501,MATCH(F114,'04_PRODUCTOS'!$B$2:$B$501,0))="",INDEX('04_PRODUCTOS'!$E$2:$E$501,MATCH(F114,'04_PRODUCTOS'!$B$2:$B$501,0)),INDEX('04_PRODUCTOS'!$F$2:$F$501,MATCH(F114,'04_PRODUCTOS'!$B$2:$B$501,0))),IF(E114="Especial",IF(INDEX('04_PRODUCTOS'!$G$2:$G$501,MATCH(F114,'04_PRODUCTOS'!$B$2:$B$501,0))="",INDEX('04_PRODUCTOS'!$E$2:$E$501,MATCH(F114,'04_PRODUCTOS'!$B$2:$B$501,0)),INDEX('04_PRODUCTOS'!$G$2:$G$501,MATCH(F114,'04_PRODUCTOS'!$B$2:$B$501,0))),INDEX('04_PRODUCTOS'!$E$2:$E$501,MATCH(F114,'04_PRODUCTOS'!$B$2:$B$501,0)))),"")</f>
        <v/>
      </c>
      <c r="I114" s="3" t="str">
        <f t="shared" si="9"/>
        <v/>
      </c>
      <c r="J114" s="3" t="str">
        <f>IFERROR(IF(INDEX('04_PRODUCTOS'!$D$2:$D$501,MATCH(F114,'04_PRODUCTOS'!$B$2:$B$501,0))="","",I114-(G114*INDEX('04_PRODUCTOS'!$D$2:$D$501,MATCH(F114,'04_PRODUCTOS'!$B$2:$B$501,0)))),"")</f>
        <v/>
      </c>
      <c r="K114" s="7" t="str">
        <f t="shared" si="10"/>
        <v/>
      </c>
      <c r="O114" t="str">
        <f>IF(D114="","",IFERROR(INDEX('03_CLIENTES'!$A$2:$A$501,MATCH(D114,'03_CLIENTES'!$B$2:$B$501,0)),""))</f>
        <v/>
      </c>
      <c r="P114" t="str">
        <f>IF(F114="","",IFERROR(INDEX('04_PRODUCTOS'!$A$2:$A$501,MATCH(F114,'04_PRODUCTOS'!$B$2:$B$501,0)),""))</f>
        <v/>
      </c>
      <c r="Q114" t="str">
        <f t="shared" si="11"/>
        <v/>
      </c>
    </row>
    <row r="115" spans="1:17" x14ac:dyDescent="0.25">
      <c r="A115" t="str">
        <f t="shared" si="6"/>
        <v/>
      </c>
      <c r="B115" s="4" t="str">
        <f t="shared" ca="1" si="7"/>
        <v/>
      </c>
      <c r="C115" s="5" t="str">
        <f t="shared" ca="1" si="8"/>
        <v/>
      </c>
      <c r="G115" s="6"/>
      <c r="H115" s="3" t="str">
        <f>IFERROR(IF(E115="Mayorista",IF(INDEX('04_PRODUCTOS'!$F$2:$F$501,MATCH(F115,'04_PRODUCTOS'!$B$2:$B$501,0))="",INDEX('04_PRODUCTOS'!$E$2:$E$501,MATCH(F115,'04_PRODUCTOS'!$B$2:$B$501,0)),INDEX('04_PRODUCTOS'!$F$2:$F$501,MATCH(F115,'04_PRODUCTOS'!$B$2:$B$501,0))),IF(E115="Especial",IF(INDEX('04_PRODUCTOS'!$G$2:$G$501,MATCH(F115,'04_PRODUCTOS'!$B$2:$B$501,0))="",INDEX('04_PRODUCTOS'!$E$2:$E$501,MATCH(F115,'04_PRODUCTOS'!$B$2:$B$501,0)),INDEX('04_PRODUCTOS'!$G$2:$G$501,MATCH(F115,'04_PRODUCTOS'!$B$2:$B$501,0))),INDEX('04_PRODUCTOS'!$E$2:$E$501,MATCH(F115,'04_PRODUCTOS'!$B$2:$B$501,0)))),"")</f>
        <v/>
      </c>
      <c r="I115" s="3" t="str">
        <f t="shared" si="9"/>
        <v/>
      </c>
      <c r="J115" s="3" t="str">
        <f>IFERROR(IF(INDEX('04_PRODUCTOS'!$D$2:$D$501,MATCH(F115,'04_PRODUCTOS'!$B$2:$B$501,0))="","",I115-(G115*INDEX('04_PRODUCTOS'!$D$2:$D$501,MATCH(F115,'04_PRODUCTOS'!$B$2:$B$501,0)))),"")</f>
        <v/>
      </c>
      <c r="K115" s="7" t="str">
        <f t="shared" si="10"/>
        <v/>
      </c>
      <c r="O115" t="str">
        <f>IF(D115="","",IFERROR(INDEX('03_CLIENTES'!$A$2:$A$501,MATCH(D115,'03_CLIENTES'!$B$2:$B$501,0)),""))</f>
        <v/>
      </c>
      <c r="P115" t="str">
        <f>IF(F115="","",IFERROR(INDEX('04_PRODUCTOS'!$A$2:$A$501,MATCH(F115,'04_PRODUCTOS'!$B$2:$B$501,0)),""))</f>
        <v/>
      </c>
      <c r="Q115" t="str">
        <f t="shared" si="11"/>
        <v/>
      </c>
    </row>
    <row r="116" spans="1:17" x14ac:dyDescent="0.25">
      <c r="A116" t="str">
        <f t="shared" si="6"/>
        <v/>
      </c>
      <c r="B116" s="4" t="str">
        <f t="shared" ca="1" si="7"/>
        <v/>
      </c>
      <c r="C116" s="5" t="str">
        <f t="shared" ca="1" si="8"/>
        <v/>
      </c>
      <c r="G116" s="6"/>
      <c r="H116" s="3" t="str">
        <f>IFERROR(IF(E116="Mayorista",IF(INDEX('04_PRODUCTOS'!$F$2:$F$501,MATCH(F116,'04_PRODUCTOS'!$B$2:$B$501,0))="",INDEX('04_PRODUCTOS'!$E$2:$E$501,MATCH(F116,'04_PRODUCTOS'!$B$2:$B$501,0)),INDEX('04_PRODUCTOS'!$F$2:$F$501,MATCH(F116,'04_PRODUCTOS'!$B$2:$B$501,0))),IF(E116="Especial",IF(INDEX('04_PRODUCTOS'!$G$2:$G$501,MATCH(F116,'04_PRODUCTOS'!$B$2:$B$501,0))="",INDEX('04_PRODUCTOS'!$E$2:$E$501,MATCH(F116,'04_PRODUCTOS'!$B$2:$B$501,0)),INDEX('04_PRODUCTOS'!$G$2:$G$501,MATCH(F116,'04_PRODUCTOS'!$B$2:$B$501,0))),INDEX('04_PRODUCTOS'!$E$2:$E$501,MATCH(F116,'04_PRODUCTOS'!$B$2:$B$501,0)))),"")</f>
        <v/>
      </c>
      <c r="I116" s="3" t="str">
        <f t="shared" si="9"/>
        <v/>
      </c>
      <c r="J116" s="3" t="str">
        <f>IFERROR(IF(INDEX('04_PRODUCTOS'!$D$2:$D$501,MATCH(F116,'04_PRODUCTOS'!$B$2:$B$501,0))="","",I116-(G116*INDEX('04_PRODUCTOS'!$D$2:$D$501,MATCH(F116,'04_PRODUCTOS'!$B$2:$B$501,0)))),"")</f>
        <v/>
      </c>
      <c r="K116" s="7" t="str">
        <f t="shared" si="10"/>
        <v/>
      </c>
      <c r="O116" t="str">
        <f>IF(D116="","",IFERROR(INDEX('03_CLIENTES'!$A$2:$A$501,MATCH(D116,'03_CLIENTES'!$B$2:$B$501,0)),""))</f>
        <v/>
      </c>
      <c r="P116" t="str">
        <f>IF(F116="","",IFERROR(INDEX('04_PRODUCTOS'!$A$2:$A$501,MATCH(F116,'04_PRODUCTOS'!$B$2:$B$501,0)),""))</f>
        <v/>
      </c>
      <c r="Q116" t="str">
        <f t="shared" si="11"/>
        <v/>
      </c>
    </row>
    <row r="117" spans="1:17" x14ac:dyDescent="0.25">
      <c r="A117" t="str">
        <f t="shared" si="6"/>
        <v/>
      </c>
      <c r="B117" s="4" t="str">
        <f t="shared" ca="1" si="7"/>
        <v/>
      </c>
      <c r="C117" s="5" t="str">
        <f t="shared" ca="1" si="8"/>
        <v/>
      </c>
      <c r="G117" s="6"/>
      <c r="H117" s="3" t="str">
        <f>IFERROR(IF(E117="Mayorista",IF(INDEX('04_PRODUCTOS'!$F$2:$F$501,MATCH(F117,'04_PRODUCTOS'!$B$2:$B$501,0))="",INDEX('04_PRODUCTOS'!$E$2:$E$501,MATCH(F117,'04_PRODUCTOS'!$B$2:$B$501,0)),INDEX('04_PRODUCTOS'!$F$2:$F$501,MATCH(F117,'04_PRODUCTOS'!$B$2:$B$501,0))),IF(E117="Especial",IF(INDEX('04_PRODUCTOS'!$G$2:$G$501,MATCH(F117,'04_PRODUCTOS'!$B$2:$B$501,0))="",INDEX('04_PRODUCTOS'!$E$2:$E$501,MATCH(F117,'04_PRODUCTOS'!$B$2:$B$501,0)),INDEX('04_PRODUCTOS'!$G$2:$G$501,MATCH(F117,'04_PRODUCTOS'!$B$2:$B$501,0))),INDEX('04_PRODUCTOS'!$E$2:$E$501,MATCH(F117,'04_PRODUCTOS'!$B$2:$B$501,0)))),"")</f>
        <v/>
      </c>
      <c r="I117" s="3" t="str">
        <f t="shared" si="9"/>
        <v/>
      </c>
      <c r="J117" s="3" t="str">
        <f>IFERROR(IF(INDEX('04_PRODUCTOS'!$D$2:$D$501,MATCH(F117,'04_PRODUCTOS'!$B$2:$B$501,0))="","",I117-(G117*INDEX('04_PRODUCTOS'!$D$2:$D$501,MATCH(F117,'04_PRODUCTOS'!$B$2:$B$501,0)))),"")</f>
        <v/>
      </c>
      <c r="K117" s="7" t="str">
        <f t="shared" si="10"/>
        <v/>
      </c>
      <c r="O117" t="str">
        <f>IF(D117="","",IFERROR(INDEX('03_CLIENTES'!$A$2:$A$501,MATCH(D117,'03_CLIENTES'!$B$2:$B$501,0)),""))</f>
        <v/>
      </c>
      <c r="P117" t="str">
        <f>IF(F117="","",IFERROR(INDEX('04_PRODUCTOS'!$A$2:$A$501,MATCH(F117,'04_PRODUCTOS'!$B$2:$B$501,0)),""))</f>
        <v/>
      </c>
      <c r="Q117" t="str">
        <f t="shared" si="11"/>
        <v/>
      </c>
    </row>
    <row r="118" spans="1:17" x14ac:dyDescent="0.25">
      <c r="A118" t="str">
        <f t="shared" si="6"/>
        <v/>
      </c>
      <c r="B118" s="4" t="str">
        <f t="shared" ca="1" si="7"/>
        <v/>
      </c>
      <c r="C118" s="5" t="str">
        <f t="shared" ca="1" si="8"/>
        <v/>
      </c>
      <c r="G118" s="6"/>
      <c r="H118" s="3" t="str">
        <f>IFERROR(IF(E118="Mayorista",IF(INDEX('04_PRODUCTOS'!$F$2:$F$501,MATCH(F118,'04_PRODUCTOS'!$B$2:$B$501,0))="",INDEX('04_PRODUCTOS'!$E$2:$E$501,MATCH(F118,'04_PRODUCTOS'!$B$2:$B$501,0)),INDEX('04_PRODUCTOS'!$F$2:$F$501,MATCH(F118,'04_PRODUCTOS'!$B$2:$B$501,0))),IF(E118="Especial",IF(INDEX('04_PRODUCTOS'!$G$2:$G$501,MATCH(F118,'04_PRODUCTOS'!$B$2:$B$501,0))="",INDEX('04_PRODUCTOS'!$E$2:$E$501,MATCH(F118,'04_PRODUCTOS'!$B$2:$B$501,0)),INDEX('04_PRODUCTOS'!$G$2:$G$501,MATCH(F118,'04_PRODUCTOS'!$B$2:$B$501,0))),INDEX('04_PRODUCTOS'!$E$2:$E$501,MATCH(F118,'04_PRODUCTOS'!$B$2:$B$501,0)))),"")</f>
        <v/>
      </c>
      <c r="I118" s="3" t="str">
        <f t="shared" si="9"/>
        <v/>
      </c>
      <c r="J118" s="3" t="str">
        <f>IFERROR(IF(INDEX('04_PRODUCTOS'!$D$2:$D$501,MATCH(F118,'04_PRODUCTOS'!$B$2:$B$501,0))="","",I118-(G118*INDEX('04_PRODUCTOS'!$D$2:$D$501,MATCH(F118,'04_PRODUCTOS'!$B$2:$B$501,0)))),"")</f>
        <v/>
      </c>
      <c r="K118" s="7" t="str">
        <f t="shared" si="10"/>
        <v/>
      </c>
      <c r="O118" t="str">
        <f>IF(D118="","",IFERROR(INDEX('03_CLIENTES'!$A$2:$A$501,MATCH(D118,'03_CLIENTES'!$B$2:$B$501,0)),""))</f>
        <v/>
      </c>
      <c r="P118" t="str">
        <f>IF(F118="","",IFERROR(INDEX('04_PRODUCTOS'!$A$2:$A$501,MATCH(F118,'04_PRODUCTOS'!$B$2:$B$501,0)),""))</f>
        <v/>
      </c>
      <c r="Q118" t="str">
        <f t="shared" si="11"/>
        <v/>
      </c>
    </row>
    <row r="119" spans="1:17" x14ac:dyDescent="0.25">
      <c r="A119" t="str">
        <f t="shared" si="6"/>
        <v/>
      </c>
      <c r="B119" s="4" t="str">
        <f t="shared" ca="1" si="7"/>
        <v/>
      </c>
      <c r="C119" s="5" t="str">
        <f t="shared" ca="1" si="8"/>
        <v/>
      </c>
      <c r="G119" s="6"/>
      <c r="H119" s="3" t="str">
        <f>IFERROR(IF(E119="Mayorista",IF(INDEX('04_PRODUCTOS'!$F$2:$F$501,MATCH(F119,'04_PRODUCTOS'!$B$2:$B$501,0))="",INDEX('04_PRODUCTOS'!$E$2:$E$501,MATCH(F119,'04_PRODUCTOS'!$B$2:$B$501,0)),INDEX('04_PRODUCTOS'!$F$2:$F$501,MATCH(F119,'04_PRODUCTOS'!$B$2:$B$501,0))),IF(E119="Especial",IF(INDEX('04_PRODUCTOS'!$G$2:$G$501,MATCH(F119,'04_PRODUCTOS'!$B$2:$B$501,0))="",INDEX('04_PRODUCTOS'!$E$2:$E$501,MATCH(F119,'04_PRODUCTOS'!$B$2:$B$501,0)),INDEX('04_PRODUCTOS'!$G$2:$G$501,MATCH(F119,'04_PRODUCTOS'!$B$2:$B$501,0))),INDEX('04_PRODUCTOS'!$E$2:$E$501,MATCH(F119,'04_PRODUCTOS'!$B$2:$B$501,0)))),"")</f>
        <v/>
      </c>
      <c r="I119" s="3" t="str">
        <f t="shared" si="9"/>
        <v/>
      </c>
      <c r="J119" s="3" t="str">
        <f>IFERROR(IF(INDEX('04_PRODUCTOS'!$D$2:$D$501,MATCH(F119,'04_PRODUCTOS'!$B$2:$B$501,0))="","",I119-(G119*INDEX('04_PRODUCTOS'!$D$2:$D$501,MATCH(F119,'04_PRODUCTOS'!$B$2:$B$501,0)))),"")</f>
        <v/>
      </c>
      <c r="K119" s="7" t="str">
        <f t="shared" si="10"/>
        <v/>
      </c>
      <c r="O119" t="str">
        <f>IF(D119="","",IFERROR(INDEX('03_CLIENTES'!$A$2:$A$501,MATCH(D119,'03_CLIENTES'!$B$2:$B$501,0)),""))</f>
        <v/>
      </c>
      <c r="P119" t="str">
        <f>IF(F119="","",IFERROR(INDEX('04_PRODUCTOS'!$A$2:$A$501,MATCH(F119,'04_PRODUCTOS'!$B$2:$B$501,0)),""))</f>
        <v/>
      </c>
      <c r="Q119" t="str">
        <f t="shared" si="11"/>
        <v/>
      </c>
    </row>
    <row r="120" spans="1:17" x14ac:dyDescent="0.25">
      <c r="A120" t="str">
        <f t="shared" si="6"/>
        <v/>
      </c>
      <c r="B120" s="4" t="str">
        <f t="shared" ca="1" si="7"/>
        <v/>
      </c>
      <c r="C120" s="5" t="str">
        <f t="shared" ca="1" si="8"/>
        <v/>
      </c>
      <c r="G120" s="6"/>
      <c r="H120" s="3" t="str">
        <f>IFERROR(IF(E120="Mayorista",IF(INDEX('04_PRODUCTOS'!$F$2:$F$501,MATCH(F120,'04_PRODUCTOS'!$B$2:$B$501,0))="",INDEX('04_PRODUCTOS'!$E$2:$E$501,MATCH(F120,'04_PRODUCTOS'!$B$2:$B$501,0)),INDEX('04_PRODUCTOS'!$F$2:$F$501,MATCH(F120,'04_PRODUCTOS'!$B$2:$B$501,0))),IF(E120="Especial",IF(INDEX('04_PRODUCTOS'!$G$2:$G$501,MATCH(F120,'04_PRODUCTOS'!$B$2:$B$501,0))="",INDEX('04_PRODUCTOS'!$E$2:$E$501,MATCH(F120,'04_PRODUCTOS'!$B$2:$B$501,0)),INDEX('04_PRODUCTOS'!$G$2:$G$501,MATCH(F120,'04_PRODUCTOS'!$B$2:$B$501,0))),INDEX('04_PRODUCTOS'!$E$2:$E$501,MATCH(F120,'04_PRODUCTOS'!$B$2:$B$501,0)))),"")</f>
        <v/>
      </c>
      <c r="I120" s="3" t="str">
        <f t="shared" si="9"/>
        <v/>
      </c>
      <c r="J120" s="3" t="str">
        <f>IFERROR(IF(INDEX('04_PRODUCTOS'!$D$2:$D$501,MATCH(F120,'04_PRODUCTOS'!$B$2:$B$501,0))="","",I120-(G120*INDEX('04_PRODUCTOS'!$D$2:$D$501,MATCH(F120,'04_PRODUCTOS'!$B$2:$B$501,0)))),"")</f>
        <v/>
      </c>
      <c r="K120" s="7" t="str">
        <f t="shared" si="10"/>
        <v/>
      </c>
      <c r="O120" t="str">
        <f>IF(D120="","",IFERROR(INDEX('03_CLIENTES'!$A$2:$A$501,MATCH(D120,'03_CLIENTES'!$B$2:$B$501,0)),""))</f>
        <v/>
      </c>
      <c r="P120" t="str">
        <f>IF(F120="","",IFERROR(INDEX('04_PRODUCTOS'!$A$2:$A$501,MATCH(F120,'04_PRODUCTOS'!$B$2:$B$501,0)),""))</f>
        <v/>
      </c>
      <c r="Q120" t="str">
        <f t="shared" si="11"/>
        <v/>
      </c>
    </row>
    <row r="121" spans="1:17" x14ac:dyDescent="0.25">
      <c r="A121" t="str">
        <f t="shared" si="6"/>
        <v/>
      </c>
      <c r="B121" s="4" t="str">
        <f t="shared" ca="1" si="7"/>
        <v/>
      </c>
      <c r="C121" s="5" t="str">
        <f t="shared" ca="1" si="8"/>
        <v/>
      </c>
      <c r="G121" s="6"/>
      <c r="H121" s="3" t="str">
        <f>IFERROR(IF(E121="Mayorista",IF(INDEX('04_PRODUCTOS'!$F$2:$F$501,MATCH(F121,'04_PRODUCTOS'!$B$2:$B$501,0))="",INDEX('04_PRODUCTOS'!$E$2:$E$501,MATCH(F121,'04_PRODUCTOS'!$B$2:$B$501,0)),INDEX('04_PRODUCTOS'!$F$2:$F$501,MATCH(F121,'04_PRODUCTOS'!$B$2:$B$501,0))),IF(E121="Especial",IF(INDEX('04_PRODUCTOS'!$G$2:$G$501,MATCH(F121,'04_PRODUCTOS'!$B$2:$B$501,0))="",INDEX('04_PRODUCTOS'!$E$2:$E$501,MATCH(F121,'04_PRODUCTOS'!$B$2:$B$501,0)),INDEX('04_PRODUCTOS'!$G$2:$G$501,MATCH(F121,'04_PRODUCTOS'!$B$2:$B$501,0))),INDEX('04_PRODUCTOS'!$E$2:$E$501,MATCH(F121,'04_PRODUCTOS'!$B$2:$B$501,0)))),"")</f>
        <v/>
      </c>
      <c r="I121" s="3" t="str">
        <f t="shared" si="9"/>
        <v/>
      </c>
      <c r="J121" s="3" t="str">
        <f>IFERROR(IF(INDEX('04_PRODUCTOS'!$D$2:$D$501,MATCH(F121,'04_PRODUCTOS'!$B$2:$B$501,0))="","",I121-(G121*INDEX('04_PRODUCTOS'!$D$2:$D$501,MATCH(F121,'04_PRODUCTOS'!$B$2:$B$501,0)))),"")</f>
        <v/>
      </c>
      <c r="K121" s="7" t="str">
        <f t="shared" si="10"/>
        <v/>
      </c>
      <c r="O121" t="str">
        <f>IF(D121="","",IFERROR(INDEX('03_CLIENTES'!$A$2:$A$501,MATCH(D121,'03_CLIENTES'!$B$2:$B$501,0)),""))</f>
        <v/>
      </c>
      <c r="P121" t="str">
        <f>IF(F121="","",IFERROR(INDEX('04_PRODUCTOS'!$A$2:$A$501,MATCH(F121,'04_PRODUCTOS'!$B$2:$B$501,0)),""))</f>
        <v/>
      </c>
      <c r="Q121" t="str">
        <f t="shared" si="11"/>
        <v/>
      </c>
    </row>
    <row r="122" spans="1:17" x14ac:dyDescent="0.25">
      <c r="A122" t="str">
        <f t="shared" si="6"/>
        <v/>
      </c>
      <c r="B122" s="4" t="str">
        <f t="shared" ca="1" si="7"/>
        <v/>
      </c>
      <c r="C122" s="5" t="str">
        <f t="shared" ca="1" si="8"/>
        <v/>
      </c>
      <c r="G122" s="6"/>
      <c r="H122" s="3" t="str">
        <f>IFERROR(IF(E122="Mayorista",IF(INDEX('04_PRODUCTOS'!$F$2:$F$501,MATCH(F122,'04_PRODUCTOS'!$B$2:$B$501,0))="",INDEX('04_PRODUCTOS'!$E$2:$E$501,MATCH(F122,'04_PRODUCTOS'!$B$2:$B$501,0)),INDEX('04_PRODUCTOS'!$F$2:$F$501,MATCH(F122,'04_PRODUCTOS'!$B$2:$B$501,0))),IF(E122="Especial",IF(INDEX('04_PRODUCTOS'!$G$2:$G$501,MATCH(F122,'04_PRODUCTOS'!$B$2:$B$501,0))="",INDEX('04_PRODUCTOS'!$E$2:$E$501,MATCH(F122,'04_PRODUCTOS'!$B$2:$B$501,0)),INDEX('04_PRODUCTOS'!$G$2:$G$501,MATCH(F122,'04_PRODUCTOS'!$B$2:$B$501,0))),INDEX('04_PRODUCTOS'!$E$2:$E$501,MATCH(F122,'04_PRODUCTOS'!$B$2:$B$501,0)))),"")</f>
        <v/>
      </c>
      <c r="I122" s="3" t="str">
        <f t="shared" si="9"/>
        <v/>
      </c>
      <c r="J122" s="3" t="str">
        <f>IFERROR(IF(INDEX('04_PRODUCTOS'!$D$2:$D$501,MATCH(F122,'04_PRODUCTOS'!$B$2:$B$501,0))="","",I122-(G122*INDEX('04_PRODUCTOS'!$D$2:$D$501,MATCH(F122,'04_PRODUCTOS'!$B$2:$B$501,0)))),"")</f>
        <v/>
      </c>
      <c r="K122" s="7" t="str">
        <f t="shared" si="10"/>
        <v/>
      </c>
      <c r="O122" t="str">
        <f>IF(D122="","",IFERROR(INDEX('03_CLIENTES'!$A$2:$A$501,MATCH(D122,'03_CLIENTES'!$B$2:$B$501,0)),""))</f>
        <v/>
      </c>
      <c r="P122" t="str">
        <f>IF(F122="","",IFERROR(INDEX('04_PRODUCTOS'!$A$2:$A$501,MATCH(F122,'04_PRODUCTOS'!$B$2:$B$501,0)),""))</f>
        <v/>
      </c>
      <c r="Q122" t="str">
        <f t="shared" si="11"/>
        <v/>
      </c>
    </row>
    <row r="123" spans="1:17" x14ac:dyDescent="0.25">
      <c r="A123" t="str">
        <f t="shared" si="6"/>
        <v/>
      </c>
      <c r="B123" s="4" t="str">
        <f t="shared" ca="1" si="7"/>
        <v/>
      </c>
      <c r="C123" s="5" t="str">
        <f t="shared" ca="1" si="8"/>
        <v/>
      </c>
      <c r="G123" s="6"/>
      <c r="H123" s="3" t="str">
        <f>IFERROR(IF(E123="Mayorista",IF(INDEX('04_PRODUCTOS'!$F$2:$F$501,MATCH(F123,'04_PRODUCTOS'!$B$2:$B$501,0))="",INDEX('04_PRODUCTOS'!$E$2:$E$501,MATCH(F123,'04_PRODUCTOS'!$B$2:$B$501,0)),INDEX('04_PRODUCTOS'!$F$2:$F$501,MATCH(F123,'04_PRODUCTOS'!$B$2:$B$501,0))),IF(E123="Especial",IF(INDEX('04_PRODUCTOS'!$G$2:$G$501,MATCH(F123,'04_PRODUCTOS'!$B$2:$B$501,0))="",INDEX('04_PRODUCTOS'!$E$2:$E$501,MATCH(F123,'04_PRODUCTOS'!$B$2:$B$501,0)),INDEX('04_PRODUCTOS'!$G$2:$G$501,MATCH(F123,'04_PRODUCTOS'!$B$2:$B$501,0))),INDEX('04_PRODUCTOS'!$E$2:$E$501,MATCH(F123,'04_PRODUCTOS'!$B$2:$B$501,0)))),"")</f>
        <v/>
      </c>
      <c r="I123" s="3" t="str">
        <f t="shared" si="9"/>
        <v/>
      </c>
      <c r="J123" s="3" t="str">
        <f>IFERROR(IF(INDEX('04_PRODUCTOS'!$D$2:$D$501,MATCH(F123,'04_PRODUCTOS'!$B$2:$B$501,0))="","",I123-(G123*INDEX('04_PRODUCTOS'!$D$2:$D$501,MATCH(F123,'04_PRODUCTOS'!$B$2:$B$501,0)))),"")</f>
        <v/>
      </c>
      <c r="K123" s="7" t="str">
        <f t="shared" si="10"/>
        <v/>
      </c>
      <c r="O123" t="str">
        <f>IF(D123="","",IFERROR(INDEX('03_CLIENTES'!$A$2:$A$501,MATCH(D123,'03_CLIENTES'!$B$2:$B$501,0)),""))</f>
        <v/>
      </c>
      <c r="P123" t="str">
        <f>IF(F123="","",IFERROR(INDEX('04_PRODUCTOS'!$A$2:$A$501,MATCH(F123,'04_PRODUCTOS'!$B$2:$B$501,0)),""))</f>
        <v/>
      </c>
      <c r="Q123" t="str">
        <f t="shared" si="11"/>
        <v/>
      </c>
    </row>
    <row r="124" spans="1:17" x14ac:dyDescent="0.25">
      <c r="A124" t="str">
        <f t="shared" si="6"/>
        <v/>
      </c>
      <c r="B124" s="4" t="str">
        <f t="shared" ca="1" si="7"/>
        <v/>
      </c>
      <c r="C124" s="5" t="str">
        <f t="shared" ca="1" si="8"/>
        <v/>
      </c>
      <c r="G124" s="6"/>
      <c r="H124" s="3" t="str">
        <f>IFERROR(IF(E124="Mayorista",IF(INDEX('04_PRODUCTOS'!$F$2:$F$501,MATCH(F124,'04_PRODUCTOS'!$B$2:$B$501,0))="",INDEX('04_PRODUCTOS'!$E$2:$E$501,MATCH(F124,'04_PRODUCTOS'!$B$2:$B$501,0)),INDEX('04_PRODUCTOS'!$F$2:$F$501,MATCH(F124,'04_PRODUCTOS'!$B$2:$B$501,0))),IF(E124="Especial",IF(INDEX('04_PRODUCTOS'!$G$2:$G$501,MATCH(F124,'04_PRODUCTOS'!$B$2:$B$501,0))="",INDEX('04_PRODUCTOS'!$E$2:$E$501,MATCH(F124,'04_PRODUCTOS'!$B$2:$B$501,0)),INDEX('04_PRODUCTOS'!$G$2:$G$501,MATCH(F124,'04_PRODUCTOS'!$B$2:$B$501,0))),INDEX('04_PRODUCTOS'!$E$2:$E$501,MATCH(F124,'04_PRODUCTOS'!$B$2:$B$501,0)))),"")</f>
        <v/>
      </c>
      <c r="I124" s="3" t="str">
        <f t="shared" si="9"/>
        <v/>
      </c>
      <c r="J124" s="3" t="str">
        <f>IFERROR(IF(INDEX('04_PRODUCTOS'!$D$2:$D$501,MATCH(F124,'04_PRODUCTOS'!$B$2:$B$501,0))="","",I124-(G124*INDEX('04_PRODUCTOS'!$D$2:$D$501,MATCH(F124,'04_PRODUCTOS'!$B$2:$B$501,0)))),"")</f>
        <v/>
      </c>
      <c r="K124" s="7" t="str">
        <f t="shared" si="10"/>
        <v/>
      </c>
      <c r="O124" t="str">
        <f>IF(D124="","",IFERROR(INDEX('03_CLIENTES'!$A$2:$A$501,MATCH(D124,'03_CLIENTES'!$B$2:$B$501,0)),""))</f>
        <v/>
      </c>
      <c r="P124" t="str">
        <f>IF(F124="","",IFERROR(INDEX('04_PRODUCTOS'!$A$2:$A$501,MATCH(F124,'04_PRODUCTOS'!$B$2:$B$501,0)),""))</f>
        <v/>
      </c>
      <c r="Q124" t="str">
        <f t="shared" si="11"/>
        <v/>
      </c>
    </row>
    <row r="125" spans="1:17" x14ac:dyDescent="0.25">
      <c r="A125" t="str">
        <f t="shared" si="6"/>
        <v/>
      </c>
      <c r="B125" s="4" t="str">
        <f t="shared" ca="1" si="7"/>
        <v/>
      </c>
      <c r="C125" s="5" t="str">
        <f t="shared" ca="1" si="8"/>
        <v/>
      </c>
      <c r="G125" s="6"/>
      <c r="H125" s="3" t="str">
        <f>IFERROR(IF(E125="Mayorista",IF(INDEX('04_PRODUCTOS'!$F$2:$F$501,MATCH(F125,'04_PRODUCTOS'!$B$2:$B$501,0))="",INDEX('04_PRODUCTOS'!$E$2:$E$501,MATCH(F125,'04_PRODUCTOS'!$B$2:$B$501,0)),INDEX('04_PRODUCTOS'!$F$2:$F$501,MATCH(F125,'04_PRODUCTOS'!$B$2:$B$501,0))),IF(E125="Especial",IF(INDEX('04_PRODUCTOS'!$G$2:$G$501,MATCH(F125,'04_PRODUCTOS'!$B$2:$B$501,0))="",INDEX('04_PRODUCTOS'!$E$2:$E$501,MATCH(F125,'04_PRODUCTOS'!$B$2:$B$501,0)),INDEX('04_PRODUCTOS'!$G$2:$G$501,MATCH(F125,'04_PRODUCTOS'!$B$2:$B$501,0))),INDEX('04_PRODUCTOS'!$E$2:$E$501,MATCH(F125,'04_PRODUCTOS'!$B$2:$B$501,0)))),"")</f>
        <v/>
      </c>
      <c r="I125" s="3" t="str">
        <f t="shared" si="9"/>
        <v/>
      </c>
      <c r="J125" s="3" t="str">
        <f>IFERROR(IF(INDEX('04_PRODUCTOS'!$D$2:$D$501,MATCH(F125,'04_PRODUCTOS'!$B$2:$B$501,0))="","",I125-(G125*INDEX('04_PRODUCTOS'!$D$2:$D$501,MATCH(F125,'04_PRODUCTOS'!$B$2:$B$501,0)))),"")</f>
        <v/>
      </c>
      <c r="K125" s="7" t="str">
        <f t="shared" si="10"/>
        <v/>
      </c>
      <c r="O125" t="str">
        <f>IF(D125="","",IFERROR(INDEX('03_CLIENTES'!$A$2:$A$501,MATCH(D125,'03_CLIENTES'!$B$2:$B$501,0)),""))</f>
        <v/>
      </c>
      <c r="P125" t="str">
        <f>IF(F125="","",IFERROR(INDEX('04_PRODUCTOS'!$A$2:$A$501,MATCH(F125,'04_PRODUCTOS'!$B$2:$B$501,0)),""))</f>
        <v/>
      </c>
      <c r="Q125" t="str">
        <f t="shared" si="11"/>
        <v/>
      </c>
    </row>
    <row r="126" spans="1:17" x14ac:dyDescent="0.25">
      <c r="A126" t="str">
        <f t="shared" si="6"/>
        <v/>
      </c>
      <c r="B126" s="4" t="str">
        <f t="shared" ca="1" si="7"/>
        <v/>
      </c>
      <c r="C126" s="5" t="str">
        <f t="shared" ca="1" si="8"/>
        <v/>
      </c>
      <c r="G126" s="6"/>
      <c r="H126" s="3" t="str">
        <f>IFERROR(IF(E126="Mayorista",IF(INDEX('04_PRODUCTOS'!$F$2:$F$501,MATCH(F126,'04_PRODUCTOS'!$B$2:$B$501,0))="",INDEX('04_PRODUCTOS'!$E$2:$E$501,MATCH(F126,'04_PRODUCTOS'!$B$2:$B$501,0)),INDEX('04_PRODUCTOS'!$F$2:$F$501,MATCH(F126,'04_PRODUCTOS'!$B$2:$B$501,0))),IF(E126="Especial",IF(INDEX('04_PRODUCTOS'!$G$2:$G$501,MATCH(F126,'04_PRODUCTOS'!$B$2:$B$501,0))="",INDEX('04_PRODUCTOS'!$E$2:$E$501,MATCH(F126,'04_PRODUCTOS'!$B$2:$B$501,0)),INDEX('04_PRODUCTOS'!$G$2:$G$501,MATCH(F126,'04_PRODUCTOS'!$B$2:$B$501,0))),INDEX('04_PRODUCTOS'!$E$2:$E$501,MATCH(F126,'04_PRODUCTOS'!$B$2:$B$501,0)))),"")</f>
        <v/>
      </c>
      <c r="I126" s="3" t="str">
        <f t="shared" si="9"/>
        <v/>
      </c>
      <c r="J126" s="3" t="str">
        <f>IFERROR(IF(INDEX('04_PRODUCTOS'!$D$2:$D$501,MATCH(F126,'04_PRODUCTOS'!$B$2:$B$501,0))="","",I126-(G126*INDEX('04_PRODUCTOS'!$D$2:$D$501,MATCH(F126,'04_PRODUCTOS'!$B$2:$B$501,0)))),"")</f>
        <v/>
      </c>
      <c r="K126" s="7" t="str">
        <f t="shared" si="10"/>
        <v/>
      </c>
      <c r="O126" t="str">
        <f>IF(D126="","",IFERROR(INDEX('03_CLIENTES'!$A$2:$A$501,MATCH(D126,'03_CLIENTES'!$B$2:$B$501,0)),""))</f>
        <v/>
      </c>
      <c r="P126" t="str">
        <f>IF(F126="","",IFERROR(INDEX('04_PRODUCTOS'!$A$2:$A$501,MATCH(F126,'04_PRODUCTOS'!$B$2:$B$501,0)),""))</f>
        <v/>
      </c>
      <c r="Q126" t="str">
        <f t="shared" si="11"/>
        <v/>
      </c>
    </row>
    <row r="127" spans="1:17" x14ac:dyDescent="0.25">
      <c r="A127" t="str">
        <f t="shared" si="6"/>
        <v/>
      </c>
      <c r="B127" s="4" t="str">
        <f t="shared" ca="1" si="7"/>
        <v/>
      </c>
      <c r="C127" s="5" t="str">
        <f t="shared" ca="1" si="8"/>
        <v/>
      </c>
      <c r="G127" s="6"/>
      <c r="H127" s="3" t="str">
        <f>IFERROR(IF(E127="Mayorista",IF(INDEX('04_PRODUCTOS'!$F$2:$F$501,MATCH(F127,'04_PRODUCTOS'!$B$2:$B$501,0))="",INDEX('04_PRODUCTOS'!$E$2:$E$501,MATCH(F127,'04_PRODUCTOS'!$B$2:$B$501,0)),INDEX('04_PRODUCTOS'!$F$2:$F$501,MATCH(F127,'04_PRODUCTOS'!$B$2:$B$501,0))),IF(E127="Especial",IF(INDEX('04_PRODUCTOS'!$G$2:$G$501,MATCH(F127,'04_PRODUCTOS'!$B$2:$B$501,0))="",INDEX('04_PRODUCTOS'!$E$2:$E$501,MATCH(F127,'04_PRODUCTOS'!$B$2:$B$501,0)),INDEX('04_PRODUCTOS'!$G$2:$G$501,MATCH(F127,'04_PRODUCTOS'!$B$2:$B$501,0))),INDEX('04_PRODUCTOS'!$E$2:$E$501,MATCH(F127,'04_PRODUCTOS'!$B$2:$B$501,0)))),"")</f>
        <v/>
      </c>
      <c r="I127" s="3" t="str">
        <f t="shared" si="9"/>
        <v/>
      </c>
      <c r="J127" s="3" t="str">
        <f>IFERROR(IF(INDEX('04_PRODUCTOS'!$D$2:$D$501,MATCH(F127,'04_PRODUCTOS'!$B$2:$B$501,0))="","",I127-(G127*INDEX('04_PRODUCTOS'!$D$2:$D$501,MATCH(F127,'04_PRODUCTOS'!$B$2:$B$501,0)))),"")</f>
        <v/>
      </c>
      <c r="K127" s="7" t="str">
        <f t="shared" si="10"/>
        <v/>
      </c>
      <c r="O127" t="str">
        <f>IF(D127="","",IFERROR(INDEX('03_CLIENTES'!$A$2:$A$501,MATCH(D127,'03_CLIENTES'!$B$2:$B$501,0)),""))</f>
        <v/>
      </c>
      <c r="P127" t="str">
        <f>IF(F127="","",IFERROR(INDEX('04_PRODUCTOS'!$A$2:$A$501,MATCH(F127,'04_PRODUCTOS'!$B$2:$B$501,0)),""))</f>
        <v/>
      </c>
      <c r="Q127" t="str">
        <f t="shared" si="11"/>
        <v/>
      </c>
    </row>
    <row r="128" spans="1:17" x14ac:dyDescent="0.25">
      <c r="A128" t="str">
        <f t="shared" si="6"/>
        <v/>
      </c>
      <c r="B128" s="4" t="str">
        <f t="shared" ca="1" si="7"/>
        <v/>
      </c>
      <c r="C128" s="5" t="str">
        <f t="shared" ca="1" si="8"/>
        <v/>
      </c>
      <c r="G128" s="6"/>
      <c r="H128" s="3" t="str">
        <f>IFERROR(IF(E128="Mayorista",IF(INDEX('04_PRODUCTOS'!$F$2:$F$501,MATCH(F128,'04_PRODUCTOS'!$B$2:$B$501,0))="",INDEX('04_PRODUCTOS'!$E$2:$E$501,MATCH(F128,'04_PRODUCTOS'!$B$2:$B$501,0)),INDEX('04_PRODUCTOS'!$F$2:$F$501,MATCH(F128,'04_PRODUCTOS'!$B$2:$B$501,0))),IF(E128="Especial",IF(INDEX('04_PRODUCTOS'!$G$2:$G$501,MATCH(F128,'04_PRODUCTOS'!$B$2:$B$501,0))="",INDEX('04_PRODUCTOS'!$E$2:$E$501,MATCH(F128,'04_PRODUCTOS'!$B$2:$B$501,0)),INDEX('04_PRODUCTOS'!$G$2:$G$501,MATCH(F128,'04_PRODUCTOS'!$B$2:$B$501,0))),INDEX('04_PRODUCTOS'!$E$2:$E$501,MATCH(F128,'04_PRODUCTOS'!$B$2:$B$501,0)))),"")</f>
        <v/>
      </c>
      <c r="I128" s="3" t="str">
        <f t="shared" si="9"/>
        <v/>
      </c>
      <c r="J128" s="3" t="str">
        <f>IFERROR(IF(INDEX('04_PRODUCTOS'!$D$2:$D$501,MATCH(F128,'04_PRODUCTOS'!$B$2:$B$501,0))="","",I128-(G128*INDEX('04_PRODUCTOS'!$D$2:$D$501,MATCH(F128,'04_PRODUCTOS'!$B$2:$B$501,0)))),"")</f>
        <v/>
      </c>
      <c r="K128" s="7" t="str">
        <f t="shared" si="10"/>
        <v/>
      </c>
      <c r="O128" t="str">
        <f>IF(D128="","",IFERROR(INDEX('03_CLIENTES'!$A$2:$A$501,MATCH(D128,'03_CLIENTES'!$B$2:$B$501,0)),""))</f>
        <v/>
      </c>
      <c r="P128" t="str">
        <f>IF(F128="","",IFERROR(INDEX('04_PRODUCTOS'!$A$2:$A$501,MATCH(F128,'04_PRODUCTOS'!$B$2:$B$501,0)),""))</f>
        <v/>
      </c>
      <c r="Q128" t="str">
        <f t="shared" si="11"/>
        <v/>
      </c>
    </row>
    <row r="129" spans="1:17" x14ac:dyDescent="0.25">
      <c r="A129" t="str">
        <f t="shared" si="6"/>
        <v/>
      </c>
      <c r="B129" s="4" t="str">
        <f t="shared" ca="1" si="7"/>
        <v/>
      </c>
      <c r="C129" s="5" t="str">
        <f t="shared" ca="1" si="8"/>
        <v/>
      </c>
      <c r="G129" s="6"/>
      <c r="H129" s="3" t="str">
        <f>IFERROR(IF(E129="Mayorista",IF(INDEX('04_PRODUCTOS'!$F$2:$F$501,MATCH(F129,'04_PRODUCTOS'!$B$2:$B$501,0))="",INDEX('04_PRODUCTOS'!$E$2:$E$501,MATCH(F129,'04_PRODUCTOS'!$B$2:$B$501,0)),INDEX('04_PRODUCTOS'!$F$2:$F$501,MATCH(F129,'04_PRODUCTOS'!$B$2:$B$501,0))),IF(E129="Especial",IF(INDEX('04_PRODUCTOS'!$G$2:$G$501,MATCH(F129,'04_PRODUCTOS'!$B$2:$B$501,0))="",INDEX('04_PRODUCTOS'!$E$2:$E$501,MATCH(F129,'04_PRODUCTOS'!$B$2:$B$501,0)),INDEX('04_PRODUCTOS'!$G$2:$G$501,MATCH(F129,'04_PRODUCTOS'!$B$2:$B$501,0))),INDEX('04_PRODUCTOS'!$E$2:$E$501,MATCH(F129,'04_PRODUCTOS'!$B$2:$B$501,0)))),"")</f>
        <v/>
      </c>
      <c r="I129" s="3" t="str">
        <f t="shared" si="9"/>
        <v/>
      </c>
      <c r="J129" s="3" t="str">
        <f>IFERROR(IF(INDEX('04_PRODUCTOS'!$D$2:$D$501,MATCH(F129,'04_PRODUCTOS'!$B$2:$B$501,0))="","",I129-(G129*INDEX('04_PRODUCTOS'!$D$2:$D$501,MATCH(F129,'04_PRODUCTOS'!$B$2:$B$501,0)))),"")</f>
        <v/>
      </c>
      <c r="K129" s="7" t="str">
        <f t="shared" si="10"/>
        <v/>
      </c>
      <c r="O129" t="str">
        <f>IF(D129="","",IFERROR(INDEX('03_CLIENTES'!$A$2:$A$501,MATCH(D129,'03_CLIENTES'!$B$2:$B$501,0)),""))</f>
        <v/>
      </c>
      <c r="P129" t="str">
        <f>IF(F129="","",IFERROR(INDEX('04_PRODUCTOS'!$A$2:$A$501,MATCH(F129,'04_PRODUCTOS'!$B$2:$B$501,0)),""))</f>
        <v/>
      </c>
      <c r="Q129" t="str">
        <f t="shared" si="11"/>
        <v/>
      </c>
    </row>
    <row r="130" spans="1:17" x14ac:dyDescent="0.25">
      <c r="A130" t="str">
        <f t="shared" ref="A130:A193" si="12">IF(OR(D130="",F130=""),"","VEN"&amp;TEXT(ROW()-1,"000000"))</f>
        <v/>
      </c>
      <c r="B130" s="4" t="str">
        <f t="shared" ref="B130:B193" ca="1" si="13">IF(A130="","",TODAY())</f>
        <v/>
      </c>
      <c r="C130" s="5" t="str">
        <f t="shared" ref="C130:C193" ca="1" si="14">IF(A130="","",NOW())</f>
        <v/>
      </c>
      <c r="G130" s="6"/>
      <c r="H130" s="3" t="str">
        <f>IFERROR(IF(E130="Mayorista",IF(INDEX('04_PRODUCTOS'!$F$2:$F$501,MATCH(F130,'04_PRODUCTOS'!$B$2:$B$501,0))="",INDEX('04_PRODUCTOS'!$E$2:$E$501,MATCH(F130,'04_PRODUCTOS'!$B$2:$B$501,0)),INDEX('04_PRODUCTOS'!$F$2:$F$501,MATCH(F130,'04_PRODUCTOS'!$B$2:$B$501,0))),IF(E130="Especial",IF(INDEX('04_PRODUCTOS'!$G$2:$G$501,MATCH(F130,'04_PRODUCTOS'!$B$2:$B$501,0))="",INDEX('04_PRODUCTOS'!$E$2:$E$501,MATCH(F130,'04_PRODUCTOS'!$B$2:$B$501,0)),INDEX('04_PRODUCTOS'!$G$2:$G$501,MATCH(F130,'04_PRODUCTOS'!$B$2:$B$501,0))),INDEX('04_PRODUCTOS'!$E$2:$E$501,MATCH(F130,'04_PRODUCTOS'!$B$2:$B$501,0)))),"")</f>
        <v/>
      </c>
      <c r="I130" s="3" t="str">
        <f t="shared" ref="I130:I193" si="15">IF(AND(G130&lt;&gt;"",H130&lt;&gt;""),G130*H130,"")</f>
        <v/>
      </c>
      <c r="J130" s="3" t="str">
        <f>IFERROR(IF(INDEX('04_PRODUCTOS'!$D$2:$D$501,MATCH(F130,'04_PRODUCTOS'!$B$2:$B$501,0))="","",I130-(G130*INDEX('04_PRODUCTOS'!$D$2:$D$501,MATCH(F130,'04_PRODUCTOS'!$B$2:$B$501,0)))),"")</f>
        <v/>
      </c>
      <c r="K130" s="7" t="str">
        <f t="shared" ref="K130:K193" si="16">IF(OR(I130="",J130=""),"",IFERROR(J130/I130,""))</f>
        <v/>
      </c>
      <c r="O130" t="str">
        <f>IF(D130="","",IFERROR(INDEX('03_CLIENTES'!$A$2:$A$501,MATCH(D130,'03_CLIENTES'!$B$2:$B$501,0)),""))</f>
        <v/>
      </c>
      <c r="P130" t="str">
        <f>IF(F130="","",IFERROR(INDEX('04_PRODUCTOS'!$A$2:$A$501,MATCH(F130,'04_PRODUCTOS'!$B$2:$B$501,0)),""))</f>
        <v/>
      </c>
      <c r="Q130" t="str">
        <f t="shared" ref="Q130:Q193" si="17">IF(AND(D130&lt;&gt;"",F130&lt;&gt;"",G130&gt;0,H130&lt;&gt;""),IF(O130="","CLIENTE NO ENCONTRADO",IF(P130="","PRODUCTO NO ENCONTRADO","OK")),"")</f>
        <v/>
      </c>
    </row>
    <row r="131" spans="1:17" x14ac:dyDescent="0.25">
      <c r="A131" t="str">
        <f t="shared" si="12"/>
        <v/>
      </c>
      <c r="B131" s="4" t="str">
        <f t="shared" ca="1" si="13"/>
        <v/>
      </c>
      <c r="C131" s="5" t="str">
        <f t="shared" ca="1" si="14"/>
        <v/>
      </c>
      <c r="G131" s="6"/>
      <c r="H131" s="3" t="str">
        <f>IFERROR(IF(E131="Mayorista",IF(INDEX('04_PRODUCTOS'!$F$2:$F$501,MATCH(F131,'04_PRODUCTOS'!$B$2:$B$501,0))="",INDEX('04_PRODUCTOS'!$E$2:$E$501,MATCH(F131,'04_PRODUCTOS'!$B$2:$B$501,0)),INDEX('04_PRODUCTOS'!$F$2:$F$501,MATCH(F131,'04_PRODUCTOS'!$B$2:$B$501,0))),IF(E131="Especial",IF(INDEX('04_PRODUCTOS'!$G$2:$G$501,MATCH(F131,'04_PRODUCTOS'!$B$2:$B$501,0))="",INDEX('04_PRODUCTOS'!$E$2:$E$501,MATCH(F131,'04_PRODUCTOS'!$B$2:$B$501,0)),INDEX('04_PRODUCTOS'!$G$2:$G$501,MATCH(F131,'04_PRODUCTOS'!$B$2:$B$501,0))),INDEX('04_PRODUCTOS'!$E$2:$E$501,MATCH(F131,'04_PRODUCTOS'!$B$2:$B$501,0)))),"")</f>
        <v/>
      </c>
      <c r="I131" s="3" t="str">
        <f t="shared" si="15"/>
        <v/>
      </c>
      <c r="J131" s="3" t="str">
        <f>IFERROR(IF(INDEX('04_PRODUCTOS'!$D$2:$D$501,MATCH(F131,'04_PRODUCTOS'!$B$2:$B$501,0))="","",I131-(G131*INDEX('04_PRODUCTOS'!$D$2:$D$501,MATCH(F131,'04_PRODUCTOS'!$B$2:$B$501,0)))),"")</f>
        <v/>
      </c>
      <c r="K131" s="7" t="str">
        <f t="shared" si="16"/>
        <v/>
      </c>
      <c r="O131" t="str">
        <f>IF(D131="","",IFERROR(INDEX('03_CLIENTES'!$A$2:$A$501,MATCH(D131,'03_CLIENTES'!$B$2:$B$501,0)),""))</f>
        <v/>
      </c>
      <c r="P131" t="str">
        <f>IF(F131="","",IFERROR(INDEX('04_PRODUCTOS'!$A$2:$A$501,MATCH(F131,'04_PRODUCTOS'!$B$2:$B$501,0)),""))</f>
        <v/>
      </c>
      <c r="Q131" t="str">
        <f t="shared" si="17"/>
        <v/>
      </c>
    </row>
    <row r="132" spans="1:17" x14ac:dyDescent="0.25">
      <c r="A132" t="str">
        <f t="shared" si="12"/>
        <v/>
      </c>
      <c r="B132" s="4" t="str">
        <f t="shared" ca="1" si="13"/>
        <v/>
      </c>
      <c r="C132" s="5" t="str">
        <f t="shared" ca="1" si="14"/>
        <v/>
      </c>
      <c r="G132" s="6"/>
      <c r="H132" s="3" t="str">
        <f>IFERROR(IF(E132="Mayorista",IF(INDEX('04_PRODUCTOS'!$F$2:$F$501,MATCH(F132,'04_PRODUCTOS'!$B$2:$B$501,0))="",INDEX('04_PRODUCTOS'!$E$2:$E$501,MATCH(F132,'04_PRODUCTOS'!$B$2:$B$501,0)),INDEX('04_PRODUCTOS'!$F$2:$F$501,MATCH(F132,'04_PRODUCTOS'!$B$2:$B$501,0))),IF(E132="Especial",IF(INDEX('04_PRODUCTOS'!$G$2:$G$501,MATCH(F132,'04_PRODUCTOS'!$B$2:$B$501,0))="",INDEX('04_PRODUCTOS'!$E$2:$E$501,MATCH(F132,'04_PRODUCTOS'!$B$2:$B$501,0)),INDEX('04_PRODUCTOS'!$G$2:$G$501,MATCH(F132,'04_PRODUCTOS'!$B$2:$B$501,0))),INDEX('04_PRODUCTOS'!$E$2:$E$501,MATCH(F132,'04_PRODUCTOS'!$B$2:$B$501,0)))),"")</f>
        <v/>
      </c>
      <c r="I132" s="3" t="str">
        <f t="shared" si="15"/>
        <v/>
      </c>
      <c r="J132" s="3" t="str">
        <f>IFERROR(IF(INDEX('04_PRODUCTOS'!$D$2:$D$501,MATCH(F132,'04_PRODUCTOS'!$B$2:$B$501,0))="","",I132-(G132*INDEX('04_PRODUCTOS'!$D$2:$D$501,MATCH(F132,'04_PRODUCTOS'!$B$2:$B$501,0)))),"")</f>
        <v/>
      </c>
      <c r="K132" s="7" t="str">
        <f t="shared" si="16"/>
        <v/>
      </c>
      <c r="O132" t="str">
        <f>IF(D132="","",IFERROR(INDEX('03_CLIENTES'!$A$2:$A$501,MATCH(D132,'03_CLIENTES'!$B$2:$B$501,0)),""))</f>
        <v/>
      </c>
      <c r="P132" t="str">
        <f>IF(F132="","",IFERROR(INDEX('04_PRODUCTOS'!$A$2:$A$501,MATCH(F132,'04_PRODUCTOS'!$B$2:$B$501,0)),""))</f>
        <v/>
      </c>
      <c r="Q132" t="str">
        <f t="shared" si="17"/>
        <v/>
      </c>
    </row>
    <row r="133" spans="1:17" x14ac:dyDescent="0.25">
      <c r="A133" t="str">
        <f t="shared" si="12"/>
        <v/>
      </c>
      <c r="B133" s="4" t="str">
        <f t="shared" ca="1" si="13"/>
        <v/>
      </c>
      <c r="C133" s="5" t="str">
        <f t="shared" ca="1" si="14"/>
        <v/>
      </c>
      <c r="G133" s="6"/>
      <c r="H133" s="3" t="str">
        <f>IFERROR(IF(E133="Mayorista",IF(INDEX('04_PRODUCTOS'!$F$2:$F$501,MATCH(F133,'04_PRODUCTOS'!$B$2:$B$501,0))="",INDEX('04_PRODUCTOS'!$E$2:$E$501,MATCH(F133,'04_PRODUCTOS'!$B$2:$B$501,0)),INDEX('04_PRODUCTOS'!$F$2:$F$501,MATCH(F133,'04_PRODUCTOS'!$B$2:$B$501,0))),IF(E133="Especial",IF(INDEX('04_PRODUCTOS'!$G$2:$G$501,MATCH(F133,'04_PRODUCTOS'!$B$2:$B$501,0))="",INDEX('04_PRODUCTOS'!$E$2:$E$501,MATCH(F133,'04_PRODUCTOS'!$B$2:$B$501,0)),INDEX('04_PRODUCTOS'!$G$2:$G$501,MATCH(F133,'04_PRODUCTOS'!$B$2:$B$501,0))),INDEX('04_PRODUCTOS'!$E$2:$E$501,MATCH(F133,'04_PRODUCTOS'!$B$2:$B$501,0)))),"")</f>
        <v/>
      </c>
      <c r="I133" s="3" t="str">
        <f t="shared" si="15"/>
        <v/>
      </c>
      <c r="J133" s="3" t="str">
        <f>IFERROR(IF(INDEX('04_PRODUCTOS'!$D$2:$D$501,MATCH(F133,'04_PRODUCTOS'!$B$2:$B$501,0))="","",I133-(G133*INDEX('04_PRODUCTOS'!$D$2:$D$501,MATCH(F133,'04_PRODUCTOS'!$B$2:$B$501,0)))),"")</f>
        <v/>
      </c>
      <c r="K133" s="7" t="str">
        <f t="shared" si="16"/>
        <v/>
      </c>
      <c r="O133" t="str">
        <f>IF(D133="","",IFERROR(INDEX('03_CLIENTES'!$A$2:$A$501,MATCH(D133,'03_CLIENTES'!$B$2:$B$501,0)),""))</f>
        <v/>
      </c>
      <c r="P133" t="str">
        <f>IF(F133="","",IFERROR(INDEX('04_PRODUCTOS'!$A$2:$A$501,MATCH(F133,'04_PRODUCTOS'!$B$2:$B$501,0)),""))</f>
        <v/>
      </c>
      <c r="Q133" t="str">
        <f t="shared" si="17"/>
        <v/>
      </c>
    </row>
    <row r="134" spans="1:17" x14ac:dyDescent="0.25">
      <c r="A134" t="str">
        <f t="shared" si="12"/>
        <v/>
      </c>
      <c r="B134" s="4" t="str">
        <f t="shared" ca="1" si="13"/>
        <v/>
      </c>
      <c r="C134" s="5" t="str">
        <f t="shared" ca="1" si="14"/>
        <v/>
      </c>
      <c r="G134" s="6"/>
      <c r="H134" s="3" t="str">
        <f>IFERROR(IF(E134="Mayorista",IF(INDEX('04_PRODUCTOS'!$F$2:$F$501,MATCH(F134,'04_PRODUCTOS'!$B$2:$B$501,0))="",INDEX('04_PRODUCTOS'!$E$2:$E$501,MATCH(F134,'04_PRODUCTOS'!$B$2:$B$501,0)),INDEX('04_PRODUCTOS'!$F$2:$F$501,MATCH(F134,'04_PRODUCTOS'!$B$2:$B$501,0))),IF(E134="Especial",IF(INDEX('04_PRODUCTOS'!$G$2:$G$501,MATCH(F134,'04_PRODUCTOS'!$B$2:$B$501,0))="",INDEX('04_PRODUCTOS'!$E$2:$E$501,MATCH(F134,'04_PRODUCTOS'!$B$2:$B$501,0)),INDEX('04_PRODUCTOS'!$G$2:$G$501,MATCH(F134,'04_PRODUCTOS'!$B$2:$B$501,0))),INDEX('04_PRODUCTOS'!$E$2:$E$501,MATCH(F134,'04_PRODUCTOS'!$B$2:$B$501,0)))),"")</f>
        <v/>
      </c>
      <c r="I134" s="3" t="str">
        <f t="shared" si="15"/>
        <v/>
      </c>
      <c r="J134" s="3" t="str">
        <f>IFERROR(IF(INDEX('04_PRODUCTOS'!$D$2:$D$501,MATCH(F134,'04_PRODUCTOS'!$B$2:$B$501,0))="","",I134-(G134*INDEX('04_PRODUCTOS'!$D$2:$D$501,MATCH(F134,'04_PRODUCTOS'!$B$2:$B$501,0)))),"")</f>
        <v/>
      </c>
      <c r="K134" s="7" t="str">
        <f t="shared" si="16"/>
        <v/>
      </c>
      <c r="O134" t="str">
        <f>IF(D134="","",IFERROR(INDEX('03_CLIENTES'!$A$2:$A$501,MATCH(D134,'03_CLIENTES'!$B$2:$B$501,0)),""))</f>
        <v/>
      </c>
      <c r="P134" t="str">
        <f>IF(F134="","",IFERROR(INDEX('04_PRODUCTOS'!$A$2:$A$501,MATCH(F134,'04_PRODUCTOS'!$B$2:$B$501,0)),""))</f>
        <v/>
      </c>
      <c r="Q134" t="str">
        <f t="shared" si="17"/>
        <v/>
      </c>
    </row>
    <row r="135" spans="1:17" x14ac:dyDescent="0.25">
      <c r="A135" t="str">
        <f t="shared" si="12"/>
        <v/>
      </c>
      <c r="B135" s="4" t="str">
        <f t="shared" ca="1" si="13"/>
        <v/>
      </c>
      <c r="C135" s="5" t="str">
        <f t="shared" ca="1" si="14"/>
        <v/>
      </c>
      <c r="G135" s="6"/>
      <c r="H135" s="3" t="str">
        <f>IFERROR(IF(E135="Mayorista",IF(INDEX('04_PRODUCTOS'!$F$2:$F$501,MATCH(F135,'04_PRODUCTOS'!$B$2:$B$501,0))="",INDEX('04_PRODUCTOS'!$E$2:$E$501,MATCH(F135,'04_PRODUCTOS'!$B$2:$B$501,0)),INDEX('04_PRODUCTOS'!$F$2:$F$501,MATCH(F135,'04_PRODUCTOS'!$B$2:$B$501,0))),IF(E135="Especial",IF(INDEX('04_PRODUCTOS'!$G$2:$G$501,MATCH(F135,'04_PRODUCTOS'!$B$2:$B$501,0))="",INDEX('04_PRODUCTOS'!$E$2:$E$501,MATCH(F135,'04_PRODUCTOS'!$B$2:$B$501,0)),INDEX('04_PRODUCTOS'!$G$2:$G$501,MATCH(F135,'04_PRODUCTOS'!$B$2:$B$501,0))),INDEX('04_PRODUCTOS'!$E$2:$E$501,MATCH(F135,'04_PRODUCTOS'!$B$2:$B$501,0)))),"")</f>
        <v/>
      </c>
      <c r="I135" s="3" t="str">
        <f t="shared" si="15"/>
        <v/>
      </c>
      <c r="J135" s="3" t="str">
        <f>IFERROR(IF(INDEX('04_PRODUCTOS'!$D$2:$D$501,MATCH(F135,'04_PRODUCTOS'!$B$2:$B$501,0))="","",I135-(G135*INDEX('04_PRODUCTOS'!$D$2:$D$501,MATCH(F135,'04_PRODUCTOS'!$B$2:$B$501,0)))),"")</f>
        <v/>
      </c>
      <c r="K135" s="7" t="str">
        <f t="shared" si="16"/>
        <v/>
      </c>
      <c r="O135" t="str">
        <f>IF(D135="","",IFERROR(INDEX('03_CLIENTES'!$A$2:$A$501,MATCH(D135,'03_CLIENTES'!$B$2:$B$501,0)),""))</f>
        <v/>
      </c>
      <c r="P135" t="str">
        <f>IF(F135="","",IFERROR(INDEX('04_PRODUCTOS'!$A$2:$A$501,MATCH(F135,'04_PRODUCTOS'!$B$2:$B$501,0)),""))</f>
        <v/>
      </c>
      <c r="Q135" t="str">
        <f t="shared" si="17"/>
        <v/>
      </c>
    </row>
    <row r="136" spans="1:17" x14ac:dyDescent="0.25">
      <c r="A136" t="str">
        <f t="shared" si="12"/>
        <v/>
      </c>
      <c r="B136" s="4" t="str">
        <f t="shared" ca="1" si="13"/>
        <v/>
      </c>
      <c r="C136" s="5" t="str">
        <f t="shared" ca="1" si="14"/>
        <v/>
      </c>
      <c r="G136" s="6"/>
      <c r="H136" s="3" t="str">
        <f>IFERROR(IF(E136="Mayorista",IF(INDEX('04_PRODUCTOS'!$F$2:$F$501,MATCH(F136,'04_PRODUCTOS'!$B$2:$B$501,0))="",INDEX('04_PRODUCTOS'!$E$2:$E$501,MATCH(F136,'04_PRODUCTOS'!$B$2:$B$501,0)),INDEX('04_PRODUCTOS'!$F$2:$F$501,MATCH(F136,'04_PRODUCTOS'!$B$2:$B$501,0))),IF(E136="Especial",IF(INDEX('04_PRODUCTOS'!$G$2:$G$501,MATCH(F136,'04_PRODUCTOS'!$B$2:$B$501,0))="",INDEX('04_PRODUCTOS'!$E$2:$E$501,MATCH(F136,'04_PRODUCTOS'!$B$2:$B$501,0)),INDEX('04_PRODUCTOS'!$G$2:$G$501,MATCH(F136,'04_PRODUCTOS'!$B$2:$B$501,0))),INDEX('04_PRODUCTOS'!$E$2:$E$501,MATCH(F136,'04_PRODUCTOS'!$B$2:$B$501,0)))),"")</f>
        <v/>
      </c>
      <c r="I136" s="3" t="str">
        <f t="shared" si="15"/>
        <v/>
      </c>
      <c r="J136" s="3" t="str">
        <f>IFERROR(IF(INDEX('04_PRODUCTOS'!$D$2:$D$501,MATCH(F136,'04_PRODUCTOS'!$B$2:$B$501,0))="","",I136-(G136*INDEX('04_PRODUCTOS'!$D$2:$D$501,MATCH(F136,'04_PRODUCTOS'!$B$2:$B$501,0)))),"")</f>
        <v/>
      </c>
      <c r="K136" s="7" t="str">
        <f t="shared" si="16"/>
        <v/>
      </c>
      <c r="O136" t="str">
        <f>IF(D136="","",IFERROR(INDEX('03_CLIENTES'!$A$2:$A$501,MATCH(D136,'03_CLIENTES'!$B$2:$B$501,0)),""))</f>
        <v/>
      </c>
      <c r="P136" t="str">
        <f>IF(F136="","",IFERROR(INDEX('04_PRODUCTOS'!$A$2:$A$501,MATCH(F136,'04_PRODUCTOS'!$B$2:$B$501,0)),""))</f>
        <v/>
      </c>
      <c r="Q136" t="str">
        <f t="shared" si="17"/>
        <v/>
      </c>
    </row>
    <row r="137" spans="1:17" x14ac:dyDescent="0.25">
      <c r="A137" t="str">
        <f t="shared" si="12"/>
        <v/>
      </c>
      <c r="B137" s="4" t="str">
        <f t="shared" ca="1" si="13"/>
        <v/>
      </c>
      <c r="C137" s="5" t="str">
        <f t="shared" ca="1" si="14"/>
        <v/>
      </c>
      <c r="G137" s="6"/>
      <c r="H137" s="3" t="str">
        <f>IFERROR(IF(E137="Mayorista",IF(INDEX('04_PRODUCTOS'!$F$2:$F$501,MATCH(F137,'04_PRODUCTOS'!$B$2:$B$501,0))="",INDEX('04_PRODUCTOS'!$E$2:$E$501,MATCH(F137,'04_PRODUCTOS'!$B$2:$B$501,0)),INDEX('04_PRODUCTOS'!$F$2:$F$501,MATCH(F137,'04_PRODUCTOS'!$B$2:$B$501,0))),IF(E137="Especial",IF(INDEX('04_PRODUCTOS'!$G$2:$G$501,MATCH(F137,'04_PRODUCTOS'!$B$2:$B$501,0))="",INDEX('04_PRODUCTOS'!$E$2:$E$501,MATCH(F137,'04_PRODUCTOS'!$B$2:$B$501,0)),INDEX('04_PRODUCTOS'!$G$2:$G$501,MATCH(F137,'04_PRODUCTOS'!$B$2:$B$501,0))),INDEX('04_PRODUCTOS'!$E$2:$E$501,MATCH(F137,'04_PRODUCTOS'!$B$2:$B$501,0)))),"")</f>
        <v/>
      </c>
      <c r="I137" s="3" t="str">
        <f t="shared" si="15"/>
        <v/>
      </c>
      <c r="J137" s="3" t="str">
        <f>IFERROR(IF(INDEX('04_PRODUCTOS'!$D$2:$D$501,MATCH(F137,'04_PRODUCTOS'!$B$2:$B$501,0))="","",I137-(G137*INDEX('04_PRODUCTOS'!$D$2:$D$501,MATCH(F137,'04_PRODUCTOS'!$B$2:$B$501,0)))),"")</f>
        <v/>
      </c>
      <c r="K137" s="7" t="str">
        <f t="shared" si="16"/>
        <v/>
      </c>
      <c r="O137" t="str">
        <f>IF(D137="","",IFERROR(INDEX('03_CLIENTES'!$A$2:$A$501,MATCH(D137,'03_CLIENTES'!$B$2:$B$501,0)),""))</f>
        <v/>
      </c>
      <c r="P137" t="str">
        <f>IF(F137="","",IFERROR(INDEX('04_PRODUCTOS'!$A$2:$A$501,MATCH(F137,'04_PRODUCTOS'!$B$2:$B$501,0)),""))</f>
        <v/>
      </c>
      <c r="Q137" t="str">
        <f t="shared" si="17"/>
        <v/>
      </c>
    </row>
    <row r="138" spans="1:17" x14ac:dyDescent="0.25">
      <c r="A138" t="str">
        <f t="shared" si="12"/>
        <v/>
      </c>
      <c r="B138" s="4" t="str">
        <f t="shared" ca="1" si="13"/>
        <v/>
      </c>
      <c r="C138" s="5" t="str">
        <f t="shared" ca="1" si="14"/>
        <v/>
      </c>
      <c r="G138" s="6"/>
      <c r="H138" s="3" t="str">
        <f>IFERROR(IF(E138="Mayorista",IF(INDEX('04_PRODUCTOS'!$F$2:$F$501,MATCH(F138,'04_PRODUCTOS'!$B$2:$B$501,0))="",INDEX('04_PRODUCTOS'!$E$2:$E$501,MATCH(F138,'04_PRODUCTOS'!$B$2:$B$501,0)),INDEX('04_PRODUCTOS'!$F$2:$F$501,MATCH(F138,'04_PRODUCTOS'!$B$2:$B$501,0))),IF(E138="Especial",IF(INDEX('04_PRODUCTOS'!$G$2:$G$501,MATCH(F138,'04_PRODUCTOS'!$B$2:$B$501,0))="",INDEX('04_PRODUCTOS'!$E$2:$E$501,MATCH(F138,'04_PRODUCTOS'!$B$2:$B$501,0)),INDEX('04_PRODUCTOS'!$G$2:$G$501,MATCH(F138,'04_PRODUCTOS'!$B$2:$B$501,0))),INDEX('04_PRODUCTOS'!$E$2:$E$501,MATCH(F138,'04_PRODUCTOS'!$B$2:$B$501,0)))),"")</f>
        <v/>
      </c>
      <c r="I138" s="3" t="str">
        <f t="shared" si="15"/>
        <v/>
      </c>
      <c r="J138" s="3" t="str">
        <f>IFERROR(IF(INDEX('04_PRODUCTOS'!$D$2:$D$501,MATCH(F138,'04_PRODUCTOS'!$B$2:$B$501,0))="","",I138-(G138*INDEX('04_PRODUCTOS'!$D$2:$D$501,MATCH(F138,'04_PRODUCTOS'!$B$2:$B$501,0)))),"")</f>
        <v/>
      </c>
      <c r="K138" s="7" t="str">
        <f t="shared" si="16"/>
        <v/>
      </c>
      <c r="O138" t="str">
        <f>IF(D138="","",IFERROR(INDEX('03_CLIENTES'!$A$2:$A$501,MATCH(D138,'03_CLIENTES'!$B$2:$B$501,0)),""))</f>
        <v/>
      </c>
      <c r="P138" t="str">
        <f>IF(F138="","",IFERROR(INDEX('04_PRODUCTOS'!$A$2:$A$501,MATCH(F138,'04_PRODUCTOS'!$B$2:$B$501,0)),""))</f>
        <v/>
      </c>
      <c r="Q138" t="str">
        <f t="shared" si="17"/>
        <v/>
      </c>
    </row>
    <row r="139" spans="1:17" x14ac:dyDescent="0.25">
      <c r="A139" t="str">
        <f t="shared" si="12"/>
        <v/>
      </c>
      <c r="B139" s="4" t="str">
        <f t="shared" ca="1" si="13"/>
        <v/>
      </c>
      <c r="C139" s="5" t="str">
        <f t="shared" ca="1" si="14"/>
        <v/>
      </c>
      <c r="G139" s="6"/>
      <c r="H139" s="3" t="str">
        <f>IFERROR(IF(E139="Mayorista",IF(INDEX('04_PRODUCTOS'!$F$2:$F$501,MATCH(F139,'04_PRODUCTOS'!$B$2:$B$501,0))="",INDEX('04_PRODUCTOS'!$E$2:$E$501,MATCH(F139,'04_PRODUCTOS'!$B$2:$B$501,0)),INDEX('04_PRODUCTOS'!$F$2:$F$501,MATCH(F139,'04_PRODUCTOS'!$B$2:$B$501,0))),IF(E139="Especial",IF(INDEX('04_PRODUCTOS'!$G$2:$G$501,MATCH(F139,'04_PRODUCTOS'!$B$2:$B$501,0))="",INDEX('04_PRODUCTOS'!$E$2:$E$501,MATCH(F139,'04_PRODUCTOS'!$B$2:$B$501,0)),INDEX('04_PRODUCTOS'!$G$2:$G$501,MATCH(F139,'04_PRODUCTOS'!$B$2:$B$501,0))),INDEX('04_PRODUCTOS'!$E$2:$E$501,MATCH(F139,'04_PRODUCTOS'!$B$2:$B$501,0)))),"")</f>
        <v/>
      </c>
      <c r="I139" s="3" t="str">
        <f t="shared" si="15"/>
        <v/>
      </c>
      <c r="J139" s="3" t="str">
        <f>IFERROR(IF(INDEX('04_PRODUCTOS'!$D$2:$D$501,MATCH(F139,'04_PRODUCTOS'!$B$2:$B$501,0))="","",I139-(G139*INDEX('04_PRODUCTOS'!$D$2:$D$501,MATCH(F139,'04_PRODUCTOS'!$B$2:$B$501,0)))),"")</f>
        <v/>
      </c>
      <c r="K139" s="7" t="str">
        <f t="shared" si="16"/>
        <v/>
      </c>
      <c r="O139" t="str">
        <f>IF(D139="","",IFERROR(INDEX('03_CLIENTES'!$A$2:$A$501,MATCH(D139,'03_CLIENTES'!$B$2:$B$501,0)),""))</f>
        <v/>
      </c>
      <c r="P139" t="str">
        <f>IF(F139="","",IFERROR(INDEX('04_PRODUCTOS'!$A$2:$A$501,MATCH(F139,'04_PRODUCTOS'!$B$2:$B$501,0)),""))</f>
        <v/>
      </c>
      <c r="Q139" t="str">
        <f t="shared" si="17"/>
        <v/>
      </c>
    </row>
    <row r="140" spans="1:17" x14ac:dyDescent="0.25">
      <c r="A140" t="str">
        <f t="shared" si="12"/>
        <v/>
      </c>
      <c r="B140" s="4" t="str">
        <f t="shared" ca="1" si="13"/>
        <v/>
      </c>
      <c r="C140" s="5" t="str">
        <f t="shared" ca="1" si="14"/>
        <v/>
      </c>
      <c r="G140" s="6"/>
      <c r="H140" s="3" t="str">
        <f>IFERROR(IF(E140="Mayorista",IF(INDEX('04_PRODUCTOS'!$F$2:$F$501,MATCH(F140,'04_PRODUCTOS'!$B$2:$B$501,0))="",INDEX('04_PRODUCTOS'!$E$2:$E$501,MATCH(F140,'04_PRODUCTOS'!$B$2:$B$501,0)),INDEX('04_PRODUCTOS'!$F$2:$F$501,MATCH(F140,'04_PRODUCTOS'!$B$2:$B$501,0))),IF(E140="Especial",IF(INDEX('04_PRODUCTOS'!$G$2:$G$501,MATCH(F140,'04_PRODUCTOS'!$B$2:$B$501,0))="",INDEX('04_PRODUCTOS'!$E$2:$E$501,MATCH(F140,'04_PRODUCTOS'!$B$2:$B$501,0)),INDEX('04_PRODUCTOS'!$G$2:$G$501,MATCH(F140,'04_PRODUCTOS'!$B$2:$B$501,0))),INDEX('04_PRODUCTOS'!$E$2:$E$501,MATCH(F140,'04_PRODUCTOS'!$B$2:$B$501,0)))),"")</f>
        <v/>
      </c>
      <c r="I140" s="3" t="str">
        <f t="shared" si="15"/>
        <v/>
      </c>
      <c r="J140" s="3" t="str">
        <f>IFERROR(IF(INDEX('04_PRODUCTOS'!$D$2:$D$501,MATCH(F140,'04_PRODUCTOS'!$B$2:$B$501,0))="","",I140-(G140*INDEX('04_PRODUCTOS'!$D$2:$D$501,MATCH(F140,'04_PRODUCTOS'!$B$2:$B$501,0)))),"")</f>
        <v/>
      </c>
      <c r="K140" s="7" t="str">
        <f t="shared" si="16"/>
        <v/>
      </c>
      <c r="O140" t="str">
        <f>IF(D140="","",IFERROR(INDEX('03_CLIENTES'!$A$2:$A$501,MATCH(D140,'03_CLIENTES'!$B$2:$B$501,0)),""))</f>
        <v/>
      </c>
      <c r="P140" t="str">
        <f>IF(F140="","",IFERROR(INDEX('04_PRODUCTOS'!$A$2:$A$501,MATCH(F140,'04_PRODUCTOS'!$B$2:$B$501,0)),""))</f>
        <v/>
      </c>
      <c r="Q140" t="str">
        <f t="shared" si="17"/>
        <v/>
      </c>
    </row>
    <row r="141" spans="1:17" x14ac:dyDescent="0.25">
      <c r="A141" t="str">
        <f t="shared" si="12"/>
        <v/>
      </c>
      <c r="B141" s="4" t="str">
        <f t="shared" ca="1" si="13"/>
        <v/>
      </c>
      <c r="C141" s="5" t="str">
        <f t="shared" ca="1" si="14"/>
        <v/>
      </c>
      <c r="G141" s="6"/>
      <c r="H141" s="3" t="str">
        <f>IFERROR(IF(E141="Mayorista",IF(INDEX('04_PRODUCTOS'!$F$2:$F$501,MATCH(F141,'04_PRODUCTOS'!$B$2:$B$501,0))="",INDEX('04_PRODUCTOS'!$E$2:$E$501,MATCH(F141,'04_PRODUCTOS'!$B$2:$B$501,0)),INDEX('04_PRODUCTOS'!$F$2:$F$501,MATCH(F141,'04_PRODUCTOS'!$B$2:$B$501,0))),IF(E141="Especial",IF(INDEX('04_PRODUCTOS'!$G$2:$G$501,MATCH(F141,'04_PRODUCTOS'!$B$2:$B$501,0))="",INDEX('04_PRODUCTOS'!$E$2:$E$501,MATCH(F141,'04_PRODUCTOS'!$B$2:$B$501,0)),INDEX('04_PRODUCTOS'!$G$2:$G$501,MATCH(F141,'04_PRODUCTOS'!$B$2:$B$501,0))),INDEX('04_PRODUCTOS'!$E$2:$E$501,MATCH(F141,'04_PRODUCTOS'!$B$2:$B$501,0)))),"")</f>
        <v/>
      </c>
      <c r="I141" s="3" t="str">
        <f t="shared" si="15"/>
        <v/>
      </c>
      <c r="J141" s="3" t="str">
        <f>IFERROR(IF(INDEX('04_PRODUCTOS'!$D$2:$D$501,MATCH(F141,'04_PRODUCTOS'!$B$2:$B$501,0))="","",I141-(G141*INDEX('04_PRODUCTOS'!$D$2:$D$501,MATCH(F141,'04_PRODUCTOS'!$B$2:$B$501,0)))),"")</f>
        <v/>
      </c>
      <c r="K141" s="7" t="str">
        <f t="shared" si="16"/>
        <v/>
      </c>
      <c r="O141" t="str">
        <f>IF(D141="","",IFERROR(INDEX('03_CLIENTES'!$A$2:$A$501,MATCH(D141,'03_CLIENTES'!$B$2:$B$501,0)),""))</f>
        <v/>
      </c>
      <c r="P141" t="str">
        <f>IF(F141="","",IFERROR(INDEX('04_PRODUCTOS'!$A$2:$A$501,MATCH(F141,'04_PRODUCTOS'!$B$2:$B$501,0)),""))</f>
        <v/>
      </c>
      <c r="Q141" t="str">
        <f t="shared" si="17"/>
        <v/>
      </c>
    </row>
    <row r="142" spans="1:17" x14ac:dyDescent="0.25">
      <c r="A142" t="str">
        <f t="shared" si="12"/>
        <v/>
      </c>
      <c r="B142" s="4" t="str">
        <f t="shared" ca="1" si="13"/>
        <v/>
      </c>
      <c r="C142" s="5" t="str">
        <f t="shared" ca="1" si="14"/>
        <v/>
      </c>
      <c r="G142" s="6"/>
      <c r="H142" s="3" t="str">
        <f>IFERROR(IF(E142="Mayorista",IF(INDEX('04_PRODUCTOS'!$F$2:$F$501,MATCH(F142,'04_PRODUCTOS'!$B$2:$B$501,0))="",INDEX('04_PRODUCTOS'!$E$2:$E$501,MATCH(F142,'04_PRODUCTOS'!$B$2:$B$501,0)),INDEX('04_PRODUCTOS'!$F$2:$F$501,MATCH(F142,'04_PRODUCTOS'!$B$2:$B$501,0))),IF(E142="Especial",IF(INDEX('04_PRODUCTOS'!$G$2:$G$501,MATCH(F142,'04_PRODUCTOS'!$B$2:$B$501,0))="",INDEX('04_PRODUCTOS'!$E$2:$E$501,MATCH(F142,'04_PRODUCTOS'!$B$2:$B$501,0)),INDEX('04_PRODUCTOS'!$G$2:$G$501,MATCH(F142,'04_PRODUCTOS'!$B$2:$B$501,0))),INDEX('04_PRODUCTOS'!$E$2:$E$501,MATCH(F142,'04_PRODUCTOS'!$B$2:$B$501,0)))),"")</f>
        <v/>
      </c>
      <c r="I142" s="3" t="str">
        <f t="shared" si="15"/>
        <v/>
      </c>
      <c r="J142" s="3" t="str">
        <f>IFERROR(IF(INDEX('04_PRODUCTOS'!$D$2:$D$501,MATCH(F142,'04_PRODUCTOS'!$B$2:$B$501,0))="","",I142-(G142*INDEX('04_PRODUCTOS'!$D$2:$D$501,MATCH(F142,'04_PRODUCTOS'!$B$2:$B$501,0)))),"")</f>
        <v/>
      </c>
      <c r="K142" s="7" t="str">
        <f t="shared" si="16"/>
        <v/>
      </c>
      <c r="O142" t="str">
        <f>IF(D142="","",IFERROR(INDEX('03_CLIENTES'!$A$2:$A$501,MATCH(D142,'03_CLIENTES'!$B$2:$B$501,0)),""))</f>
        <v/>
      </c>
      <c r="P142" t="str">
        <f>IF(F142="","",IFERROR(INDEX('04_PRODUCTOS'!$A$2:$A$501,MATCH(F142,'04_PRODUCTOS'!$B$2:$B$501,0)),""))</f>
        <v/>
      </c>
      <c r="Q142" t="str">
        <f t="shared" si="17"/>
        <v/>
      </c>
    </row>
    <row r="143" spans="1:17" x14ac:dyDescent="0.25">
      <c r="A143" t="str">
        <f t="shared" si="12"/>
        <v/>
      </c>
      <c r="B143" s="4" t="str">
        <f t="shared" ca="1" si="13"/>
        <v/>
      </c>
      <c r="C143" s="5" t="str">
        <f t="shared" ca="1" si="14"/>
        <v/>
      </c>
      <c r="G143" s="6"/>
      <c r="H143" s="3" t="str">
        <f>IFERROR(IF(E143="Mayorista",IF(INDEX('04_PRODUCTOS'!$F$2:$F$501,MATCH(F143,'04_PRODUCTOS'!$B$2:$B$501,0))="",INDEX('04_PRODUCTOS'!$E$2:$E$501,MATCH(F143,'04_PRODUCTOS'!$B$2:$B$501,0)),INDEX('04_PRODUCTOS'!$F$2:$F$501,MATCH(F143,'04_PRODUCTOS'!$B$2:$B$501,0))),IF(E143="Especial",IF(INDEX('04_PRODUCTOS'!$G$2:$G$501,MATCH(F143,'04_PRODUCTOS'!$B$2:$B$501,0))="",INDEX('04_PRODUCTOS'!$E$2:$E$501,MATCH(F143,'04_PRODUCTOS'!$B$2:$B$501,0)),INDEX('04_PRODUCTOS'!$G$2:$G$501,MATCH(F143,'04_PRODUCTOS'!$B$2:$B$501,0))),INDEX('04_PRODUCTOS'!$E$2:$E$501,MATCH(F143,'04_PRODUCTOS'!$B$2:$B$501,0)))),"")</f>
        <v/>
      </c>
      <c r="I143" s="3" t="str">
        <f t="shared" si="15"/>
        <v/>
      </c>
      <c r="J143" s="3" t="str">
        <f>IFERROR(IF(INDEX('04_PRODUCTOS'!$D$2:$D$501,MATCH(F143,'04_PRODUCTOS'!$B$2:$B$501,0))="","",I143-(G143*INDEX('04_PRODUCTOS'!$D$2:$D$501,MATCH(F143,'04_PRODUCTOS'!$B$2:$B$501,0)))),"")</f>
        <v/>
      </c>
      <c r="K143" s="7" t="str">
        <f t="shared" si="16"/>
        <v/>
      </c>
      <c r="O143" t="str">
        <f>IF(D143="","",IFERROR(INDEX('03_CLIENTES'!$A$2:$A$501,MATCH(D143,'03_CLIENTES'!$B$2:$B$501,0)),""))</f>
        <v/>
      </c>
      <c r="P143" t="str">
        <f>IF(F143="","",IFERROR(INDEX('04_PRODUCTOS'!$A$2:$A$501,MATCH(F143,'04_PRODUCTOS'!$B$2:$B$501,0)),""))</f>
        <v/>
      </c>
      <c r="Q143" t="str">
        <f t="shared" si="17"/>
        <v/>
      </c>
    </row>
    <row r="144" spans="1:17" x14ac:dyDescent="0.25">
      <c r="A144" t="str">
        <f t="shared" si="12"/>
        <v/>
      </c>
      <c r="B144" s="4" t="str">
        <f t="shared" ca="1" si="13"/>
        <v/>
      </c>
      <c r="C144" s="5" t="str">
        <f t="shared" ca="1" si="14"/>
        <v/>
      </c>
      <c r="G144" s="6"/>
      <c r="H144" s="3" t="str">
        <f>IFERROR(IF(E144="Mayorista",IF(INDEX('04_PRODUCTOS'!$F$2:$F$501,MATCH(F144,'04_PRODUCTOS'!$B$2:$B$501,0))="",INDEX('04_PRODUCTOS'!$E$2:$E$501,MATCH(F144,'04_PRODUCTOS'!$B$2:$B$501,0)),INDEX('04_PRODUCTOS'!$F$2:$F$501,MATCH(F144,'04_PRODUCTOS'!$B$2:$B$501,0))),IF(E144="Especial",IF(INDEX('04_PRODUCTOS'!$G$2:$G$501,MATCH(F144,'04_PRODUCTOS'!$B$2:$B$501,0))="",INDEX('04_PRODUCTOS'!$E$2:$E$501,MATCH(F144,'04_PRODUCTOS'!$B$2:$B$501,0)),INDEX('04_PRODUCTOS'!$G$2:$G$501,MATCH(F144,'04_PRODUCTOS'!$B$2:$B$501,0))),INDEX('04_PRODUCTOS'!$E$2:$E$501,MATCH(F144,'04_PRODUCTOS'!$B$2:$B$501,0)))),"")</f>
        <v/>
      </c>
      <c r="I144" s="3" t="str">
        <f t="shared" si="15"/>
        <v/>
      </c>
      <c r="J144" s="3" t="str">
        <f>IFERROR(IF(INDEX('04_PRODUCTOS'!$D$2:$D$501,MATCH(F144,'04_PRODUCTOS'!$B$2:$B$501,0))="","",I144-(G144*INDEX('04_PRODUCTOS'!$D$2:$D$501,MATCH(F144,'04_PRODUCTOS'!$B$2:$B$501,0)))),"")</f>
        <v/>
      </c>
      <c r="K144" s="7" t="str">
        <f t="shared" si="16"/>
        <v/>
      </c>
      <c r="O144" t="str">
        <f>IF(D144="","",IFERROR(INDEX('03_CLIENTES'!$A$2:$A$501,MATCH(D144,'03_CLIENTES'!$B$2:$B$501,0)),""))</f>
        <v/>
      </c>
      <c r="P144" t="str">
        <f>IF(F144="","",IFERROR(INDEX('04_PRODUCTOS'!$A$2:$A$501,MATCH(F144,'04_PRODUCTOS'!$B$2:$B$501,0)),""))</f>
        <v/>
      </c>
      <c r="Q144" t="str">
        <f t="shared" si="17"/>
        <v/>
      </c>
    </row>
    <row r="145" spans="1:17" x14ac:dyDescent="0.25">
      <c r="A145" t="str">
        <f t="shared" si="12"/>
        <v/>
      </c>
      <c r="B145" s="4" t="str">
        <f t="shared" ca="1" si="13"/>
        <v/>
      </c>
      <c r="C145" s="5" t="str">
        <f t="shared" ca="1" si="14"/>
        <v/>
      </c>
      <c r="G145" s="6"/>
      <c r="H145" s="3" t="str">
        <f>IFERROR(IF(E145="Mayorista",IF(INDEX('04_PRODUCTOS'!$F$2:$F$501,MATCH(F145,'04_PRODUCTOS'!$B$2:$B$501,0))="",INDEX('04_PRODUCTOS'!$E$2:$E$501,MATCH(F145,'04_PRODUCTOS'!$B$2:$B$501,0)),INDEX('04_PRODUCTOS'!$F$2:$F$501,MATCH(F145,'04_PRODUCTOS'!$B$2:$B$501,0))),IF(E145="Especial",IF(INDEX('04_PRODUCTOS'!$G$2:$G$501,MATCH(F145,'04_PRODUCTOS'!$B$2:$B$501,0))="",INDEX('04_PRODUCTOS'!$E$2:$E$501,MATCH(F145,'04_PRODUCTOS'!$B$2:$B$501,0)),INDEX('04_PRODUCTOS'!$G$2:$G$501,MATCH(F145,'04_PRODUCTOS'!$B$2:$B$501,0))),INDEX('04_PRODUCTOS'!$E$2:$E$501,MATCH(F145,'04_PRODUCTOS'!$B$2:$B$501,0)))),"")</f>
        <v/>
      </c>
      <c r="I145" s="3" t="str">
        <f t="shared" si="15"/>
        <v/>
      </c>
      <c r="J145" s="3" t="str">
        <f>IFERROR(IF(INDEX('04_PRODUCTOS'!$D$2:$D$501,MATCH(F145,'04_PRODUCTOS'!$B$2:$B$501,0))="","",I145-(G145*INDEX('04_PRODUCTOS'!$D$2:$D$501,MATCH(F145,'04_PRODUCTOS'!$B$2:$B$501,0)))),"")</f>
        <v/>
      </c>
      <c r="K145" s="7" t="str">
        <f t="shared" si="16"/>
        <v/>
      </c>
      <c r="O145" t="str">
        <f>IF(D145="","",IFERROR(INDEX('03_CLIENTES'!$A$2:$A$501,MATCH(D145,'03_CLIENTES'!$B$2:$B$501,0)),""))</f>
        <v/>
      </c>
      <c r="P145" t="str">
        <f>IF(F145="","",IFERROR(INDEX('04_PRODUCTOS'!$A$2:$A$501,MATCH(F145,'04_PRODUCTOS'!$B$2:$B$501,0)),""))</f>
        <v/>
      </c>
      <c r="Q145" t="str">
        <f t="shared" si="17"/>
        <v/>
      </c>
    </row>
    <row r="146" spans="1:17" x14ac:dyDescent="0.25">
      <c r="A146" t="str">
        <f t="shared" si="12"/>
        <v/>
      </c>
      <c r="B146" s="4" t="str">
        <f t="shared" ca="1" si="13"/>
        <v/>
      </c>
      <c r="C146" s="5" t="str">
        <f t="shared" ca="1" si="14"/>
        <v/>
      </c>
      <c r="G146" s="6"/>
      <c r="H146" s="3" t="str">
        <f>IFERROR(IF(E146="Mayorista",IF(INDEX('04_PRODUCTOS'!$F$2:$F$501,MATCH(F146,'04_PRODUCTOS'!$B$2:$B$501,0))="",INDEX('04_PRODUCTOS'!$E$2:$E$501,MATCH(F146,'04_PRODUCTOS'!$B$2:$B$501,0)),INDEX('04_PRODUCTOS'!$F$2:$F$501,MATCH(F146,'04_PRODUCTOS'!$B$2:$B$501,0))),IF(E146="Especial",IF(INDEX('04_PRODUCTOS'!$G$2:$G$501,MATCH(F146,'04_PRODUCTOS'!$B$2:$B$501,0))="",INDEX('04_PRODUCTOS'!$E$2:$E$501,MATCH(F146,'04_PRODUCTOS'!$B$2:$B$501,0)),INDEX('04_PRODUCTOS'!$G$2:$G$501,MATCH(F146,'04_PRODUCTOS'!$B$2:$B$501,0))),INDEX('04_PRODUCTOS'!$E$2:$E$501,MATCH(F146,'04_PRODUCTOS'!$B$2:$B$501,0)))),"")</f>
        <v/>
      </c>
      <c r="I146" s="3" t="str">
        <f t="shared" si="15"/>
        <v/>
      </c>
      <c r="J146" s="3" t="str">
        <f>IFERROR(IF(INDEX('04_PRODUCTOS'!$D$2:$D$501,MATCH(F146,'04_PRODUCTOS'!$B$2:$B$501,0))="","",I146-(G146*INDEX('04_PRODUCTOS'!$D$2:$D$501,MATCH(F146,'04_PRODUCTOS'!$B$2:$B$501,0)))),"")</f>
        <v/>
      </c>
      <c r="K146" s="7" t="str">
        <f t="shared" si="16"/>
        <v/>
      </c>
      <c r="O146" t="str">
        <f>IF(D146="","",IFERROR(INDEX('03_CLIENTES'!$A$2:$A$501,MATCH(D146,'03_CLIENTES'!$B$2:$B$501,0)),""))</f>
        <v/>
      </c>
      <c r="P146" t="str">
        <f>IF(F146="","",IFERROR(INDEX('04_PRODUCTOS'!$A$2:$A$501,MATCH(F146,'04_PRODUCTOS'!$B$2:$B$501,0)),""))</f>
        <v/>
      </c>
      <c r="Q146" t="str">
        <f t="shared" si="17"/>
        <v/>
      </c>
    </row>
    <row r="147" spans="1:17" x14ac:dyDescent="0.25">
      <c r="A147" t="str">
        <f t="shared" si="12"/>
        <v/>
      </c>
      <c r="B147" s="4" t="str">
        <f t="shared" ca="1" si="13"/>
        <v/>
      </c>
      <c r="C147" s="5" t="str">
        <f t="shared" ca="1" si="14"/>
        <v/>
      </c>
      <c r="G147" s="6"/>
      <c r="H147" s="3" t="str">
        <f>IFERROR(IF(E147="Mayorista",IF(INDEX('04_PRODUCTOS'!$F$2:$F$501,MATCH(F147,'04_PRODUCTOS'!$B$2:$B$501,0))="",INDEX('04_PRODUCTOS'!$E$2:$E$501,MATCH(F147,'04_PRODUCTOS'!$B$2:$B$501,0)),INDEX('04_PRODUCTOS'!$F$2:$F$501,MATCH(F147,'04_PRODUCTOS'!$B$2:$B$501,0))),IF(E147="Especial",IF(INDEX('04_PRODUCTOS'!$G$2:$G$501,MATCH(F147,'04_PRODUCTOS'!$B$2:$B$501,0))="",INDEX('04_PRODUCTOS'!$E$2:$E$501,MATCH(F147,'04_PRODUCTOS'!$B$2:$B$501,0)),INDEX('04_PRODUCTOS'!$G$2:$G$501,MATCH(F147,'04_PRODUCTOS'!$B$2:$B$501,0))),INDEX('04_PRODUCTOS'!$E$2:$E$501,MATCH(F147,'04_PRODUCTOS'!$B$2:$B$501,0)))),"")</f>
        <v/>
      </c>
      <c r="I147" s="3" t="str">
        <f t="shared" si="15"/>
        <v/>
      </c>
      <c r="J147" s="3" t="str">
        <f>IFERROR(IF(INDEX('04_PRODUCTOS'!$D$2:$D$501,MATCH(F147,'04_PRODUCTOS'!$B$2:$B$501,0))="","",I147-(G147*INDEX('04_PRODUCTOS'!$D$2:$D$501,MATCH(F147,'04_PRODUCTOS'!$B$2:$B$501,0)))),"")</f>
        <v/>
      </c>
      <c r="K147" s="7" t="str">
        <f t="shared" si="16"/>
        <v/>
      </c>
      <c r="O147" t="str">
        <f>IF(D147="","",IFERROR(INDEX('03_CLIENTES'!$A$2:$A$501,MATCH(D147,'03_CLIENTES'!$B$2:$B$501,0)),""))</f>
        <v/>
      </c>
      <c r="P147" t="str">
        <f>IF(F147="","",IFERROR(INDEX('04_PRODUCTOS'!$A$2:$A$501,MATCH(F147,'04_PRODUCTOS'!$B$2:$B$501,0)),""))</f>
        <v/>
      </c>
      <c r="Q147" t="str">
        <f t="shared" si="17"/>
        <v/>
      </c>
    </row>
    <row r="148" spans="1:17" x14ac:dyDescent="0.25">
      <c r="A148" t="str">
        <f t="shared" si="12"/>
        <v/>
      </c>
      <c r="B148" s="4" t="str">
        <f t="shared" ca="1" si="13"/>
        <v/>
      </c>
      <c r="C148" s="5" t="str">
        <f t="shared" ca="1" si="14"/>
        <v/>
      </c>
      <c r="G148" s="6"/>
      <c r="H148" s="3" t="str">
        <f>IFERROR(IF(E148="Mayorista",IF(INDEX('04_PRODUCTOS'!$F$2:$F$501,MATCH(F148,'04_PRODUCTOS'!$B$2:$B$501,0))="",INDEX('04_PRODUCTOS'!$E$2:$E$501,MATCH(F148,'04_PRODUCTOS'!$B$2:$B$501,0)),INDEX('04_PRODUCTOS'!$F$2:$F$501,MATCH(F148,'04_PRODUCTOS'!$B$2:$B$501,0))),IF(E148="Especial",IF(INDEX('04_PRODUCTOS'!$G$2:$G$501,MATCH(F148,'04_PRODUCTOS'!$B$2:$B$501,0))="",INDEX('04_PRODUCTOS'!$E$2:$E$501,MATCH(F148,'04_PRODUCTOS'!$B$2:$B$501,0)),INDEX('04_PRODUCTOS'!$G$2:$G$501,MATCH(F148,'04_PRODUCTOS'!$B$2:$B$501,0))),INDEX('04_PRODUCTOS'!$E$2:$E$501,MATCH(F148,'04_PRODUCTOS'!$B$2:$B$501,0)))),"")</f>
        <v/>
      </c>
      <c r="I148" s="3" t="str">
        <f t="shared" si="15"/>
        <v/>
      </c>
      <c r="J148" s="3" t="str">
        <f>IFERROR(IF(INDEX('04_PRODUCTOS'!$D$2:$D$501,MATCH(F148,'04_PRODUCTOS'!$B$2:$B$501,0))="","",I148-(G148*INDEX('04_PRODUCTOS'!$D$2:$D$501,MATCH(F148,'04_PRODUCTOS'!$B$2:$B$501,0)))),"")</f>
        <v/>
      </c>
      <c r="K148" s="7" t="str">
        <f t="shared" si="16"/>
        <v/>
      </c>
      <c r="O148" t="str">
        <f>IF(D148="","",IFERROR(INDEX('03_CLIENTES'!$A$2:$A$501,MATCH(D148,'03_CLIENTES'!$B$2:$B$501,0)),""))</f>
        <v/>
      </c>
      <c r="P148" t="str">
        <f>IF(F148="","",IFERROR(INDEX('04_PRODUCTOS'!$A$2:$A$501,MATCH(F148,'04_PRODUCTOS'!$B$2:$B$501,0)),""))</f>
        <v/>
      </c>
      <c r="Q148" t="str">
        <f t="shared" si="17"/>
        <v/>
      </c>
    </row>
    <row r="149" spans="1:17" x14ac:dyDescent="0.25">
      <c r="A149" t="str">
        <f t="shared" si="12"/>
        <v/>
      </c>
      <c r="B149" s="4" t="str">
        <f t="shared" ca="1" si="13"/>
        <v/>
      </c>
      <c r="C149" s="5" t="str">
        <f t="shared" ca="1" si="14"/>
        <v/>
      </c>
      <c r="G149" s="6"/>
      <c r="H149" s="3" t="str">
        <f>IFERROR(IF(E149="Mayorista",IF(INDEX('04_PRODUCTOS'!$F$2:$F$501,MATCH(F149,'04_PRODUCTOS'!$B$2:$B$501,0))="",INDEX('04_PRODUCTOS'!$E$2:$E$501,MATCH(F149,'04_PRODUCTOS'!$B$2:$B$501,0)),INDEX('04_PRODUCTOS'!$F$2:$F$501,MATCH(F149,'04_PRODUCTOS'!$B$2:$B$501,0))),IF(E149="Especial",IF(INDEX('04_PRODUCTOS'!$G$2:$G$501,MATCH(F149,'04_PRODUCTOS'!$B$2:$B$501,0))="",INDEX('04_PRODUCTOS'!$E$2:$E$501,MATCH(F149,'04_PRODUCTOS'!$B$2:$B$501,0)),INDEX('04_PRODUCTOS'!$G$2:$G$501,MATCH(F149,'04_PRODUCTOS'!$B$2:$B$501,0))),INDEX('04_PRODUCTOS'!$E$2:$E$501,MATCH(F149,'04_PRODUCTOS'!$B$2:$B$501,0)))),"")</f>
        <v/>
      </c>
      <c r="I149" s="3" t="str">
        <f t="shared" si="15"/>
        <v/>
      </c>
      <c r="J149" s="3" t="str">
        <f>IFERROR(IF(INDEX('04_PRODUCTOS'!$D$2:$D$501,MATCH(F149,'04_PRODUCTOS'!$B$2:$B$501,0))="","",I149-(G149*INDEX('04_PRODUCTOS'!$D$2:$D$501,MATCH(F149,'04_PRODUCTOS'!$B$2:$B$501,0)))),"")</f>
        <v/>
      </c>
      <c r="K149" s="7" t="str">
        <f t="shared" si="16"/>
        <v/>
      </c>
      <c r="O149" t="str">
        <f>IF(D149="","",IFERROR(INDEX('03_CLIENTES'!$A$2:$A$501,MATCH(D149,'03_CLIENTES'!$B$2:$B$501,0)),""))</f>
        <v/>
      </c>
      <c r="P149" t="str">
        <f>IF(F149="","",IFERROR(INDEX('04_PRODUCTOS'!$A$2:$A$501,MATCH(F149,'04_PRODUCTOS'!$B$2:$B$501,0)),""))</f>
        <v/>
      </c>
      <c r="Q149" t="str">
        <f t="shared" si="17"/>
        <v/>
      </c>
    </row>
    <row r="150" spans="1:17" x14ac:dyDescent="0.25">
      <c r="A150" t="str">
        <f t="shared" si="12"/>
        <v/>
      </c>
      <c r="B150" s="4" t="str">
        <f t="shared" ca="1" si="13"/>
        <v/>
      </c>
      <c r="C150" s="5" t="str">
        <f t="shared" ca="1" si="14"/>
        <v/>
      </c>
      <c r="G150" s="6"/>
      <c r="H150" s="3" t="str">
        <f>IFERROR(IF(E150="Mayorista",IF(INDEX('04_PRODUCTOS'!$F$2:$F$501,MATCH(F150,'04_PRODUCTOS'!$B$2:$B$501,0))="",INDEX('04_PRODUCTOS'!$E$2:$E$501,MATCH(F150,'04_PRODUCTOS'!$B$2:$B$501,0)),INDEX('04_PRODUCTOS'!$F$2:$F$501,MATCH(F150,'04_PRODUCTOS'!$B$2:$B$501,0))),IF(E150="Especial",IF(INDEX('04_PRODUCTOS'!$G$2:$G$501,MATCH(F150,'04_PRODUCTOS'!$B$2:$B$501,0))="",INDEX('04_PRODUCTOS'!$E$2:$E$501,MATCH(F150,'04_PRODUCTOS'!$B$2:$B$501,0)),INDEX('04_PRODUCTOS'!$G$2:$G$501,MATCH(F150,'04_PRODUCTOS'!$B$2:$B$501,0))),INDEX('04_PRODUCTOS'!$E$2:$E$501,MATCH(F150,'04_PRODUCTOS'!$B$2:$B$501,0)))),"")</f>
        <v/>
      </c>
      <c r="I150" s="3" t="str">
        <f t="shared" si="15"/>
        <v/>
      </c>
      <c r="J150" s="3" t="str">
        <f>IFERROR(IF(INDEX('04_PRODUCTOS'!$D$2:$D$501,MATCH(F150,'04_PRODUCTOS'!$B$2:$B$501,0))="","",I150-(G150*INDEX('04_PRODUCTOS'!$D$2:$D$501,MATCH(F150,'04_PRODUCTOS'!$B$2:$B$501,0)))),"")</f>
        <v/>
      </c>
      <c r="K150" s="7" t="str">
        <f t="shared" si="16"/>
        <v/>
      </c>
      <c r="O150" t="str">
        <f>IF(D150="","",IFERROR(INDEX('03_CLIENTES'!$A$2:$A$501,MATCH(D150,'03_CLIENTES'!$B$2:$B$501,0)),""))</f>
        <v/>
      </c>
      <c r="P150" t="str">
        <f>IF(F150="","",IFERROR(INDEX('04_PRODUCTOS'!$A$2:$A$501,MATCH(F150,'04_PRODUCTOS'!$B$2:$B$501,0)),""))</f>
        <v/>
      </c>
      <c r="Q150" t="str">
        <f t="shared" si="17"/>
        <v/>
      </c>
    </row>
    <row r="151" spans="1:17" x14ac:dyDescent="0.25">
      <c r="A151" t="str">
        <f t="shared" si="12"/>
        <v/>
      </c>
      <c r="B151" s="4" t="str">
        <f t="shared" ca="1" si="13"/>
        <v/>
      </c>
      <c r="C151" s="5" t="str">
        <f t="shared" ca="1" si="14"/>
        <v/>
      </c>
      <c r="G151" s="6"/>
      <c r="H151" s="3" t="str">
        <f>IFERROR(IF(E151="Mayorista",IF(INDEX('04_PRODUCTOS'!$F$2:$F$501,MATCH(F151,'04_PRODUCTOS'!$B$2:$B$501,0))="",INDEX('04_PRODUCTOS'!$E$2:$E$501,MATCH(F151,'04_PRODUCTOS'!$B$2:$B$501,0)),INDEX('04_PRODUCTOS'!$F$2:$F$501,MATCH(F151,'04_PRODUCTOS'!$B$2:$B$501,0))),IF(E151="Especial",IF(INDEX('04_PRODUCTOS'!$G$2:$G$501,MATCH(F151,'04_PRODUCTOS'!$B$2:$B$501,0))="",INDEX('04_PRODUCTOS'!$E$2:$E$501,MATCH(F151,'04_PRODUCTOS'!$B$2:$B$501,0)),INDEX('04_PRODUCTOS'!$G$2:$G$501,MATCH(F151,'04_PRODUCTOS'!$B$2:$B$501,0))),INDEX('04_PRODUCTOS'!$E$2:$E$501,MATCH(F151,'04_PRODUCTOS'!$B$2:$B$501,0)))),"")</f>
        <v/>
      </c>
      <c r="I151" s="3" t="str">
        <f t="shared" si="15"/>
        <v/>
      </c>
      <c r="J151" s="3" t="str">
        <f>IFERROR(IF(INDEX('04_PRODUCTOS'!$D$2:$D$501,MATCH(F151,'04_PRODUCTOS'!$B$2:$B$501,0))="","",I151-(G151*INDEX('04_PRODUCTOS'!$D$2:$D$501,MATCH(F151,'04_PRODUCTOS'!$B$2:$B$501,0)))),"")</f>
        <v/>
      </c>
      <c r="K151" s="7" t="str">
        <f t="shared" si="16"/>
        <v/>
      </c>
      <c r="O151" t="str">
        <f>IF(D151="","",IFERROR(INDEX('03_CLIENTES'!$A$2:$A$501,MATCH(D151,'03_CLIENTES'!$B$2:$B$501,0)),""))</f>
        <v/>
      </c>
      <c r="P151" t="str">
        <f>IF(F151="","",IFERROR(INDEX('04_PRODUCTOS'!$A$2:$A$501,MATCH(F151,'04_PRODUCTOS'!$B$2:$B$501,0)),""))</f>
        <v/>
      </c>
      <c r="Q151" t="str">
        <f t="shared" si="17"/>
        <v/>
      </c>
    </row>
    <row r="152" spans="1:17" x14ac:dyDescent="0.25">
      <c r="A152" t="str">
        <f t="shared" si="12"/>
        <v/>
      </c>
      <c r="B152" s="4" t="str">
        <f t="shared" ca="1" si="13"/>
        <v/>
      </c>
      <c r="C152" s="5" t="str">
        <f t="shared" ca="1" si="14"/>
        <v/>
      </c>
      <c r="G152" s="6"/>
      <c r="H152" s="3" t="str">
        <f>IFERROR(IF(E152="Mayorista",IF(INDEX('04_PRODUCTOS'!$F$2:$F$501,MATCH(F152,'04_PRODUCTOS'!$B$2:$B$501,0))="",INDEX('04_PRODUCTOS'!$E$2:$E$501,MATCH(F152,'04_PRODUCTOS'!$B$2:$B$501,0)),INDEX('04_PRODUCTOS'!$F$2:$F$501,MATCH(F152,'04_PRODUCTOS'!$B$2:$B$501,0))),IF(E152="Especial",IF(INDEX('04_PRODUCTOS'!$G$2:$G$501,MATCH(F152,'04_PRODUCTOS'!$B$2:$B$501,0))="",INDEX('04_PRODUCTOS'!$E$2:$E$501,MATCH(F152,'04_PRODUCTOS'!$B$2:$B$501,0)),INDEX('04_PRODUCTOS'!$G$2:$G$501,MATCH(F152,'04_PRODUCTOS'!$B$2:$B$501,0))),INDEX('04_PRODUCTOS'!$E$2:$E$501,MATCH(F152,'04_PRODUCTOS'!$B$2:$B$501,0)))),"")</f>
        <v/>
      </c>
      <c r="I152" s="3" t="str">
        <f t="shared" si="15"/>
        <v/>
      </c>
      <c r="J152" s="3" t="str">
        <f>IFERROR(IF(INDEX('04_PRODUCTOS'!$D$2:$D$501,MATCH(F152,'04_PRODUCTOS'!$B$2:$B$501,0))="","",I152-(G152*INDEX('04_PRODUCTOS'!$D$2:$D$501,MATCH(F152,'04_PRODUCTOS'!$B$2:$B$501,0)))),"")</f>
        <v/>
      </c>
      <c r="K152" s="7" t="str">
        <f t="shared" si="16"/>
        <v/>
      </c>
      <c r="O152" t="str">
        <f>IF(D152="","",IFERROR(INDEX('03_CLIENTES'!$A$2:$A$501,MATCH(D152,'03_CLIENTES'!$B$2:$B$501,0)),""))</f>
        <v/>
      </c>
      <c r="P152" t="str">
        <f>IF(F152="","",IFERROR(INDEX('04_PRODUCTOS'!$A$2:$A$501,MATCH(F152,'04_PRODUCTOS'!$B$2:$B$501,0)),""))</f>
        <v/>
      </c>
      <c r="Q152" t="str">
        <f t="shared" si="17"/>
        <v/>
      </c>
    </row>
    <row r="153" spans="1:17" x14ac:dyDescent="0.25">
      <c r="A153" t="str">
        <f t="shared" si="12"/>
        <v/>
      </c>
      <c r="B153" s="4" t="str">
        <f t="shared" ca="1" si="13"/>
        <v/>
      </c>
      <c r="C153" s="5" t="str">
        <f t="shared" ca="1" si="14"/>
        <v/>
      </c>
      <c r="G153" s="6"/>
      <c r="H153" s="3" t="str">
        <f>IFERROR(IF(E153="Mayorista",IF(INDEX('04_PRODUCTOS'!$F$2:$F$501,MATCH(F153,'04_PRODUCTOS'!$B$2:$B$501,0))="",INDEX('04_PRODUCTOS'!$E$2:$E$501,MATCH(F153,'04_PRODUCTOS'!$B$2:$B$501,0)),INDEX('04_PRODUCTOS'!$F$2:$F$501,MATCH(F153,'04_PRODUCTOS'!$B$2:$B$501,0))),IF(E153="Especial",IF(INDEX('04_PRODUCTOS'!$G$2:$G$501,MATCH(F153,'04_PRODUCTOS'!$B$2:$B$501,0))="",INDEX('04_PRODUCTOS'!$E$2:$E$501,MATCH(F153,'04_PRODUCTOS'!$B$2:$B$501,0)),INDEX('04_PRODUCTOS'!$G$2:$G$501,MATCH(F153,'04_PRODUCTOS'!$B$2:$B$501,0))),INDEX('04_PRODUCTOS'!$E$2:$E$501,MATCH(F153,'04_PRODUCTOS'!$B$2:$B$501,0)))),"")</f>
        <v/>
      </c>
      <c r="I153" s="3" t="str">
        <f t="shared" si="15"/>
        <v/>
      </c>
      <c r="J153" s="3" t="str">
        <f>IFERROR(IF(INDEX('04_PRODUCTOS'!$D$2:$D$501,MATCH(F153,'04_PRODUCTOS'!$B$2:$B$501,0))="","",I153-(G153*INDEX('04_PRODUCTOS'!$D$2:$D$501,MATCH(F153,'04_PRODUCTOS'!$B$2:$B$501,0)))),"")</f>
        <v/>
      </c>
      <c r="K153" s="7" t="str">
        <f t="shared" si="16"/>
        <v/>
      </c>
      <c r="O153" t="str">
        <f>IF(D153="","",IFERROR(INDEX('03_CLIENTES'!$A$2:$A$501,MATCH(D153,'03_CLIENTES'!$B$2:$B$501,0)),""))</f>
        <v/>
      </c>
      <c r="P153" t="str">
        <f>IF(F153="","",IFERROR(INDEX('04_PRODUCTOS'!$A$2:$A$501,MATCH(F153,'04_PRODUCTOS'!$B$2:$B$501,0)),""))</f>
        <v/>
      </c>
      <c r="Q153" t="str">
        <f t="shared" si="17"/>
        <v/>
      </c>
    </row>
    <row r="154" spans="1:17" x14ac:dyDescent="0.25">
      <c r="A154" t="str">
        <f t="shared" si="12"/>
        <v/>
      </c>
      <c r="B154" s="4" t="str">
        <f t="shared" ca="1" si="13"/>
        <v/>
      </c>
      <c r="C154" s="5" t="str">
        <f t="shared" ca="1" si="14"/>
        <v/>
      </c>
      <c r="G154" s="6"/>
      <c r="H154" s="3" t="str">
        <f>IFERROR(IF(E154="Mayorista",IF(INDEX('04_PRODUCTOS'!$F$2:$F$501,MATCH(F154,'04_PRODUCTOS'!$B$2:$B$501,0))="",INDEX('04_PRODUCTOS'!$E$2:$E$501,MATCH(F154,'04_PRODUCTOS'!$B$2:$B$501,0)),INDEX('04_PRODUCTOS'!$F$2:$F$501,MATCH(F154,'04_PRODUCTOS'!$B$2:$B$501,0))),IF(E154="Especial",IF(INDEX('04_PRODUCTOS'!$G$2:$G$501,MATCH(F154,'04_PRODUCTOS'!$B$2:$B$501,0))="",INDEX('04_PRODUCTOS'!$E$2:$E$501,MATCH(F154,'04_PRODUCTOS'!$B$2:$B$501,0)),INDEX('04_PRODUCTOS'!$G$2:$G$501,MATCH(F154,'04_PRODUCTOS'!$B$2:$B$501,0))),INDEX('04_PRODUCTOS'!$E$2:$E$501,MATCH(F154,'04_PRODUCTOS'!$B$2:$B$501,0)))),"")</f>
        <v/>
      </c>
      <c r="I154" s="3" t="str">
        <f t="shared" si="15"/>
        <v/>
      </c>
      <c r="J154" s="3" t="str">
        <f>IFERROR(IF(INDEX('04_PRODUCTOS'!$D$2:$D$501,MATCH(F154,'04_PRODUCTOS'!$B$2:$B$501,0))="","",I154-(G154*INDEX('04_PRODUCTOS'!$D$2:$D$501,MATCH(F154,'04_PRODUCTOS'!$B$2:$B$501,0)))),"")</f>
        <v/>
      </c>
      <c r="K154" s="7" t="str">
        <f t="shared" si="16"/>
        <v/>
      </c>
      <c r="O154" t="str">
        <f>IF(D154="","",IFERROR(INDEX('03_CLIENTES'!$A$2:$A$501,MATCH(D154,'03_CLIENTES'!$B$2:$B$501,0)),""))</f>
        <v/>
      </c>
      <c r="P154" t="str">
        <f>IF(F154="","",IFERROR(INDEX('04_PRODUCTOS'!$A$2:$A$501,MATCH(F154,'04_PRODUCTOS'!$B$2:$B$501,0)),""))</f>
        <v/>
      </c>
      <c r="Q154" t="str">
        <f t="shared" si="17"/>
        <v/>
      </c>
    </row>
    <row r="155" spans="1:17" x14ac:dyDescent="0.25">
      <c r="A155" t="str">
        <f t="shared" si="12"/>
        <v/>
      </c>
      <c r="B155" s="4" t="str">
        <f t="shared" ca="1" si="13"/>
        <v/>
      </c>
      <c r="C155" s="5" t="str">
        <f t="shared" ca="1" si="14"/>
        <v/>
      </c>
      <c r="G155" s="6"/>
      <c r="H155" s="3" t="str">
        <f>IFERROR(IF(E155="Mayorista",IF(INDEX('04_PRODUCTOS'!$F$2:$F$501,MATCH(F155,'04_PRODUCTOS'!$B$2:$B$501,0))="",INDEX('04_PRODUCTOS'!$E$2:$E$501,MATCH(F155,'04_PRODUCTOS'!$B$2:$B$501,0)),INDEX('04_PRODUCTOS'!$F$2:$F$501,MATCH(F155,'04_PRODUCTOS'!$B$2:$B$501,0))),IF(E155="Especial",IF(INDEX('04_PRODUCTOS'!$G$2:$G$501,MATCH(F155,'04_PRODUCTOS'!$B$2:$B$501,0))="",INDEX('04_PRODUCTOS'!$E$2:$E$501,MATCH(F155,'04_PRODUCTOS'!$B$2:$B$501,0)),INDEX('04_PRODUCTOS'!$G$2:$G$501,MATCH(F155,'04_PRODUCTOS'!$B$2:$B$501,0))),INDEX('04_PRODUCTOS'!$E$2:$E$501,MATCH(F155,'04_PRODUCTOS'!$B$2:$B$501,0)))),"")</f>
        <v/>
      </c>
      <c r="I155" s="3" t="str">
        <f t="shared" si="15"/>
        <v/>
      </c>
      <c r="J155" s="3" t="str">
        <f>IFERROR(IF(INDEX('04_PRODUCTOS'!$D$2:$D$501,MATCH(F155,'04_PRODUCTOS'!$B$2:$B$501,0))="","",I155-(G155*INDEX('04_PRODUCTOS'!$D$2:$D$501,MATCH(F155,'04_PRODUCTOS'!$B$2:$B$501,0)))),"")</f>
        <v/>
      </c>
      <c r="K155" s="7" t="str">
        <f t="shared" si="16"/>
        <v/>
      </c>
      <c r="O155" t="str">
        <f>IF(D155="","",IFERROR(INDEX('03_CLIENTES'!$A$2:$A$501,MATCH(D155,'03_CLIENTES'!$B$2:$B$501,0)),""))</f>
        <v/>
      </c>
      <c r="P155" t="str">
        <f>IF(F155="","",IFERROR(INDEX('04_PRODUCTOS'!$A$2:$A$501,MATCH(F155,'04_PRODUCTOS'!$B$2:$B$501,0)),""))</f>
        <v/>
      </c>
      <c r="Q155" t="str">
        <f t="shared" si="17"/>
        <v/>
      </c>
    </row>
    <row r="156" spans="1:17" x14ac:dyDescent="0.25">
      <c r="A156" t="str">
        <f t="shared" si="12"/>
        <v/>
      </c>
      <c r="B156" s="4" t="str">
        <f t="shared" ca="1" si="13"/>
        <v/>
      </c>
      <c r="C156" s="5" t="str">
        <f t="shared" ca="1" si="14"/>
        <v/>
      </c>
      <c r="G156" s="6"/>
      <c r="H156" s="3" t="str">
        <f>IFERROR(IF(E156="Mayorista",IF(INDEX('04_PRODUCTOS'!$F$2:$F$501,MATCH(F156,'04_PRODUCTOS'!$B$2:$B$501,0))="",INDEX('04_PRODUCTOS'!$E$2:$E$501,MATCH(F156,'04_PRODUCTOS'!$B$2:$B$501,0)),INDEX('04_PRODUCTOS'!$F$2:$F$501,MATCH(F156,'04_PRODUCTOS'!$B$2:$B$501,0))),IF(E156="Especial",IF(INDEX('04_PRODUCTOS'!$G$2:$G$501,MATCH(F156,'04_PRODUCTOS'!$B$2:$B$501,0))="",INDEX('04_PRODUCTOS'!$E$2:$E$501,MATCH(F156,'04_PRODUCTOS'!$B$2:$B$501,0)),INDEX('04_PRODUCTOS'!$G$2:$G$501,MATCH(F156,'04_PRODUCTOS'!$B$2:$B$501,0))),INDEX('04_PRODUCTOS'!$E$2:$E$501,MATCH(F156,'04_PRODUCTOS'!$B$2:$B$501,0)))),"")</f>
        <v/>
      </c>
      <c r="I156" s="3" t="str">
        <f t="shared" si="15"/>
        <v/>
      </c>
      <c r="J156" s="3" t="str">
        <f>IFERROR(IF(INDEX('04_PRODUCTOS'!$D$2:$D$501,MATCH(F156,'04_PRODUCTOS'!$B$2:$B$501,0))="","",I156-(G156*INDEX('04_PRODUCTOS'!$D$2:$D$501,MATCH(F156,'04_PRODUCTOS'!$B$2:$B$501,0)))),"")</f>
        <v/>
      </c>
      <c r="K156" s="7" t="str">
        <f t="shared" si="16"/>
        <v/>
      </c>
      <c r="O156" t="str">
        <f>IF(D156="","",IFERROR(INDEX('03_CLIENTES'!$A$2:$A$501,MATCH(D156,'03_CLIENTES'!$B$2:$B$501,0)),""))</f>
        <v/>
      </c>
      <c r="P156" t="str">
        <f>IF(F156="","",IFERROR(INDEX('04_PRODUCTOS'!$A$2:$A$501,MATCH(F156,'04_PRODUCTOS'!$B$2:$B$501,0)),""))</f>
        <v/>
      </c>
      <c r="Q156" t="str">
        <f t="shared" si="17"/>
        <v/>
      </c>
    </row>
    <row r="157" spans="1:17" x14ac:dyDescent="0.25">
      <c r="A157" t="str">
        <f t="shared" si="12"/>
        <v/>
      </c>
      <c r="B157" s="4" t="str">
        <f t="shared" ca="1" si="13"/>
        <v/>
      </c>
      <c r="C157" s="5" t="str">
        <f t="shared" ca="1" si="14"/>
        <v/>
      </c>
      <c r="G157" s="6"/>
      <c r="H157" s="3" t="str">
        <f>IFERROR(IF(E157="Mayorista",IF(INDEX('04_PRODUCTOS'!$F$2:$F$501,MATCH(F157,'04_PRODUCTOS'!$B$2:$B$501,0))="",INDEX('04_PRODUCTOS'!$E$2:$E$501,MATCH(F157,'04_PRODUCTOS'!$B$2:$B$501,0)),INDEX('04_PRODUCTOS'!$F$2:$F$501,MATCH(F157,'04_PRODUCTOS'!$B$2:$B$501,0))),IF(E157="Especial",IF(INDEX('04_PRODUCTOS'!$G$2:$G$501,MATCH(F157,'04_PRODUCTOS'!$B$2:$B$501,0))="",INDEX('04_PRODUCTOS'!$E$2:$E$501,MATCH(F157,'04_PRODUCTOS'!$B$2:$B$501,0)),INDEX('04_PRODUCTOS'!$G$2:$G$501,MATCH(F157,'04_PRODUCTOS'!$B$2:$B$501,0))),INDEX('04_PRODUCTOS'!$E$2:$E$501,MATCH(F157,'04_PRODUCTOS'!$B$2:$B$501,0)))),"")</f>
        <v/>
      </c>
      <c r="I157" s="3" t="str">
        <f t="shared" si="15"/>
        <v/>
      </c>
      <c r="J157" s="3" t="str">
        <f>IFERROR(IF(INDEX('04_PRODUCTOS'!$D$2:$D$501,MATCH(F157,'04_PRODUCTOS'!$B$2:$B$501,0))="","",I157-(G157*INDEX('04_PRODUCTOS'!$D$2:$D$501,MATCH(F157,'04_PRODUCTOS'!$B$2:$B$501,0)))),"")</f>
        <v/>
      </c>
      <c r="K157" s="7" t="str">
        <f t="shared" si="16"/>
        <v/>
      </c>
      <c r="O157" t="str">
        <f>IF(D157="","",IFERROR(INDEX('03_CLIENTES'!$A$2:$A$501,MATCH(D157,'03_CLIENTES'!$B$2:$B$501,0)),""))</f>
        <v/>
      </c>
      <c r="P157" t="str">
        <f>IF(F157="","",IFERROR(INDEX('04_PRODUCTOS'!$A$2:$A$501,MATCH(F157,'04_PRODUCTOS'!$B$2:$B$501,0)),""))</f>
        <v/>
      </c>
      <c r="Q157" t="str">
        <f t="shared" si="17"/>
        <v/>
      </c>
    </row>
    <row r="158" spans="1:17" x14ac:dyDescent="0.25">
      <c r="A158" t="str">
        <f t="shared" si="12"/>
        <v/>
      </c>
      <c r="B158" s="4" t="str">
        <f t="shared" ca="1" si="13"/>
        <v/>
      </c>
      <c r="C158" s="5" t="str">
        <f t="shared" ca="1" si="14"/>
        <v/>
      </c>
      <c r="G158" s="6"/>
      <c r="H158" s="3" t="str">
        <f>IFERROR(IF(E158="Mayorista",IF(INDEX('04_PRODUCTOS'!$F$2:$F$501,MATCH(F158,'04_PRODUCTOS'!$B$2:$B$501,0))="",INDEX('04_PRODUCTOS'!$E$2:$E$501,MATCH(F158,'04_PRODUCTOS'!$B$2:$B$501,0)),INDEX('04_PRODUCTOS'!$F$2:$F$501,MATCH(F158,'04_PRODUCTOS'!$B$2:$B$501,0))),IF(E158="Especial",IF(INDEX('04_PRODUCTOS'!$G$2:$G$501,MATCH(F158,'04_PRODUCTOS'!$B$2:$B$501,0))="",INDEX('04_PRODUCTOS'!$E$2:$E$501,MATCH(F158,'04_PRODUCTOS'!$B$2:$B$501,0)),INDEX('04_PRODUCTOS'!$G$2:$G$501,MATCH(F158,'04_PRODUCTOS'!$B$2:$B$501,0))),INDEX('04_PRODUCTOS'!$E$2:$E$501,MATCH(F158,'04_PRODUCTOS'!$B$2:$B$501,0)))),"")</f>
        <v/>
      </c>
      <c r="I158" s="3" t="str">
        <f t="shared" si="15"/>
        <v/>
      </c>
      <c r="J158" s="3" t="str">
        <f>IFERROR(IF(INDEX('04_PRODUCTOS'!$D$2:$D$501,MATCH(F158,'04_PRODUCTOS'!$B$2:$B$501,0))="","",I158-(G158*INDEX('04_PRODUCTOS'!$D$2:$D$501,MATCH(F158,'04_PRODUCTOS'!$B$2:$B$501,0)))),"")</f>
        <v/>
      </c>
      <c r="K158" s="7" t="str">
        <f t="shared" si="16"/>
        <v/>
      </c>
      <c r="O158" t="str">
        <f>IF(D158="","",IFERROR(INDEX('03_CLIENTES'!$A$2:$A$501,MATCH(D158,'03_CLIENTES'!$B$2:$B$501,0)),""))</f>
        <v/>
      </c>
      <c r="P158" t="str">
        <f>IF(F158="","",IFERROR(INDEX('04_PRODUCTOS'!$A$2:$A$501,MATCH(F158,'04_PRODUCTOS'!$B$2:$B$501,0)),""))</f>
        <v/>
      </c>
      <c r="Q158" t="str">
        <f t="shared" si="17"/>
        <v/>
      </c>
    </row>
    <row r="159" spans="1:17" x14ac:dyDescent="0.25">
      <c r="A159" t="str">
        <f t="shared" si="12"/>
        <v/>
      </c>
      <c r="B159" s="4" t="str">
        <f t="shared" ca="1" si="13"/>
        <v/>
      </c>
      <c r="C159" s="5" t="str">
        <f t="shared" ca="1" si="14"/>
        <v/>
      </c>
      <c r="G159" s="6"/>
      <c r="H159" s="3" t="str">
        <f>IFERROR(IF(E159="Mayorista",IF(INDEX('04_PRODUCTOS'!$F$2:$F$501,MATCH(F159,'04_PRODUCTOS'!$B$2:$B$501,0))="",INDEX('04_PRODUCTOS'!$E$2:$E$501,MATCH(F159,'04_PRODUCTOS'!$B$2:$B$501,0)),INDEX('04_PRODUCTOS'!$F$2:$F$501,MATCH(F159,'04_PRODUCTOS'!$B$2:$B$501,0))),IF(E159="Especial",IF(INDEX('04_PRODUCTOS'!$G$2:$G$501,MATCH(F159,'04_PRODUCTOS'!$B$2:$B$501,0))="",INDEX('04_PRODUCTOS'!$E$2:$E$501,MATCH(F159,'04_PRODUCTOS'!$B$2:$B$501,0)),INDEX('04_PRODUCTOS'!$G$2:$G$501,MATCH(F159,'04_PRODUCTOS'!$B$2:$B$501,0))),INDEX('04_PRODUCTOS'!$E$2:$E$501,MATCH(F159,'04_PRODUCTOS'!$B$2:$B$501,0)))),"")</f>
        <v/>
      </c>
      <c r="I159" s="3" t="str">
        <f t="shared" si="15"/>
        <v/>
      </c>
      <c r="J159" s="3" t="str">
        <f>IFERROR(IF(INDEX('04_PRODUCTOS'!$D$2:$D$501,MATCH(F159,'04_PRODUCTOS'!$B$2:$B$501,0))="","",I159-(G159*INDEX('04_PRODUCTOS'!$D$2:$D$501,MATCH(F159,'04_PRODUCTOS'!$B$2:$B$501,0)))),"")</f>
        <v/>
      </c>
      <c r="K159" s="7" t="str">
        <f t="shared" si="16"/>
        <v/>
      </c>
      <c r="O159" t="str">
        <f>IF(D159="","",IFERROR(INDEX('03_CLIENTES'!$A$2:$A$501,MATCH(D159,'03_CLIENTES'!$B$2:$B$501,0)),""))</f>
        <v/>
      </c>
      <c r="P159" t="str">
        <f>IF(F159="","",IFERROR(INDEX('04_PRODUCTOS'!$A$2:$A$501,MATCH(F159,'04_PRODUCTOS'!$B$2:$B$501,0)),""))</f>
        <v/>
      </c>
      <c r="Q159" t="str">
        <f t="shared" si="17"/>
        <v/>
      </c>
    </row>
    <row r="160" spans="1:17" x14ac:dyDescent="0.25">
      <c r="A160" t="str">
        <f t="shared" si="12"/>
        <v/>
      </c>
      <c r="B160" s="4" t="str">
        <f t="shared" ca="1" si="13"/>
        <v/>
      </c>
      <c r="C160" s="5" t="str">
        <f t="shared" ca="1" si="14"/>
        <v/>
      </c>
      <c r="G160" s="6"/>
      <c r="H160" s="3" t="str">
        <f>IFERROR(IF(E160="Mayorista",IF(INDEX('04_PRODUCTOS'!$F$2:$F$501,MATCH(F160,'04_PRODUCTOS'!$B$2:$B$501,0))="",INDEX('04_PRODUCTOS'!$E$2:$E$501,MATCH(F160,'04_PRODUCTOS'!$B$2:$B$501,0)),INDEX('04_PRODUCTOS'!$F$2:$F$501,MATCH(F160,'04_PRODUCTOS'!$B$2:$B$501,0))),IF(E160="Especial",IF(INDEX('04_PRODUCTOS'!$G$2:$G$501,MATCH(F160,'04_PRODUCTOS'!$B$2:$B$501,0))="",INDEX('04_PRODUCTOS'!$E$2:$E$501,MATCH(F160,'04_PRODUCTOS'!$B$2:$B$501,0)),INDEX('04_PRODUCTOS'!$G$2:$G$501,MATCH(F160,'04_PRODUCTOS'!$B$2:$B$501,0))),INDEX('04_PRODUCTOS'!$E$2:$E$501,MATCH(F160,'04_PRODUCTOS'!$B$2:$B$501,0)))),"")</f>
        <v/>
      </c>
      <c r="I160" s="3" t="str">
        <f t="shared" si="15"/>
        <v/>
      </c>
      <c r="J160" s="3" t="str">
        <f>IFERROR(IF(INDEX('04_PRODUCTOS'!$D$2:$D$501,MATCH(F160,'04_PRODUCTOS'!$B$2:$B$501,0))="","",I160-(G160*INDEX('04_PRODUCTOS'!$D$2:$D$501,MATCH(F160,'04_PRODUCTOS'!$B$2:$B$501,0)))),"")</f>
        <v/>
      </c>
      <c r="K160" s="7" t="str">
        <f t="shared" si="16"/>
        <v/>
      </c>
      <c r="O160" t="str">
        <f>IF(D160="","",IFERROR(INDEX('03_CLIENTES'!$A$2:$A$501,MATCH(D160,'03_CLIENTES'!$B$2:$B$501,0)),""))</f>
        <v/>
      </c>
      <c r="P160" t="str">
        <f>IF(F160="","",IFERROR(INDEX('04_PRODUCTOS'!$A$2:$A$501,MATCH(F160,'04_PRODUCTOS'!$B$2:$B$501,0)),""))</f>
        <v/>
      </c>
      <c r="Q160" t="str">
        <f t="shared" si="17"/>
        <v/>
      </c>
    </row>
    <row r="161" spans="1:17" x14ac:dyDescent="0.25">
      <c r="A161" t="str">
        <f t="shared" si="12"/>
        <v/>
      </c>
      <c r="B161" s="4" t="str">
        <f t="shared" ca="1" si="13"/>
        <v/>
      </c>
      <c r="C161" s="5" t="str">
        <f t="shared" ca="1" si="14"/>
        <v/>
      </c>
      <c r="G161" s="6"/>
      <c r="H161" s="3" t="str">
        <f>IFERROR(IF(E161="Mayorista",IF(INDEX('04_PRODUCTOS'!$F$2:$F$501,MATCH(F161,'04_PRODUCTOS'!$B$2:$B$501,0))="",INDEX('04_PRODUCTOS'!$E$2:$E$501,MATCH(F161,'04_PRODUCTOS'!$B$2:$B$501,0)),INDEX('04_PRODUCTOS'!$F$2:$F$501,MATCH(F161,'04_PRODUCTOS'!$B$2:$B$501,0))),IF(E161="Especial",IF(INDEX('04_PRODUCTOS'!$G$2:$G$501,MATCH(F161,'04_PRODUCTOS'!$B$2:$B$501,0))="",INDEX('04_PRODUCTOS'!$E$2:$E$501,MATCH(F161,'04_PRODUCTOS'!$B$2:$B$501,0)),INDEX('04_PRODUCTOS'!$G$2:$G$501,MATCH(F161,'04_PRODUCTOS'!$B$2:$B$501,0))),INDEX('04_PRODUCTOS'!$E$2:$E$501,MATCH(F161,'04_PRODUCTOS'!$B$2:$B$501,0)))),"")</f>
        <v/>
      </c>
      <c r="I161" s="3" t="str">
        <f t="shared" si="15"/>
        <v/>
      </c>
      <c r="J161" s="3" t="str">
        <f>IFERROR(IF(INDEX('04_PRODUCTOS'!$D$2:$D$501,MATCH(F161,'04_PRODUCTOS'!$B$2:$B$501,0))="","",I161-(G161*INDEX('04_PRODUCTOS'!$D$2:$D$501,MATCH(F161,'04_PRODUCTOS'!$B$2:$B$501,0)))),"")</f>
        <v/>
      </c>
      <c r="K161" s="7" t="str">
        <f t="shared" si="16"/>
        <v/>
      </c>
      <c r="O161" t="str">
        <f>IF(D161="","",IFERROR(INDEX('03_CLIENTES'!$A$2:$A$501,MATCH(D161,'03_CLIENTES'!$B$2:$B$501,0)),""))</f>
        <v/>
      </c>
      <c r="P161" t="str">
        <f>IF(F161="","",IFERROR(INDEX('04_PRODUCTOS'!$A$2:$A$501,MATCH(F161,'04_PRODUCTOS'!$B$2:$B$501,0)),""))</f>
        <v/>
      </c>
      <c r="Q161" t="str">
        <f t="shared" si="17"/>
        <v/>
      </c>
    </row>
    <row r="162" spans="1:17" x14ac:dyDescent="0.25">
      <c r="A162" t="str">
        <f t="shared" si="12"/>
        <v/>
      </c>
      <c r="B162" s="4" t="str">
        <f t="shared" ca="1" si="13"/>
        <v/>
      </c>
      <c r="C162" s="5" t="str">
        <f t="shared" ca="1" si="14"/>
        <v/>
      </c>
      <c r="G162" s="6"/>
      <c r="H162" s="3" t="str">
        <f>IFERROR(IF(E162="Mayorista",IF(INDEX('04_PRODUCTOS'!$F$2:$F$501,MATCH(F162,'04_PRODUCTOS'!$B$2:$B$501,0))="",INDEX('04_PRODUCTOS'!$E$2:$E$501,MATCH(F162,'04_PRODUCTOS'!$B$2:$B$501,0)),INDEX('04_PRODUCTOS'!$F$2:$F$501,MATCH(F162,'04_PRODUCTOS'!$B$2:$B$501,0))),IF(E162="Especial",IF(INDEX('04_PRODUCTOS'!$G$2:$G$501,MATCH(F162,'04_PRODUCTOS'!$B$2:$B$501,0))="",INDEX('04_PRODUCTOS'!$E$2:$E$501,MATCH(F162,'04_PRODUCTOS'!$B$2:$B$501,0)),INDEX('04_PRODUCTOS'!$G$2:$G$501,MATCH(F162,'04_PRODUCTOS'!$B$2:$B$501,0))),INDEX('04_PRODUCTOS'!$E$2:$E$501,MATCH(F162,'04_PRODUCTOS'!$B$2:$B$501,0)))),"")</f>
        <v/>
      </c>
      <c r="I162" s="3" t="str">
        <f t="shared" si="15"/>
        <v/>
      </c>
      <c r="J162" s="3" t="str">
        <f>IFERROR(IF(INDEX('04_PRODUCTOS'!$D$2:$D$501,MATCH(F162,'04_PRODUCTOS'!$B$2:$B$501,0))="","",I162-(G162*INDEX('04_PRODUCTOS'!$D$2:$D$501,MATCH(F162,'04_PRODUCTOS'!$B$2:$B$501,0)))),"")</f>
        <v/>
      </c>
      <c r="K162" s="7" t="str">
        <f t="shared" si="16"/>
        <v/>
      </c>
      <c r="O162" t="str">
        <f>IF(D162="","",IFERROR(INDEX('03_CLIENTES'!$A$2:$A$501,MATCH(D162,'03_CLIENTES'!$B$2:$B$501,0)),""))</f>
        <v/>
      </c>
      <c r="P162" t="str">
        <f>IF(F162="","",IFERROR(INDEX('04_PRODUCTOS'!$A$2:$A$501,MATCH(F162,'04_PRODUCTOS'!$B$2:$B$501,0)),""))</f>
        <v/>
      </c>
      <c r="Q162" t="str">
        <f t="shared" si="17"/>
        <v/>
      </c>
    </row>
    <row r="163" spans="1:17" x14ac:dyDescent="0.25">
      <c r="A163" t="str">
        <f t="shared" si="12"/>
        <v/>
      </c>
      <c r="B163" s="4" t="str">
        <f t="shared" ca="1" si="13"/>
        <v/>
      </c>
      <c r="C163" s="5" t="str">
        <f t="shared" ca="1" si="14"/>
        <v/>
      </c>
      <c r="G163" s="6"/>
      <c r="H163" s="3" t="str">
        <f>IFERROR(IF(E163="Mayorista",IF(INDEX('04_PRODUCTOS'!$F$2:$F$501,MATCH(F163,'04_PRODUCTOS'!$B$2:$B$501,0))="",INDEX('04_PRODUCTOS'!$E$2:$E$501,MATCH(F163,'04_PRODUCTOS'!$B$2:$B$501,0)),INDEX('04_PRODUCTOS'!$F$2:$F$501,MATCH(F163,'04_PRODUCTOS'!$B$2:$B$501,0))),IF(E163="Especial",IF(INDEX('04_PRODUCTOS'!$G$2:$G$501,MATCH(F163,'04_PRODUCTOS'!$B$2:$B$501,0))="",INDEX('04_PRODUCTOS'!$E$2:$E$501,MATCH(F163,'04_PRODUCTOS'!$B$2:$B$501,0)),INDEX('04_PRODUCTOS'!$G$2:$G$501,MATCH(F163,'04_PRODUCTOS'!$B$2:$B$501,0))),INDEX('04_PRODUCTOS'!$E$2:$E$501,MATCH(F163,'04_PRODUCTOS'!$B$2:$B$501,0)))),"")</f>
        <v/>
      </c>
      <c r="I163" s="3" t="str">
        <f t="shared" si="15"/>
        <v/>
      </c>
      <c r="J163" s="3" t="str">
        <f>IFERROR(IF(INDEX('04_PRODUCTOS'!$D$2:$D$501,MATCH(F163,'04_PRODUCTOS'!$B$2:$B$501,0))="","",I163-(G163*INDEX('04_PRODUCTOS'!$D$2:$D$501,MATCH(F163,'04_PRODUCTOS'!$B$2:$B$501,0)))),"")</f>
        <v/>
      </c>
      <c r="K163" s="7" t="str">
        <f t="shared" si="16"/>
        <v/>
      </c>
      <c r="O163" t="str">
        <f>IF(D163="","",IFERROR(INDEX('03_CLIENTES'!$A$2:$A$501,MATCH(D163,'03_CLIENTES'!$B$2:$B$501,0)),""))</f>
        <v/>
      </c>
      <c r="P163" t="str">
        <f>IF(F163="","",IFERROR(INDEX('04_PRODUCTOS'!$A$2:$A$501,MATCH(F163,'04_PRODUCTOS'!$B$2:$B$501,0)),""))</f>
        <v/>
      </c>
      <c r="Q163" t="str">
        <f t="shared" si="17"/>
        <v/>
      </c>
    </row>
    <row r="164" spans="1:17" x14ac:dyDescent="0.25">
      <c r="A164" t="str">
        <f t="shared" si="12"/>
        <v/>
      </c>
      <c r="B164" s="4" t="str">
        <f t="shared" ca="1" si="13"/>
        <v/>
      </c>
      <c r="C164" s="5" t="str">
        <f t="shared" ca="1" si="14"/>
        <v/>
      </c>
      <c r="G164" s="6"/>
      <c r="H164" s="3" t="str">
        <f>IFERROR(IF(E164="Mayorista",IF(INDEX('04_PRODUCTOS'!$F$2:$F$501,MATCH(F164,'04_PRODUCTOS'!$B$2:$B$501,0))="",INDEX('04_PRODUCTOS'!$E$2:$E$501,MATCH(F164,'04_PRODUCTOS'!$B$2:$B$501,0)),INDEX('04_PRODUCTOS'!$F$2:$F$501,MATCH(F164,'04_PRODUCTOS'!$B$2:$B$501,0))),IF(E164="Especial",IF(INDEX('04_PRODUCTOS'!$G$2:$G$501,MATCH(F164,'04_PRODUCTOS'!$B$2:$B$501,0))="",INDEX('04_PRODUCTOS'!$E$2:$E$501,MATCH(F164,'04_PRODUCTOS'!$B$2:$B$501,0)),INDEX('04_PRODUCTOS'!$G$2:$G$501,MATCH(F164,'04_PRODUCTOS'!$B$2:$B$501,0))),INDEX('04_PRODUCTOS'!$E$2:$E$501,MATCH(F164,'04_PRODUCTOS'!$B$2:$B$501,0)))),"")</f>
        <v/>
      </c>
      <c r="I164" s="3" t="str">
        <f t="shared" si="15"/>
        <v/>
      </c>
      <c r="J164" s="3" t="str">
        <f>IFERROR(IF(INDEX('04_PRODUCTOS'!$D$2:$D$501,MATCH(F164,'04_PRODUCTOS'!$B$2:$B$501,0))="","",I164-(G164*INDEX('04_PRODUCTOS'!$D$2:$D$501,MATCH(F164,'04_PRODUCTOS'!$B$2:$B$501,0)))),"")</f>
        <v/>
      </c>
      <c r="K164" s="7" t="str">
        <f t="shared" si="16"/>
        <v/>
      </c>
      <c r="O164" t="str">
        <f>IF(D164="","",IFERROR(INDEX('03_CLIENTES'!$A$2:$A$501,MATCH(D164,'03_CLIENTES'!$B$2:$B$501,0)),""))</f>
        <v/>
      </c>
      <c r="P164" t="str">
        <f>IF(F164="","",IFERROR(INDEX('04_PRODUCTOS'!$A$2:$A$501,MATCH(F164,'04_PRODUCTOS'!$B$2:$B$501,0)),""))</f>
        <v/>
      </c>
      <c r="Q164" t="str">
        <f t="shared" si="17"/>
        <v/>
      </c>
    </row>
    <row r="165" spans="1:17" x14ac:dyDescent="0.25">
      <c r="A165" t="str">
        <f t="shared" si="12"/>
        <v/>
      </c>
      <c r="B165" s="4" t="str">
        <f t="shared" ca="1" si="13"/>
        <v/>
      </c>
      <c r="C165" s="5" t="str">
        <f t="shared" ca="1" si="14"/>
        <v/>
      </c>
      <c r="G165" s="6"/>
      <c r="H165" s="3" t="str">
        <f>IFERROR(IF(E165="Mayorista",IF(INDEX('04_PRODUCTOS'!$F$2:$F$501,MATCH(F165,'04_PRODUCTOS'!$B$2:$B$501,0))="",INDEX('04_PRODUCTOS'!$E$2:$E$501,MATCH(F165,'04_PRODUCTOS'!$B$2:$B$501,0)),INDEX('04_PRODUCTOS'!$F$2:$F$501,MATCH(F165,'04_PRODUCTOS'!$B$2:$B$501,0))),IF(E165="Especial",IF(INDEX('04_PRODUCTOS'!$G$2:$G$501,MATCH(F165,'04_PRODUCTOS'!$B$2:$B$501,0))="",INDEX('04_PRODUCTOS'!$E$2:$E$501,MATCH(F165,'04_PRODUCTOS'!$B$2:$B$501,0)),INDEX('04_PRODUCTOS'!$G$2:$G$501,MATCH(F165,'04_PRODUCTOS'!$B$2:$B$501,0))),INDEX('04_PRODUCTOS'!$E$2:$E$501,MATCH(F165,'04_PRODUCTOS'!$B$2:$B$501,0)))),"")</f>
        <v/>
      </c>
      <c r="I165" s="3" t="str">
        <f t="shared" si="15"/>
        <v/>
      </c>
      <c r="J165" s="3" t="str">
        <f>IFERROR(IF(INDEX('04_PRODUCTOS'!$D$2:$D$501,MATCH(F165,'04_PRODUCTOS'!$B$2:$B$501,0))="","",I165-(G165*INDEX('04_PRODUCTOS'!$D$2:$D$501,MATCH(F165,'04_PRODUCTOS'!$B$2:$B$501,0)))),"")</f>
        <v/>
      </c>
      <c r="K165" s="7" t="str">
        <f t="shared" si="16"/>
        <v/>
      </c>
      <c r="O165" t="str">
        <f>IF(D165="","",IFERROR(INDEX('03_CLIENTES'!$A$2:$A$501,MATCH(D165,'03_CLIENTES'!$B$2:$B$501,0)),""))</f>
        <v/>
      </c>
      <c r="P165" t="str">
        <f>IF(F165="","",IFERROR(INDEX('04_PRODUCTOS'!$A$2:$A$501,MATCH(F165,'04_PRODUCTOS'!$B$2:$B$501,0)),""))</f>
        <v/>
      </c>
      <c r="Q165" t="str">
        <f t="shared" si="17"/>
        <v/>
      </c>
    </row>
    <row r="166" spans="1:17" x14ac:dyDescent="0.25">
      <c r="A166" t="str">
        <f t="shared" si="12"/>
        <v/>
      </c>
      <c r="B166" s="4" t="str">
        <f t="shared" ca="1" si="13"/>
        <v/>
      </c>
      <c r="C166" s="5" t="str">
        <f t="shared" ca="1" si="14"/>
        <v/>
      </c>
      <c r="G166" s="6"/>
      <c r="H166" s="3" t="str">
        <f>IFERROR(IF(E166="Mayorista",IF(INDEX('04_PRODUCTOS'!$F$2:$F$501,MATCH(F166,'04_PRODUCTOS'!$B$2:$B$501,0))="",INDEX('04_PRODUCTOS'!$E$2:$E$501,MATCH(F166,'04_PRODUCTOS'!$B$2:$B$501,0)),INDEX('04_PRODUCTOS'!$F$2:$F$501,MATCH(F166,'04_PRODUCTOS'!$B$2:$B$501,0))),IF(E166="Especial",IF(INDEX('04_PRODUCTOS'!$G$2:$G$501,MATCH(F166,'04_PRODUCTOS'!$B$2:$B$501,0))="",INDEX('04_PRODUCTOS'!$E$2:$E$501,MATCH(F166,'04_PRODUCTOS'!$B$2:$B$501,0)),INDEX('04_PRODUCTOS'!$G$2:$G$501,MATCH(F166,'04_PRODUCTOS'!$B$2:$B$501,0))),INDEX('04_PRODUCTOS'!$E$2:$E$501,MATCH(F166,'04_PRODUCTOS'!$B$2:$B$501,0)))),"")</f>
        <v/>
      </c>
      <c r="I166" s="3" t="str">
        <f t="shared" si="15"/>
        <v/>
      </c>
      <c r="J166" s="3" t="str">
        <f>IFERROR(IF(INDEX('04_PRODUCTOS'!$D$2:$D$501,MATCH(F166,'04_PRODUCTOS'!$B$2:$B$501,0))="","",I166-(G166*INDEX('04_PRODUCTOS'!$D$2:$D$501,MATCH(F166,'04_PRODUCTOS'!$B$2:$B$501,0)))),"")</f>
        <v/>
      </c>
      <c r="K166" s="7" t="str">
        <f t="shared" si="16"/>
        <v/>
      </c>
      <c r="O166" t="str">
        <f>IF(D166="","",IFERROR(INDEX('03_CLIENTES'!$A$2:$A$501,MATCH(D166,'03_CLIENTES'!$B$2:$B$501,0)),""))</f>
        <v/>
      </c>
      <c r="P166" t="str">
        <f>IF(F166="","",IFERROR(INDEX('04_PRODUCTOS'!$A$2:$A$501,MATCH(F166,'04_PRODUCTOS'!$B$2:$B$501,0)),""))</f>
        <v/>
      </c>
      <c r="Q166" t="str">
        <f t="shared" si="17"/>
        <v/>
      </c>
    </row>
    <row r="167" spans="1:17" x14ac:dyDescent="0.25">
      <c r="A167" t="str">
        <f t="shared" si="12"/>
        <v/>
      </c>
      <c r="B167" s="4" t="str">
        <f t="shared" ca="1" si="13"/>
        <v/>
      </c>
      <c r="C167" s="5" t="str">
        <f t="shared" ca="1" si="14"/>
        <v/>
      </c>
      <c r="G167" s="6"/>
      <c r="H167" s="3" t="str">
        <f>IFERROR(IF(E167="Mayorista",IF(INDEX('04_PRODUCTOS'!$F$2:$F$501,MATCH(F167,'04_PRODUCTOS'!$B$2:$B$501,0))="",INDEX('04_PRODUCTOS'!$E$2:$E$501,MATCH(F167,'04_PRODUCTOS'!$B$2:$B$501,0)),INDEX('04_PRODUCTOS'!$F$2:$F$501,MATCH(F167,'04_PRODUCTOS'!$B$2:$B$501,0))),IF(E167="Especial",IF(INDEX('04_PRODUCTOS'!$G$2:$G$501,MATCH(F167,'04_PRODUCTOS'!$B$2:$B$501,0))="",INDEX('04_PRODUCTOS'!$E$2:$E$501,MATCH(F167,'04_PRODUCTOS'!$B$2:$B$501,0)),INDEX('04_PRODUCTOS'!$G$2:$G$501,MATCH(F167,'04_PRODUCTOS'!$B$2:$B$501,0))),INDEX('04_PRODUCTOS'!$E$2:$E$501,MATCH(F167,'04_PRODUCTOS'!$B$2:$B$501,0)))),"")</f>
        <v/>
      </c>
      <c r="I167" s="3" t="str">
        <f t="shared" si="15"/>
        <v/>
      </c>
      <c r="J167" s="3" t="str">
        <f>IFERROR(IF(INDEX('04_PRODUCTOS'!$D$2:$D$501,MATCH(F167,'04_PRODUCTOS'!$B$2:$B$501,0))="","",I167-(G167*INDEX('04_PRODUCTOS'!$D$2:$D$501,MATCH(F167,'04_PRODUCTOS'!$B$2:$B$501,0)))),"")</f>
        <v/>
      </c>
      <c r="K167" s="7" t="str">
        <f t="shared" si="16"/>
        <v/>
      </c>
      <c r="O167" t="str">
        <f>IF(D167="","",IFERROR(INDEX('03_CLIENTES'!$A$2:$A$501,MATCH(D167,'03_CLIENTES'!$B$2:$B$501,0)),""))</f>
        <v/>
      </c>
      <c r="P167" t="str">
        <f>IF(F167="","",IFERROR(INDEX('04_PRODUCTOS'!$A$2:$A$501,MATCH(F167,'04_PRODUCTOS'!$B$2:$B$501,0)),""))</f>
        <v/>
      </c>
      <c r="Q167" t="str">
        <f t="shared" si="17"/>
        <v/>
      </c>
    </row>
    <row r="168" spans="1:17" x14ac:dyDescent="0.25">
      <c r="A168" t="str">
        <f t="shared" si="12"/>
        <v/>
      </c>
      <c r="B168" s="4" t="str">
        <f t="shared" ca="1" si="13"/>
        <v/>
      </c>
      <c r="C168" s="5" t="str">
        <f t="shared" ca="1" si="14"/>
        <v/>
      </c>
      <c r="G168" s="6"/>
      <c r="H168" s="3" t="str">
        <f>IFERROR(IF(E168="Mayorista",IF(INDEX('04_PRODUCTOS'!$F$2:$F$501,MATCH(F168,'04_PRODUCTOS'!$B$2:$B$501,0))="",INDEX('04_PRODUCTOS'!$E$2:$E$501,MATCH(F168,'04_PRODUCTOS'!$B$2:$B$501,0)),INDEX('04_PRODUCTOS'!$F$2:$F$501,MATCH(F168,'04_PRODUCTOS'!$B$2:$B$501,0))),IF(E168="Especial",IF(INDEX('04_PRODUCTOS'!$G$2:$G$501,MATCH(F168,'04_PRODUCTOS'!$B$2:$B$501,0))="",INDEX('04_PRODUCTOS'!$E$2:$E$501,MATCH(F168,'04_PRODUCTOS'!$B$2:$B$501,0)),INDEX('04_PRODUCTOS'!$G$2:$G$501,MATCH(F168,'04_PRODUCTOS'!$B$2:$B$501,0))),INDEX('04_PRODUCTOS'!$E$2:$E$501,MATCH(F168,'04_PRODUCTOS'!$B$2:$B$501,0)))),"")</f>
        <v/>
      </c>
      <c r="I168" s="3" t="str">
        <f t="shared" si="15"/>
        <v/>
      </c>
      <c r="J168" s="3" t="str">
        <f>IFERROR(IF(INDEX('04_PRODUCTOS'!$D$2:$D$501,MATCH(F168,'04_PRODUCTOS'!$B$2:$B$501,0))="","",I168-(G168*INDEX('04_PRODUCTOS'!$D$2:$D$501,MATCH(F168,'04_PRODUCTOS'!$B$2:$B$501,0)))),"")</f>
        <v/>
      </c>
      <c r="K168" s="7" t="str">
        <f t="shared" si="16"/>
        <v/>
      </c>
      <c r="O168" t="str">
        <f>IF(D168="","",IFERROR(INDEX('03_CLIENTES'!$A$2:$A$501,MATCH(D168,'03_CLIENTES'!$B$2:$B$501,0)),""))</f>
        <v/>
      </c>
      <c r="P168" t="str">
        <f>IF(F168="","",IFERROR(INDEX('04_PRODUCTOS'!$A$2:$A$501,MATCH(F168,'04_PRODUCTOS'!$B$2:$B$501,0)),""))</f>
        <v/>
      </c>
      <c r="Q168" t="str">
        <f t="shared" si="17"/>
        <v/>
      </c>
    </row>
    <row r="169" spans="1:17" x14ac:dyDescent="0.25">
      <c r="A169" t="str">
        <f t="shared" si="12"/>
        <v/>
      </c>
      <c r="B169" s="4" t="str">
        <f t="shared" ca="1" si="13"/>
        <v/>
      </c>
      <c r="C169" s="5" t="str">
        <f t="shared" ca="1" si="14"/>
        <v/>
      </c>
      <c r="G169" s="6"/>
      <c r="H169" s="3" t="str">
        <f>IFERROR(IF(E169="Mayorista",IF(INDEX('04_PRODUCTOS'!$F$2:$F$501,MATCH(F169,'04_PRODUCTOS'!$B$2:$B$501,0))="",INDEX('04_PRODUCTOS'!$E$2:$E$501,MATCH(F169,'04_PRODUCTOS'!$B$2:$B$501,0)),INDEX('04_PRODUCTOS'!$F$2:$F$501,MATCH(F169,'04_PRODUCTOS'!$B$2:$B$501,0))),IF(E169="Especial",IF(INDEX('04_PRODUCTOS'!$G$2:$G$501,MATCH(F169,'04_PRODUCTOS'!$B$2:$B$501,0))="",INDEX('04_PRODUCTOS'!$E$2:$E$501,MATCH(F169,'04_PRODUCTOS'!$B$2:$B$501,0)),INDEX('04_PRODUCTOS'!$G$2:$G$501,MATCH(F169,'04_PRODUCTOS'!$B$2:$B$501,0))),INDEX('04_PRODUCTOS'!$E$2:$E$501,MATCH(F169,'04_PRODUCTOS'!$B$2:$B$501,0)))),"")</f>
        <v/>
      </c>
      <c r="I169" s="3" t="str">
        <f t="shared" si="15"/>
        <v/>
      </c>
      <c r="J169" s="3" t="str">
        <f>IFERROR(IF(INDEX('04_PRODUCTOS'!$D$2:$D$501,MATCH(F169,'04_PRODUCTOS'!$B$2:$B$501,0))="","",I169-(G169*INDEX('04_PRODUCTOS'!$D$2:$D$501,MATCH(F169,'04_PRODUCTOS'!$B$2:$B$501,0)))),"")</f>
        <v/>
      </c>
      <c r="K169" s="7" t="str">
        <f t="shared" si="16"/>
        <v/>
      </c>
      <c r="O169" t="str">
        <f>IF(D169="","",IFERROR(INDEX('03_CLIENTES'!$A$2:$A$501,MATCH(D169,'03_CLIENTES'!$B$2:$B$501,0)),""))</f>
        <v/>
      </c>
      <c r="P169" t="str">
        <f>IF(F169="","",IFERROR(INDEX('04_PRODUCTOS'!$A$2:$A$501,MATCH(F169,'04_PRODUCTOS'!$B$2:$B$501,0)),""))</f>
        <v/>
      </c>
      <c r="Q169" t="str">
        <f t="shared" si="17"/>
        <v/>
      </c>
    </row>
    <row r="170" spans="1:17" x14ac:dyDescent="0.25">
      <c r="A170" t="str">
        <f t="shared" si="12"/>
        <v/>
      </c>
      <c r="B170" s="4" t="str">
        <f t="shared" ca="1" si="13"/>
        <v/>
      </c>
      <c r="C170" s="5" t="str">
        <f t="shared" ca="1" si="14"/>
        <v/>
      </c>
      <c r="G170" s="6"/>
      <c r="H170" s="3" t="str">
        <f>IFERROR(IF(E170="Mayorista",IF(INDEX('04_PRODUCTOS'!$F$2:$F$501,MATCH(F170,'04_PRODUCTOS'!$B$2:$B$501,0))="",INDEX('04_PRODUCTOS'!$E$2:$E$501,MATCH(F170,'04_PRODUCTOS'!$B$2:$B$501,0)),INDEX('04_PRODUCTOS'!$F$2:$F$501,MATCH(F170,'04_PRODUCTOS'!$B$2:$B$501,0))),IF(E170="Especial",IF(INDEX('04_PRODUCTOS'!$G$2:$G$501,MATCH(F170,'04_PRODUCTOS'!$B$2:$B$501,0))="",INDEX('04_PRODUCTOS'!$E$2:$E$501,MATCH(F170,'04_PRODUCTOS'!$B$2:$B$501,0)),INDEX('04_PRODUCTOS'!$G$2:$G$501,MATCH(F170,'04_PRODUCTOS'!$B$2:$B$501,0))),INDEX('04_PRODUCTOS'!$E$2:$E$501,MATCH(F170,'04_PRODUCTOS'!$B$2:$B$501,0)))),"")</f>
        <v/>
      </c>
      <c r="I170" s="3" t="str">
        <f t="shared" si="15"/>
        <v/>
      </c>
      <c r="J170" s="3" t="str">
        <f>IFERROR(IF(INDEX('04_PRODUCTOS'!$D$2:$D$501,MATCH(F170,'04_PRODUCTOS'!$B$2:$B$501,0))="","",I170-(G170*INDEX('04_PRODUCTOS'!$D$2:$D$501,MATCH(F170,'04_PRODUCTOS'!$B$2:$B$501,0)))),"")</f>
        <v/>
      </c>
      <c r="K170" s="7" t="str">
        <f t="shared" si="16"/>
        <v/>
      </c>
      <c r="O170" t="str">
        <f>IF(D170="","",IFERROR(INDEX('03_CLIENTES'!$A$2:$A$501,MATCH(D170,'03_CLIENTES'!$B$2:$B$501,0)),""))</f>
        <v/>
      </c>
      <c r="P170" t="str">
        <f>IF(F170="","",IFERROR(INDEX('04_PRODUCTOS'!$A$2:$A$501,MATCH(F170,'04_PRODUCTOS'!$B$2:$B$501,0)),""))</f>
        <v/>
      </c>
      <c r="Q170" t="str">
        <f t="shared" si="17"/>
        <v/>
      </c>
    </row>
    <row r="171" spans="1:17" x14ac:dyDescent="0.25">
      <c r="A171" t="str">
        <f t="shared" si="12"/>
        <v/>
      </c>
      <c r="B171" s="4" t="str">
        <f t="shared" ca="1" si="13"/>
        <v/>
      </c>
      <c r="C171" s="5" t="str">
        <f t="shared" ca="1" si="14"/>
        <v/>
      </c>
      <c r="G171" s="6"/>
      <c r="H171" s="3" t="str">
        <f>IFERROR(IF(E171="Mayorista",IF(INDEX('04_PRODUCTOS'!$F$2:$F$501,MATCH(F171,'04_PRODUCTOS'!$B$2:$B$501,0))="",INDEX('04_PRODUCTOS'!$E$2:$E$501,MATCH(F171,'04_PRODUCTOS'!$B$2:$B$501,0)),INDEX('04_PRODUCTOS'!$F$2:$F$501,MATCH(F171,'04_PRODUCTOS'!$B$2:$B$501,0))),IF(E171="Especial",IF(INDEX('04_PRODUCTOS'!$G$2:$G$501,MATCH(F171,'04_PRODUCTOS'!$B$2:$B$501,0))="",INDEX('04_PRODUCTOS'!$E$2:$E$501,MATCH(F171,'04_PRODUCTOS'!$B$2:$B$501,0)),INDEX('04_PRODUCTOS'!$G$2:$G$501,MATCH(F171,'04_PRODUCTOS'!$B$2:$B$501,0))),INDEX('04_PRODUCTOS'!$E$2:$E$501,MATCH(F171,'04_PRODUCTOS'!$B$2:$B$501,0)))),"")</f>
        <v/>
      </c>
      <c r="I171" s="3" t="str">
        <f t="shared" si="15"/>
        <v/>
      </c>
      <c r="J171" s="3" t="str">
        <f>IFERROR(IF(INDEX('04_PRODUCTOS'!$D$2:$D$501,MATCH(F171,'04_PRODUCTOS'!$B$2:$B$501,0))="","",I171-(G171*INDEX('04_PRODUCTOS'!$D$2:$D$501,MATCH(F171,'04_PRODUCTOS'!$B$2:$B$501,0)))),"")</f>
        <v/>
      </c>
      <c r="K171" s="7" t="str">
        <f t="shared" si="16"/>
        <v/>
      </c>
      <c r="O171" t="str">
        <f>IF(D171="","",IFERROR(INDEX('03_CLIENTES'!$A$2:$A$501,MATCH(D171,'03_CLIENTES'!$B$2:$B$501,0)),""))</f>
        <v/>
      </c>
      <c r="P171" t="str">
        <f>IF(F171="","",IFERROR(INDEX('04_PRODUCTOS'!$A$2:$A$501,MATCH(F171,'04_PRODUCTOS'!$B$2:$B$501,0)),""))</f>
        <v/>
      </c>
      <c r="Q171" t="str">
        <f t="shared" si="17"/>
        <v/>
      </c>
    </row>
    <row r="172" spans="1:17" x14ac:dyDescent="0.25">
      <c r="A172" t="str">
        <f t="shared" si="12"/>
        <v/>
      </c>
      <c r="B172" s="4" t="str">
        <f t="shared" ca="1" si="13"/>
        <v/>
      </c>
      <c r="C172" s="5" t="str">
        <f t="shared" ca="1" si="14"/>
        <v/>
      </c>
      <c r="G172" s="6"/>
      <c r="H172" s="3" t="str">
        <f>IFERROR(IF(E172="Mayorista",IF(INDEX('04_PRODUCTOS'!$F$2:$F$501,MATCH(F172,'04_PRODUCTOS'!$B$2:$B$501,0))="",INDEX('04_PRODUCTOS'!$E$2:$E$501,MATCH(F172,'04_PRODUCTOS'!$B$2:$B$501,0)),INDEX('04_PRODUCTOS'!$F$2:$F$501,MATCH(F172,'04_PRODUCTOS'!$B$2:$B$501,0))),IF(E172="Especial",IF(INDEX('04_PRODUCTOS'!$G$2:$G$501,MATCH(F172,'04_PRODUCTOS'!$B$2:$B$501,0))="",INDEX('04_PRODUCTOS'!$E$2:$E$501,MATCH(F172,'04_PRODUCTOS'!$B$2:$B$501,0)),INDEX('04_PRODUCTOS'!$G$2:$G$501,MATCH(F172,'04_PRODUCTOS'!$B$2:$B$501,0))),INDEX('04_PRODUCTOS'!$E$2:$E$501,MATCH(F172,'04_PRODUCTOS'!$B$2:$B$501,0)))),"")</f>
        <v/>
      </c>
      <c r="I172" s="3" t="str">
        <f t="shared" si="15"/>
        <v/>
      </c>
      <c r="J172" s="3" t="str">
        <f>IFERROR(IF(INDEX('04_PRODUCTOS'!$D$2:$D$501,MATCH(F172,'04_PRODUCTOS'!$B$2:$B$501,0))="","",I172-(G172*INDEX('04_PRODUCTOS'!$D$2:$D$501,MATCH(F172,'04_PRODUCTOS'!$B$2:$B$501,0)))),"")</f>
        <v/>
      </c>
      <c r="K172" s="7" t="str">
        <f t="shared" si="16"/>
        <v/>
      </c>
      <c r="O172" t="str">
        <f>IF(D172="","",IFERROR(INDEX('03_CLIENTES'!$A$2:$A$501,MATCH(D172,'03_CLIENTES'!$B$2:$B$501,0)),""))</f>
        <v/>
      </c>
      <c r="P172" t="str">
        <f>IF(F172="","",IFERROR(INDEX('04_PRODUCTOS'!$A$2:$A$501,MATCH(F172,'04_PRODUCTOS'!$B$2:$B$501,0)),""))</f>
        <v/>
      </c>
      <c r="Q172" t="str">
        <f t="shared" si="17"/>
        <v/>
      </c>
    </row>
    <row r="173" spans="1:17" x14ac:dyDescent="0.25">
      <c r="A173" t="str">
        <f t="shared" si="12"/>
        <v/>
      </c>
      <c r="B173" s="4" t="str">
        <f t="shared" ca="1" si="13"/>
        <v/>
      </c>
      <c r="C173" s="5" t="str">
        <f t="shared" ca="1" si="14"/>
        <v/>
      </c>
      <c r="G173" s="6"/>
      <c r="H173" s="3" t="str">
        <f>IFERROR(IF(E173="Mayorista",IF(INDEX('04_PRODUCTOS'!$F$2:$F$501,MATCH(F173,'04_PRODUCTOS'!$B$2:$B$501,0))="",INDEX('04_PRODUCTOS'!$E$2:$E$501,MATCH(F173,'04_PRODUCTOS'!$B$2:$B$501,0)),INDEX('04_PRODUCTOS'!$F$2:$F$501,MATCH(F173,'04_PRODUCTOS'!$B$2:$B$501,0))),IF(E173="Especial",IF(INDEX('04_PRODUCTOS'!$G$2:$G$501,MATCH(F173,'04_PRODUCTOS'!$B$2:$B$501,0))="",INDEX('04_PRODUCTOS'!$E$2:$E$501,MATCH(F173,'04_PRODUCTOS'!$B$2:$B$501,0)),INDEX('04_PRODUCTOS'!$G$2:$G$501,MATCH(F173,'04_PRODUCTOS'!$B$2:$B$501,0))),INDEX('04_PRODUCTOS'!$E$2:$E$501,MATCH(F173,'04_PRODUCTOS'!$B$2:$B$501,0)))),"")</f>
        <v/>
      </c>
      <c r="I173" s="3" t="str">
        <f t="shared" si="15"/>
        <v/>
      </c>
      <c r="J173" s="3" t="str">
        <f>IFERROR(IF(INDEX('04_PRODUCTOS'!$D$2:$D$501,MATCH(F173,'04_PRODUCTOS'!$B$2:$B$501,0))="","",I173-(G173*INDEX('04_PRODUCTOS'!$D$2:$D$501,MATCH(F173,'04_PRODUCTOS'!$B$2:$B$501,0)))),"")</f>
        <v/>
      </c>
      <c r="K173" s="7" t="str">
        <f t="shared" si="16"/>
        <v/>
      </c>
      <c r="O173" t="str">
        <f>IF(D173="","",IFERROR(INDEX('03_CLIENTES'!$A$2:$A$501,MATCH(D173,'03_CLIENTES'!$B$2:$B$501,0)),""))</f>
        <v/>
      </c>
      <c r="P173" t="str">
        <f>IF(F173="","",IFERROR(INDEX('04_PRODUCTOS'!$A$2:$A$501,MATCH(F173,'04_PRODUCTOS'!$B$2:$B$501,0)),""))</f>
        <v/>
      </c>
      <c r="Q173" t="str">
        <f t="shared" si="17"/>
        <v/>
      </c>
    </row>
    <row r="174" spans="1:17" x14ac:dyDescent="0.25">
      <c r="A174" t="str">
        <f t="shared" si="12"/>
        <v/>
      </c>
      <c r="B174" s="4" t="str">
        <f t="shared" ca="1" si="13"/>
        <v/>
      </c>
      <c r="C174" s="5" t="str">
        <f t="shared" ca="1" si="14"/>
        <v/>
      </c>
      <c r="G174" s="6"/>
      <c r="H174" s="3" t="str">
        <f>IFERROR(IF(E174="Mayorista",IF(INDEX('04_PRODUCTOS'!$F$2:$F$501,MATCH(F174,'04_PRODUCTOS'!$B$2:$B$501,0))="",INDEX('04_PRODUCTOS'!$E$2:$E$501,MATCH(F174,'04_PRODUCTOS'!$B$2:$B$501,0)),INDEX('04_PRODUCTOS'!$F$2:$F$501,MATCH(F174,'04_PRODUCTOS'!$B$2:$B$501,0))),IF(E174="Especial",IF(INDEX('04_PRODUCTOS'!$G$2:$G$501,MATCH(F174,'04_PRODUCTOS'!$B$2:$B$501,0))="",INDEX('04_PRODUCTOS'!$E$2:$E$501,MATCH(F174,'04_PRODUCTOS'!$B$2:$B$501,0)),INDEX('04_PRODUCTOS'!$G$2:$G$501,MATCH(F174,'04_PRODUCTOS'!$B$2:$B$501,0))),INDEX('04_PRODUCTOS'!$E$2:$E$501,MATCH(F174,'04_PRODUCTOS'!$B$2:$B$501,0)))),"")</f>
        <v/>
      </c>
      <c r="I174" s="3" t="str">
        <f t="shared" si="15"/>
        <v/>
      </c>
      <c r="J174" s="3" t="str">
        <f>IFERROR(IF(INDEX('04_PRODUCTOS'!$D$2:$D$501,MATCH(F174,'04_PRODUCTOS'!$B$2:$B$501,0))="","",I174-(G174*INDEX('04_PRODUCTOS'!$D$2:$D$501,MATCH(F174,'04_PRODUCTOS'!$B$2:$B$501,0)))),"")</f>
        <v/>
      </c>
      <c r="K174" s="7" t="str">
        <f t="shared" si="16"/>
        <v/>
      </c>
      <c r="O174" t="str">
        <f>IF(D174="","",IFERROR(INDEX('03_CLIENTES'!$A$2:$A$501,MATCH(D174,'03_CLIENTES'!$B$2:$B$501,0)),""))</f>
        <v/>
      </c>
      <c r="P174" t="str">
        <f>IF(F174="","",IFERROR(INDEX('04_PRODUCTOS'!$A$2:$A$501,MATCH(F174,'04_PRODUCTOS'!$B$2:$B$501,0)),""))</f>
        <v/>
      </c>
      <c r="Q174" t="str">
        <f t="shared" si="17"/>
        <v/>
      </c>
    </row>
    <row r="175" spans="1:17" x14ac:dyDescent="0.25">
      <c r="A175" t="str">
        <f t="shared" si="12"/>
        <v/>
      </c>
      <c r="B175" s="4" t="str">
        <f t="shared" ca="1" si="13"/>
        <v/>
      </c>
      <c r="C175" s="5" t="str">
        <f t="shared" ca="1" si="14"/>
        <v/>
      </c>
      <c r="G175" s="6"/>
      <c r="H175" s="3" t="str">
        <f>IFERROR(IF(E175="Mayorista",IF(INDEX('04_PRODUCTOS'!$F$2:$F$501,MATCH(F175,'04_PRODUCTOS'!$B$2:$B$501,0))="",INDEX('04_PRODUCTOS'!$E$2:$E$501,MATCH(F175,'04_PRODUCTOS'!$B$2:$B$501,0)),INDEX('04_PRODUCTOS'!$F$2:$F$501,MATCH(F175,'04_PRODUCTOS'!$B$2:$B$501,0))),IF(E175="Especial",IF(INDEX('04_PRODUCTOS'!$G$2:$G$501,MATCH(F175,'04_PRODUCTOS'!$B$2:$B$501,0))="",INDEX('04_PRODUCTOS'!$E$2:$E$501,MATCH(F175,'04_PRODUCTOS'!$B$2:$B$501,0)),INDEX('04_PRODUCTOS'!$G$2:$G$501,MATCH(F175,'04_PRODUCTOS'!$B$2:$B$501,0))),INDEX('04_PRODUCTOS'!$E$2:$E$501,MATCH(F175,'04_PRODUCTOS'!$B$2:$B$501,0)))),"")</f>
        <v/>
      </c>
      <c r="I175" s="3" t="str">
        <f t="shared" si="15"/>
        <v/>
      </c>
      <c r="J175" s="3" t="str">
        <f>IFERROR(IF(INDEX('04_PRODUCTOS'!$D$2:$D$501,MATCH(F175,'04_PRODUCTOS'!$B$2:$B$501,0))="","",I175-(G175*INDEX('04_PRODUCTOS'!$D$2:$D$501,MATCH(F175,'04_PRODUCTOS'!$B$2:$B$501,0)))),"")</f>
        <v/>
      </c>
      <c r="K175" s="7" t="str">
        <f t="shared" si="16"/>
        <v/>
      </c>
      <c r="O175" t="str">
        <f>IF(D175="","",IFERROR(INDEX('03_CLIENTES'!$A$2:$A$501,MATCH(D175,'03_CLIENTES'!$B$2:$B$501,0)),""))</f>
        <v/>
      </c>
      <c r="P175" t="str">
        <f>IF(F175="","",IFERROR(INDEX('04_PRODUCTOS'!$A$2:$A$501,MATCH(F175,'04_PRODUCTOS'!$B$2:$B$501,0)),""))</f>
        <v/>
      </c>
      <c r="Q175" t="str">
        <f t="shared" si="17"/>
        <v/>
      </c>
    </row>
    <row r="176" spans="1:17" x14ac:dyDescent="0.25">
      <c r="A176" t="str">
        <f t="shared" si="12"/>
        <v/>
      </c>
      <c r="B176" s="4" t="str">
        <f t="shared" ca="1" si="13"/>
        <v/>
      </c>
      <c r="C176" s="5" t="str">
        <f t="shared" ca="1" si="14"/>
        <v/>
      </c>
      <c r="G176" s="6"/>
      <c r="H176" s="3" t="str">
        <f>IFERROR(IF(E176="Mayorista",IF(INDEX('04_PRODUCTOS'!$F$2:$F$501,MATCH(F176,'04_PRODUCTOS'!$B$2:$B$501,0))="",INDEX('04_PRODUCTOS'!$E$2:$E$501,MATCH(F176,'04_PRODUCTOS'!$B$2:$B$501,0)),INDEX('04_PRODUCTOS'!$F$2:$F$501,MATCH(F176,'04_PRODUCTOS'!$B$2:$B$501,0))),IF(E176="Especial",IF(INDEX('04_PRODUCTOS'!$G$2:$G$501,MATCH(F176,'04_PRODUCTOS'!$B$2:$B$501,0))="",INDEX('04_PRODUCTOS'!$E$2:$E$501,MATCH(F176,'04_PRODUCTOS'!$B$2:$B$501,0)),INDEX('04_PRODUCTOS'!$G$2:$G$501,MATCH(F176,'04_PRODUCTOS'!$B$2:$B$501,0))),INDEX('04_PRODUCTOS'!$E$2:$E$501,MATCH(F176,'04_PRODUCTOS'!$B$2:$B$501,0)))),"")</f>
        <v/>
      </c>
      <c r="I176" s="3" t="str">
        <f t="shared" si="15"/>
        <v/>
      </c>
      <c r="J176" s="3" t="str">
        <f>IFERROR(IF(INDEX('04_PRODUCTOS'!$D$2:$D$501,MATCH(F176,'04_PRODUCTOS'!$B$2:$B$501,0))="","",I176-(G176*INDEX('04_PRODUCTOS'!$D$2:$D$501,MATCH(F176,'04_PRODUCTOS'!$B$2:$B$501,0)))),"")</f>
        <v/>
      </c>
      <c r="K176" s="7" t="str">
        <f t="shared" si="16"/>
        <v/>
      </c>
      <c r="O176" t="str">
        <f>IF(D176="","",IFERROR(INDEX('03_CLIENTES'!$A$2:$A$501,MATCH(D176,'03_CLIENTES'!$B$2:$B$501,0)),""))</f>
        <v/>
      </c>
      <c r="P176" t="str">
        <f>IF(F176="","",IFERROR(INDEX('04_PRODUCTOS'!$A$2:$A$501,MATCH(F176,'04_PRODUCTOS'!$B$2:$B$501,0)),""))</f>
        <v/>
      </c>
      <c r="Q176" t="str">
        <f t="shared" si="17"/>
        <v/>
      </c>
    </row>
    <row r="177" spans="1:17" x14ac:dyDescent="0.25">
      <c r="A177" t="str">
        <f t="shared" si="12"/>
        <v/>
      </c>
      <c r="B177" s="4" t="str">
        <f t="shared" ca="1" si="13"/>
        <v/>
      </c>
      <c r="C177" s="5" t="str">
        <f t="shared" ca="1" si="14"/>
        <v/>
      </c>
      <c r="G177" s="6"/>
      <c r="H177" s="3" t="str">
        <f>IFERROR(IF(E177="Mayorista",IF(INDEX('04_PRODUCTOS'!$F$2:$F$501,MATCH(F177,'04_PRODUCTOS'!$B$2:$B$501,0))="",INDEX('04_PRODUCTOS'!$E$2:$E$501,MATCH(F177,'04_PRODUCTOS'!$B$2:$B$501,0)),INDEX('04_PRODUCTOS'!$F$2:$F$501,MATCH(F177,'04_PRODUCTOS'!$B$2:$B$501,0))),IF(E177="Especial",IF(INDEX('04_PRODUCTOS'!$G$2:$G$501,MATCH(F177,'04_PRODUCTOS'!$B$2:$B$501,0))="",INDEX('04_PRODUCTOS'!$E$2:$E$501,MATCH(F177,'04_PRODUCTOS'!$B$2:$B$501,0)),INDEX('04_PRODUCTOS'!$G$2:$G$501,MATCH(F177,'04_PRODUCTOS'!$B$2:$B$501,0))),INDEX('04_PRODUCTOS'!$E$2:$E$501,MATCH(F177,'04_PRODUCTOS'!$B$2:$B$501,0)))),"")</f>
        <v/>
      </c>
      <c r="I177" s="3" t="str">
        <f t="shared" si="15"/>
        <v/>
      </c>
      <c r="J177" s="3" t="str">
        <f>IFERROR(IF(INDEX('04_PRODUCTOS'!$D$2:$D$501,MATCH(F177,'04_PRODUCTOS'!$B$2:$B$501,0))="","",I177-(G177*INDEX('04_PRODUCTOS'!$D$2:$D$501,MATCH(F177,'04_PRODUCTOS'!$B$2:$B$501,0)))),"")</f>
        <v/>
      </c>
      <c r="K177" s="7" t="str">
        <f t="shared" si="16"/>
        <v/>
      </c>
      <c r="O177" t="str">
        <f>IF(D177="","",IFERROR(INDEX('03_CLIENTES'!$A$2:$A$501,MATCH(D177,'03_CLIENTES'!$B$2:$B$501,0)),""))</f>
        <v/>
      </c>
      <c r="P177" t="str">
        <f>IF(F177="","",IFERROR(INDEX('04_PRODUCTOS'!$A$2:$A$501,MATCH(F177,'04_PRODUCTOS'!$B$2:$B$501,0)),""))</f>
        <v/>
      </c>
      <c r="Q177" t="str">
        <f t="shared" si="17"/>
        <v/>
      </c>
    </row>
    <row r="178" spans="1:17" x14ac:dyDescent="0.25">
      <c r="A178" t="str">
        <f t="shared" si="12"/>
        <v/>
      </c>
      <c r="B178" s="4" t="str">
        <f t="shared" ca="1" si="13"/>
        <v/>
      </c>
      <c r="C178" s="5" t="str">
        <f t="shared" ca="1" si="14"/>
        <v/>
      </c>
      <c r="G178" s="6"/>
      <c r="H178" s="3" t="str">
        <f>IFERROR(IF(E178="Mayorista",IF(INDEX('04_PRODUCTOS'!$F$2:$F$501,MATCH(F178,'04_PRODUCTOS'!$B$2:$B$501,0))="",INDEX('04_PRODUCTOS'!$E$2:$E$501,MATCH(F178,'04_PRODUCTOS'!$B$2:$B$501,0)),INDEX('04_PRODUCTOS'!$F$2:$F$501,MATCH(F178,'04_PRODUCTOS'!$B$2:$B$501,0))),IF(E178="Especial",IF(INDEX('04_PRODUCTOS'!$G$2:$G$501,MATCH(F178,'04_PRODUCTOS'!$B$2:$B$501,0))="",INDEX('04_PRODUCTOS'!$E$2:$E$501,MATCH(F178,'04_PRODUCTOS'!$B$2:$B$501,0)),INDEX('04_PRODUCTOS'!$G$2:$G$501,MATCH(F178,'04_PRODUCTOS'!$B$2:$B$501,0))),INDEX('04_PRODUCTOS'!$E$2:$E$501,MATCH(F178,'04_PRODUCTOS'!$B$2:$B$501,0)))),"")</f>
        <v/>
      </c>
      <c r="I178" s="3" t="str">
        <f t="shared" si="15"/>
        <v/>
      </c>
      <c r="J178" s="3" t="str">
        <f>IFERROR(IF(INDEX('04_PRODUCTOS'!$D$2:$D$501,MATCH(F178,'04_PRODUCTOS'!$B$2:$B$501,0))="","",I178-(G178*INDEX('04_PRODUCTOS'!$D$2:$D$501,MATCH(F178,'04_PRODUCTOS'!$B$2:$B$501,0)))),"")</f>
        <v/>
      </c>
      <c r="K178" s="7" t="str">
        <f t="shared" si="16"/>
        <v/>
      </c>
      <c r="O178" t="str">
        <f>IF(D178="","",IFERROR(INDEX('03_CLIENTES'!$A$2:$A$501,MATCH(D178,'03_CLIENTES'!$B$2:$B$501,0)),""))</f>
        <v/>
      </c>
      <c r="P178" t="str">
        <f>IF(F178="","",IFERROR(INDEX('04_PRODUCTOS'!$A$2:$A$501,MATCH(F178,'04_PRODUCTOS'!$B$2:$B$501,0)),""))</f>
        <v/>
      </c>
      <c r="Q178" t="str">
        <f t="shared" si="17"/>
        <v/>
      </c>
    </row>
    <row r="179" spans="1:17" x14ac:dyDescent="0.25">
      <c r="A179" t="str">
        <f t="shared" si="12"/>
        <v/>
      </c>
      <c r="B179" s="4" t="str">
        <f t="shared" ca="1" si="13"/>
        <v/>
      </c>
      <c r="C179" s="5" t="str">
        <f t="shared" ca="1" si="14"/>
        <v/>
      </c>
      <c r="G179" s="6"/>
      <c r="H179" s="3" t="str">
        <f>IFERROR(IF(E179="Mayorista",IF(INDEX('04_PRODUCTOS'!$F$2:$F$501,MATCH(F179,'04_PRODUCTOS'!$B$2:$B$501,0))="",INDEX('04_PRODUCTOS'!$E$2:$E$501,MATCH(F179,'04_PRODUCTOS'!$B$2:$B$501,0)),INDEX('04_PRODUCTOS'!$F$2:$F$501,MATCH(F179,'04_PRODUCTOS'!$B$2:$B$501,0))),IF(E179="Especial",IF(INDEX('04_PRODUCTOS'!$G$2:$G$501,MATCH(F179,'04_PRODUCTOS'!$B$2:$B$501,0))="",INDEX('04_PRODUCTOS'!$E$2:$E$501,MATCH(F179,'04_PRODUCTOS'!$B$2:$B$501,0)),INDEX('04_PRODUCTOS'!$G$2:$G$501,MATCH(F179,'04_PRODUCTOS'!$B$2:$B$501,0))),INDEX('04_PRODUCTOS'!$E$2:$E$501,MATCH(F179,'04_PRODUCTOS'!$B$2:$B$501,0)))),"")</f>
        <v/>
      </c>
      <c r="I179" s="3" t="str">
        <f t="shared" si="15"/>
        <v/>
      </c>
      <c r="J179" s="3" t="str">
        <f>IFERROR(IF(INDEX('04_PRODUCTOS'!$D$2:$D$501,MATCH(F179,'04_PRODUCTOS'!$B$2:$B$501,0))="","",I179-(G179*INDEX('04_PRODUCTOS'!$D$2:$D$501,MATCH(F179,'04_PRODUCTOS'!$B$2:$B$501,0)))),"")</f>
        <v/>
      </c>
      <c r="K179" s="7" t="str">
        <f t="shared" si="16"/>
        <v/>
      </c>
      <c r="O179" t="str">
        <f>IF(D179="","",IFERROR(INDEX('03_CLIENTES'!$A$2:$A$501,MATCH(D179,'03_CLIENTES'!$B$2:$B$501,0)),""))</f>
        <v/>
      </c>
      <c r="P179" t="str">
        <f>IF(F179="","",IFERROR(INDEX('04_PRODUCTOS'!$A$2:$A$501,MATCH(F179,'04_PRODUCTOS'!$B$2:$B$501,0)),""))</f>
        <v/>
      </c>
      <c r="Q179" t="str">
        <f t="shared" si="17"/>
        <v/>
      </c>
    </row>
    <row r="180" spans="1:17" x14ac:dyDescent="0.25">
      <c r="A180" t="str">
        <f t="shared" si="12"/>
        <v/>
      </c>
      <c r="B180" s="4" t="str">
        <f t="shared" ca="1" si="13"/>
        <v/>
      </c>
      <c r="C180" s="5" t="str">
        <f t="shared" ca="1" si="14"/>
        <v/>
      </c>
      <c r="G180" s="6"/>
      <c r="H180" s="3" t="str">
        <f>IFERROR(IF(E180="Mayorista",IF(INDEX('04_PRODUCTOS'!$F$2:$F$501,MATCH(F180,'04_PRODUCTOS'!$B$2:$B$501,0))="",INDEX('04_PRODUCTOS'!$E$2:$E$501,MATCH(F180,'04_PRODUCTOS'!$B$2:$B$501,0)),INDEX('04_PRODUCTOS'!$F$2:$F$501,MATCH(F180,'04_PRODUCTOS'!$B$2:$B$501,0))),IF(E180="Especial",IF(INDEX('04_PRODUCTOS'!$G$2:$G$501,MATCH(F180,'04_PRODUCTOS'!$B$2:$B$501,0))="",INDEX('04_PRODUCTOS'!$E$2:$E$501,MATCH(F180,'04_PRODUCTOS'!$B$2:$B$501,0)),INDEX('04_PRODUCTOS'!$G$2:$G$501,MATCH(F180,'04_PRODUCTOS'!$B$2:$B$501,0))),INDEX('04_PRODUCTOS'!$E$2:$E$501,MATCH(F180,'04_PRODUCTOS'!$B$2:$B$501,0)))),"")</f>
        <v/>
      </c>
      <c r="I180" s="3" t="str">
        <f t="shared" si="15"/>
        <v/>
      </c>
      <c r="J180" s="3" t="str">
        <f>IFERROR(IF(INDEX('04_PRODUCTOS'!$D$2:$D$501,MATCH(F180,'04_PRODUCTOS'!$B$2:$B$501,0))="","",I180-(G180*INDEX('04_PRODUCTOS'!$D$2:$D$501,MATCH(F180,'04_PRODUCTOS'!$B$2:$B$501,0)))),"")</f>
        <v/>
      </c>
      <c r="K180" s="7" t="str">
        <f t="shared" si="16"/>
        <v/>
      </c>
      <c r="O180" t="str">
        <f>IF(D180="","",IFERROR(INDEX('03_CLIENTES'!$A$2:$A$501,MATCH(D180,'03_CLIENTES'!$B$2:$B$501,0)),""))</f>
        <v/>
      </c>
      <c r="P180" t="str">
        <f>IF(F180="","",IFERROR(INDEX('04_PRODUCTOS'!$A$2:$A$501,MATCH(F180,'04_PRODUCTOS'!$B$2:$B$501,0)),""))</f>
        <v/>
      </c>
      <c r="Q180" t="str">
        <f t="shared" si="17"/>
        <v/>
      </c>
    </row>
    <row r="181" spans="1:17" x14ac:dyDescent="0.25">
      <c r="A181" t="str">
        <f t="shared" si="12"/>
        <v/>
      </c>
      <c r="B181" s="4" t="str">
        <f t="shared" ca="1" si="13"/>
        <v/>
      </c>
      <c r="C181" s="5" t="str">
        <f t="shared" ca="1" si="14"/>
        <v/>
      </c>
      <c r="G181" s="6"/>
      <c r="H181" s="3" t="str">
        <f>IFERROR(IF(E181="Mayorista",IF(INDEX('04_PRODUCTOS'!$F$2:$F$501,MATCH(F181,'04_PRODUCTOS'!$B$2:$B$501,0))="",INDEX('04_PRODUCTOS'!$E$2:$E$501,MATCH(F181,'04_PRODUCTOS'!$B$2:$B$501,0)),INDEX('04_PRODUCTOS'!$F$2:$F$501,MATCH(F181,'04_PRODUCTOS'!$B$2:$B$501,0))),IF(E181="Especial",IF(INDEX('04_PRODUCTOS'!$G$2:$G$501,MATCH(F181,'04_PRODUCTOS'!$B$2:$B$501,0))="",INDEX('04_PRODUCTOS'!$E$2:$E$501,MATCH(F181,'04_PRODUCTOS'!$B$2:$B$501,0)),INDEX('04_PRODUCTOS'!$G$2:$G$501,MATCH(F181,'04_PRODUCTOS'!$B$2:$B$501,0))),INDEX('04_PRODUCTOS'!$E$2:$E$501,MATCH(F181,'04_PRODUCTOS'!$B$2:$B$501,0)))),"")</f>
        <v/>
      </c>
      <c r="I181" s="3" t="str">
        <f t="shared" si="15"/>
        <v/>
      </c>
      <c r="J181" s="3" t="str">
        <f>IFERROR(IF(INDEX('04_PRODUCTOS'!$D$2:$D$501,MATCH(F181,'04_PRODUCTOS'!$B$2:$B$501,0))="","",I181-(G181*INDEX('04_PRODUCTOS'!$D$2:$D$501,MATCH(F181,'04_PRODUCTOS'!$B$2:$B$501,0)))),"")</f>
        <v/>
      </c>
      <c r="K181" s="7" t="str">
        <f t="shared" si="16"/>
        <v/>
      </c>
      <c r="O181" t="str">
        <f>IF(D181="","",IFERROR(INDEX('03_CLIENTES'!$A$2:$A$501,MATCH(D181,'03_CLIENTES'!$B$2:$B$501,0)),""))</f>
        <v/>
      </c>
      <c r="P181" t="str">
        <f>IF(F181="","",IFERROR(INDEX('04_PRODUCTOS'!$A$2:$A$501,MATCH(F181,'04_PRODUCTOS'!$B$2:$B$501,0)),""))</f>
        <v/>
      </c>
      <c r="Q181" t="str">
        <f t="shared" si="17"/>
        <v/>
      </c>
    </row>
    <row r="182" spans="1:17" x14ac:dyDescent="0.25">
      <c r="A182" t="str">
        <f t="shared" si="12"/>
        <v/>
      </c>
      <c r="B182" s="4" t="str">
        <f t="shared" ca="1" si="13"/>
        <v/>
      </c>
      <c r="C182" s="5" t="str">
        <f t="shared" ca="1" si="14"/>
        <v/>
      </c>
      <c r="G182" s="6"/>
      <c r="H182" s="3" t="str">
        <f>IFERROR(IF(E182="Mayorista",IF(INDEX('04_PRODUCTOS'!$F$2:$F$501,MATCH(F182,'04_PRODUCTOS'!$B$2:$B$501,0))="",INDEX('04_PRODUCTOS'!$E$2:$E$501,MATCH(F182,'04_PRODUCTOS'!$B$2:$B$501,0)),INDEX('04_PRODUCTOS'!$F$2:$F$501,MATCH(F182,'04_PRODUCTOS'!$B$2:$B$501,0))),IF(E182="Especial",IF(INDEX('04_PRODUCTOS'!$G$2:$G$501,MATCH(F182,'04_PRODUCTOS'!$B$2:$B$501,0))="",INDEX('04_PRODUCTOS'!$E$2:$E$501,MATCH(F182,'04_PRODUCTOS'!$B$2:$B$501,0)),INDEX('04_PRODUCTOS'!$G$2:$G$501,MATCH(F182,'04_PRODUCTOS'!$B$2:$B$501,0))),INDEX('04_PRODUCTOS'!$E$2:$E$501,MATCH(F182,'04_PRODUCTOS'!$B$2:$B$501,0)))),"")</f>
        <v/>
      </c>
      <c r="I182" s="3" t="str">
        <f t="shared" si="15"/>
        <v/>
      </c>
      <c r="J182" s="3" t="str">
        <f>IFERROR(IF(INDEX('04_PRODUCTOS'!$D$2:$D$501,MATCH(F182,'04_PRODUCTOS'!$B$2:$B$501,0))="","",I182-(G182*INDEX('04_PRODUCTOS'!$D$2:$D$501,MATCH(F182,'04_PRODUCTOS'!$B$2:$B$501,0)))),"")</f>
        <v/>
      </c>
      <c r="K182" s="7" t="str">
        <f t="shared" si="16"/>
        <v/>
      </c>
      <c r="O182" t="str">
        <f>IF(D182="","",IFERROR(INDEX('03_CLIENTES'!$A$2:$A$501,MATCH(D182,'03_CLIENTES'!$B$2:$B$501,0)),""))</f>
        <v/>
      </c>
      <c r="P182" t="str">
        <f>IF(F182="","",IFERROR(INDEX('04_PRODUCTOS'!$A$2:$A$501,MATCH(F182,'04_PRODUCTOS'!$B$2:$B$501,0)),""))</f>
        <v/>
      </c>
      <c r="Q182" t="str">
        <f t="shared" si="17"/>
        <v/>
      </c>
    </row>
    <row r="183" spans="1:17" x14ac:dyDescent="0.25">
      <c r="A183" t="str">
        <f t="shared" si="12"/>
        <v/>
      </c>
      <c r="B183" s="4" t="str">
        <f t="shared" ca="1" si="13"/>
        <v/>
      </c>
      <c r="C183" s="5" t="str">
        <f t="shared" ca="1" si="14"/>
        <v/>
      </c>
      <c r="G183" s="6"/>
      <c r="H183" s="3" t="str">
        <f>IFERROR(IF(E183="Mayorista",IF(INDEX('04_PRODUCTOS'!$F$2:$F$501,MATCH(F183,'04_PRODUCTOS'!$B$2:$B$501,0))="",INDEX('04_PRODUCTOS'!$E$2:$E$501,MATCH(F183,'04_PRODUCTOS'!$B$2:$B$501,0)),INDEX('04_PRODUCTOS'!$F$2:$F$501,MATCH(F183,'04_PRODUCTOS'!$B$2:$B$501,0))),IF(E183="Especial",IF(INDEX('04_PRODUCTOS'!$G$2:$G$501,MATCH(F183,'04_PRODUCTOS'!$B$2:$B$501,0))="",INDEX('04_PRODUCTOS'!$E$2:$E$501,MATCH(F183,'04_PRODUCTOS'!$B$2:$B$501,0)),INDEX('04_PRODUCTOS'!$G$2:$G$501,MATCH(F183,'04_PRODUCTOS'!$B$2:$B$501,0))),INDEX('04_PRODUCTOS'!$E$2:$E$501,MATCH(F183,'04_PRODUCTOS'!$B$2:$B$501,0)))),"")</f>
        <v/>
      </c>
      <c r="I183" s="3" t="str">
        <f t="shared" si="15"/>
        <v/>
      </c>
      <c r="J183" s="3" t="str">
        <f>IFERROR(IF(INDEX('04_PRODUCTOS'!$D$2:$D$501,MATCH(F183,'04_PRODUCTOS'!$B$2:$B$501,0))="","",I183-(G183*INDEX('04_PRODUCTOS'!$D$2:$D$501,MATCH(F183,'04_PRODUCTOS'!$B$2:$B$501,0)))),"")</f>
        <v/>
      </c>
      <c r="K183" s="7" t="str">
        <f t="shared" si="16"/>
        <v/>
      </c>
      <c r="O183" t="str">
        <f>IF(D183="","",IFERROR(INDEX('03_CLIENTES'!$A$2:$A$501,MATCH(D183,'03_CLIENTES'!$B$2:$B$501,0)),""))</f>
        <v/>
      </c>
      <c r="P183" t="str">
        <f>IF(F183="","",IFERROR(INDEX('04_PRODUCTOS'!$A$2:$A$501,MATCH(F183,'04_PRODUCTOS'!$B$2:$B$501,0)),""))</f>
        <v/>
      </c>
      <c r="Q183" t="str">
        <f t="shared" si="17"/>
        <v/>
      </c>
    </row>
    <row r="184" spans="1:17" x14ac:dyDescent="0.25">
      <c r="A184" t="str">
        <f t="shared" si="12"/>
        <v/>
      </c>
      <c r="B184" s="4" t="str">
        <f t="shared" ca="1" si="13"/>
        <v/>
      </c>
      <c r="C184" s="5" t="str">
        <f t="shared" ca="1" si="14"/>
        <v/>
      </c>
      <c r="G184" s="6"/>
      <c r="H184" s="3" t="str">
        <f>IFERROR(IF(E184="Mayorista",IF(INDEX('04_PRODUCTOS'!$F$2:$F$501,MATCH(F184,'04_PRODUCTOS'!$B$2:$B$501,0))="",INDEX('04_PRODUCTOS'!$E$2:$E$501,MATCH(F184,'04_PRODUCTOS'!$B$2:$B$501,0)),INDEX('04_PRODUCTOS'!$F$2:$F$501,MATCH(F184,'04_PRODUCTOS'!$B$2:$B$501,0))),IF(E184="Especial",IF(INDEX('04_PRODUCTOS'!$G$2:$G$501,MATCH(F184,'04_PRODUCTOS'!$B$2:$B$501,0))="",INDEX('04_PRODUCTOS'!$E$2:$E$501,MATCH(F184,'04_PRODUCTOS'!$B$2:$B$501,0)),INDEX('04_PRODUCTOS'!$G$2:$G$501,MATCH(F184,'04_PRODUCTOS'!$B$2:$B$501,0))),INDEX('04_PRODUCTOS'!$E$2:$E$501,MATCH(F184,'04_PRODUCTOS'!$B$2:$B$501,0)))),"")</f>
        <v/>
      </c>
      <c r="I184" s="3" t="str">
        <f t="shared" si="15"/>
        <v/>
      </c>
      <c r="J184" s="3" t="str">
        <f>IFERROR(IF(INDEX('04_PRODUCTOS'!$D$2:$D$501,MATCH(F184,'04_PRODUCTOS'!$B$2:$B$501,0))="","",I184-(G184*INDEX('04_PRODUCTOS'!$D$2:$D$501,MATCH(F184,'04_PRODUCTOS'!$B$2:$B$501,0)))),"")</f>
        <v/>
      </c>
      <c r="K184" s="7" t="str">
        <f t="shared" si="16"/>
        <v/>
      </c>
      <c r="O184" t="str">
        <f>IF(D184="","",IFERROR(INDEX('03_CLIENTES'!$A$2:$A$501,MATCH(D184,'03_CLIENTES'!$B$2:$B$501,0)),""))</f>
        <v/>
      </c>
      <c r="P184" t="str">
        <f>IF(F184="","",IFERROR(INDEX('04_PRODUCTOS'!$A$2:$A$501,MATCH(F184,'04_PRODUCTOS'!$B$2:$B$501,0)),""))</f>
        <v/>
      </c>
      <c r="Q184" t="str">
        <f t="shared" si="17"/>
        <v/>
      </c>
    </row>
    <row r="185" spans="1:17" x14ac:dyDescent="0.25">
      <c r="A185" t="str">
        <f t="shared" si="12"/>
        <v/>
      </c>
      <c r="B185" s="4" t="str">
        <f t="shared" ca="1" si="13"/>
        <v/>
      </c>
      <c r="C185" s="5" t="str">
        <f t="shared" ca="1" si="14"/>
        <v/>
      </c>
      <c r="G185" s="6"/>
      <c r="H185" s="3" t="str">
        <f>IFERROR(IF(E185="Mayorista",IF(INDEX('04_PRODUCTOS'!$F$2:$F$501,MATCH(F185,'04_PRODUCTOS'!$B$2:$B$501,0))="",INDEX('04_PRODUCTOS'!$E$2:$E$501,MATCH(F185,'04_PRODUCTOS'!$B$2:$B$501,0)),INDEX('04_PRODUCTOS'!$F$2:$F$501,MATCH(F185,'04_PRODUCTOS'!$B$2:$B$501,0))),IF(E185="Especial",IF(INDEX('04_PRODUCTOS'!$G$2:$G$501,MATCH(F185,'04_PRODUCTOS'!$B$2:$B$501,0))="",INDEX('04_PRODUCTOS'!$E$2:$E$501,MATCH(F185,'04_PRODUCTOS'!$B$2:$B$501,0)),INDEX('04_PRODUCTOS'!$G$2:$G$501,MATCH(F185,'04_PRODUCTOS'!$B$2:$B$501,0))),INDEX('04_PRODUCTOS'!$E$2:$E$501,MATCH(F185,'04_PRODUCTOS'!$B$2:$B$501,0)))),"")</f>
        <v/>
      </c>
      <c r="I185" s="3" t="str">
        <f t="shared" si="15"/>
        <v/>
      </c>
      <c r="J185" s="3" t="str">
        <f>IFERROR(IF(INDEX('04_PRODUCTOS'!$D$2:$D$501,MATCH(F185,'04_PRODUCTOS'!$B$2:$B$501,0))="","",I185-(G185*INDEX('04_PRODUCTOS'!$D$2:$D$501,MATCH(F185,'04_PRODUCTOS'!$B$2:$B$501,0)))),"")</f>
        <v/>
      </c>
      <c r="K185" s="7" t="str">
        <f t="shared" si="16"/>
        <v/>
      </c>
      <c r="O185" t="str">
        <f>IF(D185="","",IFERROR(INDEX('03_CLIENTES'!$A$2:$A$501,MATCH(D185,'03_CLIENTES'!$B$2:$B$501,0)),""))</f>
        <v/>
      </c>
      <c r="P185" t="str">
        <f>IF(F185="","",IFERROR(INDEX('04_PRODUCTOS'!$A$2:$A$501,MATCH(F185,'04_PRODUCTOS'!$B$2:$B$501,0)),""))</f>
        <v/>
      </c>
      <c r="Q185" t="str">
        <f t="shared" si="17"/>
        <v/>
      </c>
    </row>
    <row r="186" spans="1:17" x14ac:dyDescent="0.25">
      <c r="A186" t="str">
        <f t="shared" si="12"/>
        <v/>
      </c>
      <c r="B186" s="4" t="str">
        <f t="shared" ca="1" si="13"/>
        <v/>
      </c>
      <c r="C186" s="5" t="str">
        <f t="shared" ca="1" si="14"/>
        <v/>
      </c>
      <c r="G186" s="6"/>
      <c r="H186" s="3" t="str">
        <f>IFERROR(IF(E186="Mayorista",IF(INDEX('04_PRODUCTOS'!$F$2:$F$501,MATCH(F186,'04_PRODUCTOS'!$B$2:$B$501,0))="",INDEX('04_PRODUCTOS'!$E$2:$E$501,MATCH(F186,'04_PRODUCTOS'!$B$2:$B$501,0)),INDEX('04_PRODUCTOS'!$F$2:$F$501,MATCH(F186,'04_PRODUCTOS'!$B$2:$B$501,0))),IF(E186="Especial",IF(INDEX('04_PRODUCTOS'!$G$2:$G$501,MATCH(F186,'04_PRODUCTOS'!$B$2:$B$501,0))="",INDEX('04_PRODUCTOS'!$E$2:$E$501,MATCH(F186,'04_PRODUCTOS'!$B$2:$B$501,0)),INDEX('04_PRODUCTOS'!$G$2:$G$501,MATCH(F186,'04_PRODUCTOS'!$B$2:$B$501,0))),INDEX('04_PRODUCTOS'!$E$2:$E$501,MATCH(F186,'04_PRODUCTOS'!$B$2:$B$501,0)))),"")</f>
        <v/>
      </c>
      <c r="I186" s="3" t="str">
        <f t="shared" si="15"/>
        <v/>
      </c>
      <c r="J186" s="3" t="str">
        <f>IFERROR(IF(INDEX('04_PRODUCTOS'!$D$2:$D$501,MATCH(F186,'04_PRODUCTOS'!$B$2:$B$501,0))="","",I186-(G186*INDEX('04_PRODUCTOS'!$D$2:$D$501,MATCH(F186,'04_PRODUCTOS'!$B$2:$B$501,0)))),"")</f>
        <v/>
      </c>
      <c r="K186" s="7" t="str">
        <f t="shared" si="16"/>
        <v/>
      </c>
      <c r="O186" t="str">
        <f>IF(D186="","",IFERROR(INDEX('03_CLIENTES'!$A$2:$A$501,MATCH(D186,'03_CLIENTES'!$B$2:$B$501,0)),""))</f>
        <v/>
      </c>
      <c r="P186" t="str">
        <f>IF(F186="","",IFERROR(INDEX('04_PRODUCTOS'!$A$2:$A$501,MATCH(F186,'04_PRODUCTOS'!$B$2:$B$501,0)),""))</f>
        <v/>
      </c>
      <c r="Q186" t="str">
        <f t="shared" si="17"/>
        <v/>
      </c>
    </row>
    <row r="187" spans="1:17" x14ac:dyDescent="0.25">
      <c r="A187" t="str">
        <f t="shared" si="12"/>
        <v/>
      </c>
      <c r="B187" s="4" t="str">
        <f t="shared" ca="1" si="13"/>
        <v/>
      </c>
      <c r="C187" s="5" t="str">
        <f t="shared" ca="1" si="14"/>
        <v/>
      </c>
      <c r="G187" s="6"/>
      <c r="H187" s="3" t="str">
        <f>IFERROR(IF(E187="Mayorista",IF(INDEX('04_PRODUCTOS'!$F$2:$F$501,MATCH(F187,'04_PRODUCTOS'!$B$2:$B$501,0))="",INDEX('04_PRODUCTOS'!$E$2:$E$501,MATCH(F187,'04_PRODUCTOS'!$B$2:$B$501,0)),INDEX('04_PRODUCTOS'!$F$2:$F$501,MATCH(F187,'04_PRODUCTOS'!$B$2:$B$501,0))),IF(E187="Especial",IF(INDEX('04_PRODUCTOS'!$G$2:$G$501,MATCH(F187,'04_PRODUCTOS'!$B$2:$B$501,0))="",INDEX('04_PRODUCTOS'!$E$2:$E$501,MATCH(F187,'04_PRODUCTOS'!$B$2:$B$501,0)),INDEX('04_PRODUCTOS'!$G$2:$G$501,MATCH(F187,'04_PRODUCTOS'!$B$2:$B$501,0))),INDEX('04_PRODUCTOS'!$E$2:$E$501,MATCH(F187,'04_PRODUCTOS'!$B$2:$B$501,0)))),"")</f>
        <v/>
      </c>
      <c r="I187" s="3" t="str">
        <f t="shared" si="15"/>
        <v/>
      </c>
      <c r="J187" s="3" t="str">
        <f>IFERROR(IF(INDEX('04_PRODUCTOS'!$D$2:$D$501,MATCH(F187,'04_PRODUCTOS'!$B$2:$B$501,0))="","",I187-(G187*INDEX('04_PRODUCTOS'!$D$2:$D$501,MATCH(F187,'04_PRODUCTOS'!$B$2:$B$501,0)))),"")</f>
        <v/>
      </c>
      <c r="K187" s="7" t="str">
        <f t="shared" si="16"/>
        <v/>
      </c>
      <c r="O187" t="str">
        <f>IF(D187="","",IFERROR(INDEX('03_CLIENTES'!$A$2:$A$501,MATCH(D187,'03_CLIENTES'!$B$2:$B$501,0)),""))</f>
        <v/>
      </c>
      <c r="P187" t="str">
        <f>IF(F187="","",IFERROR(INDEX('04_PRODUCTOS'!$A$2:$A$501,MATCH(F187,'04_PRODUCTOS'!$B$2:$B$501,0)),""))</f>
        <v/>
      </c>
      <c r="Q187" t="str">
        <f t="shared" si="17"/>
        <v/>
      </c>
    </row>
    <row r="188" spans="1:17" x14ac:dyDescent="0.25">
      <c r="A188" t="str">
        <f t="shared" si="12"/>
        <v/>
      </c>
      <c r="B188" s="4" t="str">
        <f t="shared" ca="1" si="13"/>
        <v/>
      </c>
      <c r="C188" s="5" t="str">
        <f t="shared" ca="1" si="14"/>
        <v/>
      </c>
      <c r="G188" s="6"/>
      <c r="H188" s="3" t="str">
        <f>IFERROR(IF(E188="Mayorista",IF(INDEX('04_PRODUCTOS'!$F$2:$F$501,MATCH(F188,'04_PRODUCTOS'!$B$2:$B$501,0))="",INDEX('04_PRODUCTOS'!$E$2:$E$501,MATCH(F188,'04_PRODUCTOS'!$B$2:$B$501,0)),INDEX('04_PRODUCTOS'!$F$2:$F$501,MATCH(F188,'04_PRODUCTOS'!$B$2:$B$501,0))),IF(E188="Especial",IF(INDEX('04_PRODUCTOS'!$G$2:$G$501,MATCH(F188,'04_PRODUCTOS'!$B$2:$B$501,0))="",INDEX('04_PRODUCTOS'!$E$2:$E$501,MATCH(F188,'04_PRODUCTOS'!$B$2:$B$501,0)),INDEX('04_PRODUCTOS'!$G$2:$G$501,MATCH(F188,'04_PRODUCTOS'!$B$2:$B$501,0))),INDEX('04_PRODUCTOS'!$E$2:$E$501,MATCH(F188,'04_PRODUCTOS'!$B$2:$B$501,0)))),"")</f>
        <v/>
      </c>
      <c r="I188" s="3" t="str">
        <f t="shared" si="15"/>
        <v/>
      </c>
      <c r="J188" s="3" t="str">
        <f>IFERROR(IF(INDEX('04_PRODUCTOS'!$D$2:$D$501,MATCH(F188,'04_PRODUCTOS'!$B$2:$B$501,0))="","",I188-(G188*INDEX('04_PRODUCTOS'!$D$2:$D$501,MATCH(F188,'04_PRODUCTOS'!$B$2:$B$501,0)))),"")</f>
        <v/>
      </c>
      <c r="K188" s="7" t="str">
        <f t="shared" si="16"/>
        <v/>
      </c>
      <c r="O188" t="str">
        <f>IF(D188="","",IFERROR(INDEX('03_CLIENTES'!$A$2:$A$501,MATCH(D188,'03_CLIENTES'!$B$2:$B$501,0)),""))</f>
        <v/>
      </c>
      <c r="P188" t="str">
        <f>IF(F188="","",IFERROR(INDEX('04_PRODUCTOS'!$A$2:$A$501,MATCH(F188,'04_PRODUCTOS'!$B$2:$B$501,0)),""))</f>
        <v/>
      </c>
      <c r="Q188" t="str">
        <f t="shared" si="17"/>
        <v/>
      </c>
    </row>
    <row r="189" spans="1:17" x14ac:dyDescent="0.25">
      <c r="A189" t="str">
        <f t="shared" si="12"/>
        <v/>
      </c>
      <c r="B189" s="4" t="str">
        <f t="shared" ca="1" si="13"/>
        <v/>
      </c>
      <c r="C189" s="5" t="str">
        <f t="shared" ca="1" si="14"/>
        <v/>
      </c>
      <c r="G189" s="6"/>
      <c r="H189" s="3" t="str">
        <f>IFERROR(IF(E189="Mayorista",IF(INDEX('04_PRODUCTOS'!$F$2:$F$501,MATCH(F189,'04_PRODUCTOS'!$B$2:$B$501,0))="",INDEX('04_PRODUCTOS'!$E$2:$E$501,MATCH(F189,'04_PRODUCTOS'!$B$2:$B$501,0)),INDEX('04_PRODUCTOS'!$F$2:$F$501,MATCH(F189,'04_PRODUCTOS'!$B$2:$B$501,0))),IF(E189="Especial",IF(INDEX('04_PRODUCTOS'!$G$2:$G$501,MATCH(F189,'04_PRODUCTOS'!$B$2:$B$501,0))="",INDEX('04_PRODUCTOS'!$E$2:$E$501,MATCH(F189,'04_PRODUCTOS'!$B$2:$B$501,0)),INDEX('04_PRODUCTOS'!$G$2:$G$501,MATCH(F189,'04_PRODUCTOS'!$B$2:$B$501,0))),INDEX('04_PRODUCTOS'!$E$2:$E$501,MATCH(F189,'04_PRODUCTOS'!$B$2:$B$501,0)))),"")</f>
        <v/>
      </c>
      <c r="I189" s="3" t="str">
        <f t="shared" si="15"/>
        <v/>
      </c>
      <c r="J189" s="3" t="str">
        <f>IFERROR(IF(INDEX('04_PRODUCTOS'!$D$2:$D$501,MATCH(F189,'04_PRODUCTOS'!$B$2:$B$501,0))="","",I189-(G189*INDEX('04_PRODUCTOS'!$D$2:$D$501,MATCH(F189,'04_PRODUCTOS'!$B$2:$B$501,0)))),"")</f>
        <v/>
      </c>
      <c r="K189" s="7" t="str">
        <f t="shared" si="16"/>
        <v/>
      </c>
      <c r="O189" t="str">
        <f>IF(D189="","",IFERROR(INDEX('03_CLIENTES'!$A$2:$A$501,MATCH(D189,'03_CLIENTES'!$B$2:$B$501,0)),""))</f>
        <v/>
      </c>
      <c r="P189" t="str">
        <f>IF(F189="","",IFERROR(INDEX('04_PRODUCTOS'!$A$2:$A$501,MATCH(F189,'04_PRODUCTOS'!$B$2:$B$501,0)),""))</f>
        <v/>
      </c>
      <c r="Q189" t="str">
        <f t="shared" si="17"/>
        <v/>
      </c>
    </row>
    <row r="190" spans="1:17" x14ac:dyDescent="0.25">
      <c r="A190" t="str">
        <f t="shared" si="12"/>
        <v/>
      </c>
      <c r="B190" s="4" t="str">
        <f t="shared" ca="1" si="13"/>
        <v/>
      </c>
      <c r="C190" s="5" t="str">
        <f t="shared" ca="1" si="14"/>
        <v/>
      </c>
      <c r="G190" s="6"/>
      <c r="H190" s="3" t="str">
        <f>IFERROR(IF(E190="Mayorista",IF(INDEX('04_PRODUCTOS'!$F$2:$F$501,MATCH(F190,'04_PRODUCTOS'!$B$2:$B$501,0))="",INDEX('04_PRODUCTOS'!$E$2:$E$501,MATCH(F190,'04_PRODUCTOS'!$B$2:$B$501,0)),INDEX('04_PRODUCTOS'!$F$2:$F$501,MATCH(F190,'04_PRODUCTOS'!$B$2:$B$501,0))),IF(E190="Especial",IF(INDEX('04_PRODUCTOS'!$G$2:$G$501,MATCH(F190,'04_PRODUCTOS'!$B$2:$B$501,0))="",INDEX('04_PRODUCTOS'!$E$2:$E$501,MATCH(F190,'04_PRODUCTOS'!$B$2:$B$501,0)),INDEX('04_PRODUCTOS'!$G$2:$G$501,MATCH(F190,'04_PRODUCTOS'!$B$2:$B$501,0))),INDEX('04_PRODUCTOS'!$E$2:$E$501,MATCH(F190,'04_PRODUCTOS'!$B$2:$B$501,0)))),"")</f>
        <v/>
      </c>
      <c r="I190" s="3" t="str">
        <f t="shared" si="15"/>
        <v/>
      </c>
      <c r="J190" s="3" t="str">
        <f>IFERROR(IF(INDEX('04_PRODUCTOS'!$D$2:$D$501,MATCH(F190,'04_PRODUCTOS'!$B$2:$B$501,0))="","",I190-(G190*INDEX('04_PRODUCTOS'!$D$2:$D$501,MATCH(F190,'04_PRODUCTOS'!$B$2:$B$501,0)))),"")</f>
        <v/>
      </c>
      <c r="K190" s="7" t="str">
        <f t="shared" si="16"/>
        <v/>
      </c>
      <c r="O190" t="str">
        <f>IF(D190="","",IFERROR(INDEX('03_CLIENTES'!$A$2:$A$501,MATCH(D190,'03_CLIENTES'!$B$2:$B$501,0)),""))</f>
        <v/>
      </c>
      <c r="P190" t="str">
        <f>IF(F190="","",IFERROR(INDEX('04_PRODUCTOS'!$A$2:$A$501,MATCH(F190,'04_PRODUCTOS'!$B$2:$B$501,0)),""))</f>
        <v/>
      </c>
      <c r="Q190" t="str">
        <f t="shared" si="17"/>
        <v/>
      </c>
    </row>
    <row r="191" spans="1:17" x14ac:dyDescent="0.25">
      <c r="A191" t="str">
        <f t="shared" si="12"/>
        <v/>
      </c>
      <c r="B191" s="4" t="str">
        <f t="shared" ca="1" si="13"/>
        <v/>
      </c>
      <c r="C191" s="5" t="str">
        <f t="shared" ca="1" si="14"/>
        <v/>
      </c>
      <c r="G191" s="6"/>
      <c r="H191" s="3" t="str">
        <f>IFERROR(IF(E191="Mayorista",IF(INDEX('04_PRODUCTOS'!$F$2:$F$501,MATCH(F191,'04_PRODUCTOS'!$B$2:$B$501,0))="",INDEX('04_PRODUCTOS'!$E$2:$E$501,MATCH(F191,'04_PRODUCTOS'!$B$2:$B$501,0)),INDEX('04_PRODUCTOS'!$F$2:$F$501,MATCH(F191,'04_PRODUCTOS'!$B$2:$B$501,0))),IF(E191="Especial",IF(INDEX('04_PRODUCTOS'!$G$2:$G$501,MATCH(F191,'04_PRODUCTOS'!$B$2:$B$501,0))="",INDEX('04_PRODUCTOS'!$E$2:$E$501,MATCH(F191,'04_PRODUCTOS'!$B$2:$B$501,0)),INDEX('04_PRODUCTOS'!$G$2:$G$501,MATCH(F191,'04_PRODUCTOS'!$B$2:$B$501,0))),INDEX('04_PRODUCTOS'!$E$2:$E$501,MATCH(F191,'04_PRODUCTOS'!$B$2:$B$501,0)))),"")</f>
        <v/>
      </c>
      <c r="I191" s="3" t="str">
        <f t="shared" si="15"/>
        <v/>
      </c>
      <c r="J191" s="3" t="str">
        <f>IFERROR(IF(INDEX('04_PRODUCTOS'!$D$2:$D$501,MATCH(F191,'04_PRODUCTOS'!$B$2:$B$501,0))="","",I191-(G191*INDEX('04_PRODUCTOS'!$D$2:$D$501,MATCH(F191,'04_PRODUCTOS'!$B$2:$B$501,0)))),"")</f>
        <v/>
      </c>
      <c r="K191" s="7" t="str">
        <f t="shared" si="16"/>
        <v/>
      </c>
      <c r="O191" t="str">
        <f>IF(D191="","",IFERROR(INDEX('03_CLIENTES'!$A$2:$A$501,MATCH(D191,'03_CLIENTES'!$B$2:$B$501,0)),""))</f>
        <v/>
      </c>
      <c r="P191" t="str">
        <f>IF(F191="","",IFERROR(INDEX('04_PRODUCTOS'!$A$2:$A$501,MATCH(F191,'04_PRODUCTOS'!$B$2:$B$501,0)),""))</f>
        <v/>
      </c>
      <c r="Q191" t="str">
        <f t="shared" si="17"/>
        <v/>
      </c>
    </row>
    <row r="192" spans="1:17" x14ac:dyDescent="0.25">
      <c r="A192" t="str">
        <f t="shared" si="12"/>
        <v/>
      </c>
      <c r="B192" s="4" t="str">
        <f t="shared" ca="1" si="13"/>
        <v/>
      </c>
      <c r="C192" s="5" t="str">
        <f t="shared" ca="1" si="14"/>
        <v/>
      </c>
      <c r="G192" s="6"/>
      <c r="H192" s="3" t="str">
        <f>IFERROR(IF(E192="Mayorista",IF(INDEX('04_PRODUCTOS'!$F$2:$F$501,MATCH(F192,'04_PRODUCTOS'!$B$2:$B$501,0))="",INDEX('04_PRODUCTOS'!$E$2:$E$501,MATCH(F192,'04_PRODUCTOS'!$B$2:$B$501,0)),INDEX('04_PRODUCTOS'!$F$2:$F$501,MATCH(F192,'04_PRODUCTOS'!$B$2:$B$501,0))),IF(E192="Especial",IF(INDEX('04_PRODUCTOS'!$G$2:$G$501,MATCH(F192,'04_PRODUCTOS'!$B$2:$B$501,0))="",INDEX('04_PRODUCTOS'!$E$2:$E$501,MATCH(F192,'04_PRODUCTOS'!$B$2:$B$501,0)),INDEX('04_PRODUCTOS'!$G$2:$G$501,MATCH(F192,'04_PRODUCTOS'!$B$2:$B$501,0))),INDEX('04_PRODUCTOS'!$E$2:$E$501,MATCH(F192,'04_PRODUCTOS'!$B$2:$B$501,0)))),"")</f>
        <v/>
      </c>
      <c r="I192" s="3" t="str">
        <f t="shared" si="15"/>
        <v/>
      </c>
      <c r="J192" s="3" t="str">
        <f>IFERROR(IF(INDEX('04_PRODUCTOS'!$D$2:$D$501,MATCH(F192,'04_PRODUCTOS'!$B$2:$B$501,0))="","",I192-(G192*INDEX('04_PRODUCTOS'!$D$2:$D$501,MATCH(F192,'04_PRODUCTOS'!$B$2:$B$501,0)))),"")</f>
        <v/>
      </c>
      <c r="K192" s="7" t="str">
        <f t="shared" si="16"/>
        <v/>
      </c>
      <c r="O192" t="str">
        <f>IF(D192="","",IFERROR(INDEX('03_CLIENTES'!$A$2:$A$501,MATCH(D192,'03_CLIENTES'!$B$2:$B$501,0)),""))</f>
        <v/>
      </c>
      <c r="P192" t="str">
        <f>IF(F192="","",IFERROR(INDEX('04_PRODUCTOS'!$A$2:$A$501,MATCH(F192,'04_PRODUCTOS'!$B$2:$B$501,0)),""))</f>
        <v/>
      </c>
      <c r="Q192" t="str">
        <f t="shared" si="17"/>
        <v/>
      </c>
    </row>
    <row r="193" spans="1:17" x14ac:dyDescent="0.25">
      <c r="A193" t="str">
        <f t="shared" si="12"/>
        <v/>
      </c>
      <c r="B193" s="4" t="str">
        <f t="shared" ca="1" si="13"/>
        <v/>
      </c>
      <c r="C193" s="5" t="str">
        <f t="shared" ca="1" si="14"/>
        <v/>
      </c>
      <c r="G193" s="6"/>
      <c r="H193" s="3" t="str">
        <f>IFERROR(IF(E193="Mayorista",IF(INDEX('04_PRODUCTOS'!$F$2:$F$501,MATCH(F193,'04_PRODUCTOS'!$B$2:$B$501,0))="",INDEX('04_PRODUCTOS'!$E$2:$E$501,MATCH(F193,'04_PRODUCTOS'!$B$2:$B$501,0)),INDEX('04_PRODUCTOS'!$F$2:$F$501,MATCH(F193,'04_PRODUCTOS'!$B$2:$B$501,0))),IF(E193="Especial",IF(INDEX('04_PRODUCTOS'!$G$2:$G$501,MATCH(F193,'04_PRODUCTOS'!$B$2:$B$501,0))="",INDEX('04_PRODUCTOS'!$E$2:$E$501,MATCH(F193,'04_PRODUCTOS'!$B$2:$B$501,0)),INDEX('04_PRODUCTOS'!$G$2:$G$501,MATCH(F193,'04_PRODUCTOS'!$B$2:$B$501,0))),INDEX('04_PRODUCTOS'!$E$2:$E$501,MATCH(F193,'04_PRODUCTOS'!$B$2:$B$501,0)))),"")</f>
        <v/>
      </c>
      <c r="I193" s="3" t="str">
        <f t="shared" si="15"/>
        <v/>
      </c>
      <c r="J193" s="3" t="str">
        <f>IFERROR(IF(INDEX('04_PRODUCTOS'!$D$2:$D$501,MATCH(F193,'04_PRODUCTOS'!$B$2:$B$501,0))="","",I193-(G193*INDEX('04_PRODUCTOS'!$D$2:$D$501,MATCH(F193,'04_PRODUCTOS'!$B$2:$B$501,0)))),"")</f>
        <v/>
      </c>
      <c r="K193" s="7" t="str">
        <f t="shared" si="16"/>
        <v/>
      </c>
      <c r="O193" t="str">
        <f>IF(D193="","",IFERROR(INDEX('03_CLIENTES'!$A$2:$A$501,MATCH(D193,'03_CLIENTES'!$B$2:$B$501,0)),""))</f>
        <v/>
      </c>
      <c r="P193" t="str">
        <f>IF(F193="","",IFERROR(INDEX('04_PRODUCTOS'!$A$2:$A$501,MATCH(F193,'04_PRODUCTOS'!$B$2:$B$501,0)),""))</f>
        <v/>
      </c>
      <c r="Q193" t="str">
        <f t="shared" si="17"/>
        <v/>
      </c>
    </row>
    <row r="194" spans="1:17" x14ac:dyDescent="0.25">
      <c r="A194" t="str">
        <f t="shared" ref="A194:A257" si="18">IF(OR(D194="",F194=""),"","VEN"&amp;TEXT(ROW()-1,"000000"))</f>
        <v/>
      </c>
      <c r="B194" s="4" t="str">
        <f t="shared" ref="B194:B257" ca="1" si="19">IF(A194="","",TODAY())</f>
        <v/>
      </c>
      <c r="C194" s="5" t="str">
        <f t="shared" ref="C194:C257" ca="1" si="20">IF(A194="","",NOW())</f>
        <v/>
      </c>
      <c r="G194" s="6"/>
      <c r="H194" s="3" t="str">
        <f>IFERROR(IF(E194="Mayorista",IF(INDEX('04_PRODUCTOS'!$F$2:$F$501,MATCH(F194,'04_PRODUCTOS'!$B$2:$B$501,0))="",INDEX('04_PRODUCTOS'!$E$2:$E$501,MATCH(F194,'04_PRODUCTOS'!$B$2:$B$501,0)),INDEX('04_PRODUCTOS'!$F$2:$F$501,MATCH(F194,'04_PRODUCTOS'!$B$2:$B$501,0))),IF(E194="Especial",IF(INDEX('04_PRODUCTOS'!$G$2:$G$501,MATCH(F194,'04_PRODUCTOS'!$B$2:$B$501,0))="",INDEX('04_PRODUCTOS'!$E$2:$E$501,MATCH(F194,'04_PRODUCTOS'!$B$2:$B$501,0)),INDEX('04_PRODUCTOS'!$G$2:$G$501,MATCH(F194,'04_PRODUCTOS'!$B$2:$B$501,0))),INDEX('04_PRODUCTOS'!$E$2:$E$501,MATCH(F194,'04_PRODUCTOS'!$B$2:$B$501,0)))),"")</f>
        <v/>
      </c>
      <c r="I194" s="3" t="str">
        <f t="shared" ref="I194:I257" si="21">IF(AND(G194&lt;&gt;"",H194&lt;&gt;""),G194*H194,"")</f>
        <v/>
      </c>
      <c r="J194" s="3" t="str">
        <f>IFERROR(IF(INDEX('04_PRODUCTOS'!$D$2:$D$501,MATCH(F194,'04_PRODUCTOS'!$B$2:$B$501,0))="","",I194-(G194*INDEX('04_PRODUCTOS'!$D$2:$D$501,MATCH(F194,'04_PRODUCTOS'!$B$2:$B$501,0)))),"")</f>
        <v/>
      </c>
      <c r="K194" s="7" t="str">
        <f t="shared" ref="K194:K257" si="22">IF(OR(I194="",J194=""),"",IFERROR(J194/I194,""))</f>
        <v/>
      </c>
      <c r="O194" t="str">
        <f>IF(D194="","",IFERROR(INDEX('03_CLIENTES'!$A$2:$A$501,MATCH(D194,'03_CLIENTES'!$B$2:$B$501,0)),""))</f>
        <v/>
      </c>
      <c r="P194" t="str">
        <f>IF(F194="","",IFERROR(INDEX('04_PRODUCTOS'!$A$2:$A$501,MATCH(F194,'04_PRODUCTOS'!$B$2:$B$501,0)),""))</f>
        <v/>
      </c>
      <c r="Q194" t="str">
        <f t="shared" ref="Q194:Q257" si="23">IF(AND(D194&lt;&gt;"",F194&lt;&gt;"",G194&gt;0,H194&lt;&gt;""),IF(O194="","CLIENTE NO ENCONTRADO",IF(P194="","PRODUCTO NO ENCONTRADO","OK")),"")</f>
        <v/>
      </c>
    </row>
    <row r="195" spans="1:17" x14ac:dyDescent="0.25">
      <c r="A195" t="str">
        <f t="shared" si="18"/>
        <v/>
      </c>
      <c r="B195" s="4" t="str">
        <f t="shared" ca="1" si="19"/>
        <v/>
      </c>
      <c r="C195" s="5" t="str">
        <f t="shared" ca="1" si="20"/>
        <v/>
      </c>
      <c r="G195" s="6"/>
      <c r="H195" s="3" t="str">
        <f>IFERROR(IF(E195="Mayorista",IF(INDEX('04_PRODUCTOS'!$F$2:$F$501,MATCH(F195,'04_PRODUCTOS'!$B$2:$B$501,0))="",INDEX('04_PRODUCTOS'!$E$2:$E$501,MATCH(F195,'04_PRODUCTOS'!$B$2:$B$501,0)),INDEX('04_PRODUCTOS'!$F$2:$F$501,MATCH(F195,'04_PRODUCTOS'!$B$2:$B$501,0))),IF(E195="Especial",IF(INDEX('04_PRODUCTOS'!$G$2:$G$501,MATCH(F195,'04_PRODUCTOS'!$B$2:$B$501,0))="",INDEX('04_PRODUCTOS'!$E$2:$E$501,MATCH(F195,'04_PRODUCTOS'!$B$2:$B$501,0)),INDEX('04_PRODUCTOS'!$G$2:$G$501,MATCH(F195,'04_PRODUCTOS'!$B$2:$B$501,0))),INDEX('04_PRODUCTOS'!$E$2:$E$501,MATCH(F195,'04_PRODUCTOS'!$B$2:$B$501,0)))),"")</f>
        <v/>
      </c>
      <c r="I195" s="3" t="str">
        <f t="shared" si="21"/>
        <v/>
      </c>
      <c r="J195" s="3" t="str">
        <f>IFERROR(IF(INDEX('04_PRODUCTOS'!$D$2:$D$501,MATCH(F195,'04_PRODUCTOS'!$B$2:$B$501,0))="","",I195-(G195*INDEX('04_PRODUCTOS'!$D$2:$D$501,MATCH(F195,'04_PRODUCTOS'!$B$2:$B$501,0)))),"")</f>
        <v/>
      </c>
      <c r="K195" s="7" t="str">
        <f t="shared" si="22"/>
        <v/>
      </c>
      <c r="O195" t="str">
        <f>IF(D195="","",IFERROR(INDEX('03_CLIENTES'!$A$2:$A$501,MATCH(D195,'03_CLIENTES'!$B$2:$B$501,0)),""))</f>
        <v/>
      </c>
      <c r="P195" t="str">
        <f>IF(F195="","",IFERROR(INDEX('04_PRODUCTOS'!$A$2:$A$501,MATCH(F195,'04_PRODUCTOS'!$B$2:$B$501,0)),""))</f>
        <v/>
      </c>
      <c r="Q195" t="str">
        <f t="shared" si="23"/>
        <v/>
      </c>
    </row>
    <row r="196" spans="1:17" x14ac:dyDescent="0.25">
      <c r="A196" t="str">
        <f t="shared" si="18"/>
        <v/>
      </c>
      <c r="B196" s="4" t="str">
        <f t="shared" ca="1" si="19"/>
        <v/>
      </c>
      <c r="C196" s="5" t="str">
        <f t="shared" ca="1" si="20"/>
        <v/>
      </c>
      <c r="G196" s="6"/>
      <c r="H196" s="3" t="str">
        <f>IFERROR(IF(E196="Mayorista",IF(INDEX('04_PRODUCTOS'!$F$2:$F$501,MATCH(F196,'04_PRODUCTOS'!$B$2:$B$501,0))="",INDEX('04_PRODUCTOS'!$E$2:$E$501,MATCH(F196,'04_PRODUCTOS'!$B$2:$B$501,0)),INDEX('04_PRODUCTOS'!$F$2:$F$501,MATCH(F196,'04_PRODUCTOS'!$B$2:$B$501,0))),IF(E196="Especial",IF(INDEX('04_PRODUCTOS'!$G$2:$G$501,MATCH(F196,'04_PRODUCTOS'!$B$2:$B$501,0))="",INDEX('04_PRODUCTOS'!$E$2:$E$501,MATCH(F196,'04_PRODUCTOS'!$B$2:$B$501,0)),INDEX('04_PRODUCTOS'!$G$2:$G$501,MATCH(F196,'04_PRODUCTOS'!$B$2:$B$501,0))),INDEX('04_PRODUCTOS'!$E$2:$E$501,MATCH(F196,'04_PRODUCTOS'!$B$2:$B$501,0)))),"")</f>
        <v/>
      </c>
      <c r="I196" s="3" t="str">
        <f t="shared" si="21"/>
        <v/>
      </c>
      <c r="J196" s="3" t="str">
        <f>IFERROR(IF(INDEX('04_PRODUCTOS'!$D$2:$D$501,MATCH(F196,'04_PRODUCTOS'!$B$2:$B$501,0))="","",I196-(G196*INDEX('04_PRODUCTOS'!$D$2:$D$501,MATCH(F196,'04_PRODUCTOS'!$B$2:$B$501,0)))),"")</f>
        <v/>
      </c>
      <c r="K196" s="7" t="str">
        <f t="shared" si="22"/>
        <v/>
      </c>
      <c r="O196" t="str">
        <f>IF(D196="","",IFERROR(INDEX('03_CLIENTES'!$A$2:$A$501,MATCH(D196,'03_CLIENTES'!$B$2:$B$501,0)),""))</f>
        <v/>
      </c>
      <c r="P196" t="str">
        <f>IF(F196="","",IFERROR(INDEX('04_PRODUCTOS'!$A$2:$A$501,MATCH(F196,'04_PRODUCTOS'!$B$2:$B$501,0)),""))</f>
        <v/>
      </c>
      <c r="Q196" t="str">
        <f t="shared" si="23"/>
        <v/>
      </c>
    </row>
    <row r="197" spans="1:17" x14ac:dyDescent="0.25">
      <c r="A197" t="str">
        <f t="shared" si="18"/>
        <v/>
      </c>
      <c r="B197" s="4" t="str">
        <f t="shared" ca="1" si="19"/>
        <v/>
      </c>
      <c r="C197" s="5" t="str">
        <f t="shared" ca="1" si="20"/>
        <v/>
      </c>
      <c r="G197" s="6"/>
      <c r="H197" s="3" t="str">
        <f>IFERROR(IF(E197="Mayorista",IF(INDEX('04_PRODUCTOS'!$F$2:$F$501,MATCH(F197,'04_PRODUCTOS'!$B$2:$B$501,0))="",INDEX('04_PRODUCTOS'!$E$2:$E$501,MATCH(F197,'04_PRODUCTOS'!$B$2:$B$501,0)),INDEX('04_PRODUCTOS'!$F$2:$F$501,MATCH(F197,'04_PRODUCTOS'!$B$2:$B$501,0))),IF(E197="Especial",IF(INDEX('04_PRODUCTOS'!$G$2:$G$501,MATCH(F197,'04_PRODUCTOS'!$B$2:$B$501,0))="",INDEX('04_PRODUCTOS'!$E$2:$E$501,MATCH(F197,'04_PRODUCTOS'!$B$2:$B$501,0)),INDEX('04_PRODUCTOS'!$G$2:$G$501,MATCH(F197,'04_PRODUCTOS'!$B$2:$B$501,0))),INDEX('04_PRODUCTOS'!$E$2:$E$501,MATCH(F197,'04_PRODUCTOS'!$B$2:$B$501,0)))),"")</f>
        <v/>
      </c>
      <c r="I197" s="3" t="str">
        <f t="shared" si="21"/>
        <v/>
      </c>
      <c r="J197" s="3" t="str">
        <f>IFERROR(IF(INDEX('04_PRODUCTOS'!$D$2:$D$501,MATCH(F197,'04_PRODUCTOS'!$B$2:$B$501,0))="","",I197-(G197*INDEX('04_PRODUCTOS'!$D$2:$D$501,MATCH(F197,'04_PRODUCTOS'!$B$2:$B$501,0)))),"")</f>
        <v/>
      </c>
      <c r="K197" s="7" t="str">
        <f t="shared" si="22"/>
        <v/>
      </c>
      <c r="O197" t="str">
        <f>IF(D197="","",IFERROR(INDEX('03_CLIENTES'!$A$2:$A$501,MATCH(D197,'03_CLIENTES'!$B$2:$B$501,0)),""))</f>
        <v/>
      </c>
      <c r="P197" t="str">
        <f>IF(F197="","",IFERROR(INDEX('04_PRODUCTOS'!$A$2:$A$501,MATCH(F197,'04_PRODUCTOS'!$B$2:$B$501,0)),""))</f>
        <v/>
      </c>
      <c r="Q197" t="str">
        <f t="shared" si="23"/>
        <v/>
      </c>
    </row>
    <row r="198" spans="1:17" x14ac:dyDescent="0.25">
      <c r="A198" t="str">
        <f t="shared" si="18"/>
        <v/>
      </c>
      <c r="B198" s="4" t="str">
        <f t="shared" ca="1" si="19"/>
        <v/>
      </c>
      <c r="C198" s="5" t="str">
        <f t="shared" ca="1" si="20"/>
        <v/>
      </c>
      <c r="G198" s="6"/>
      <c r="H198" s="3" t="str">
        <f>IFERROR(IF(E198="Mayorista",IF(INDEX('04_PRODUCTOS'!$F$2:$F$501,MATCH(F198,'04_PRODUCTOS'!$B$2:$B$501,0))="",INDEX('04_PRODUCTOS'!$E$2:$E$501,MATCH(F198,'04_PRODUCTOS'!$B$2:$B$501,0)),INDEX('04_PRODUCTOS'!$F$2:$F$501,MATCH(F198,'04_PRODUCTOS'!$B$2:$B$501,0))),IF(E198="Especial",IF(INDEX('04_PRODUCTOS'!$G$2:$G$501,MATCH(F198,'04_PRODUCTOS'!$B$2:$B$501,0))="",INDEX('04_PRODUCTOS'!$E$2:$E$501,MATCH(F198,'04_PRODUCTOS'!$B$2:$B$501,0)),INDEX('04_PRODUCTOS'!$G$2:$G$501,MATCH(F198,'04_PRODUCTOS'!$B$2:$B$501,0))),INDEX('04_PRODUCTOS'!$E$2:$E$501,MATCH(F198,'04_PRODUCTOS'!$B$2:$B$501,0)))),"")</f>
        <v/>
      </c>
      <c r="I198" s="3" t="str">
        <f t="shared" si="21"/>
        <v/>
      </c>
      <c r="J198" s="3" t="str">
        <f>IFERROR(IF(INDEX('04_PRODUCTOS'!$D$2:$D$501,MATCH(F198,'04_PRODUCTOS'!$B$2:$B$501,0))="","",I198-(G198*INDEX('04_PRODUCTOS'!$D$2:$D$501,MATCH(F198,'04_PRODUCTOS'!$B$2:$B$501,0)))),"")</f>
        <v/>
      </c>
      <c r="K198" s="7" t="str">
        <f t="shared" si="22"/>
        <v/>
      </c>
      <c r="O198" t="str">
        <f>IF(D198="","",IFERROR(INDEX('03_CLIENTES'!$A$2:$A$501,MATCH(D198,'03_CLIENTES'!$B$2:$B$501,0)),""))</f>
        <v/>
      </c>
      <c r="P198" t="str">
        <f>IF(F198="","",IFERROR(INDEX('04_PRODUCTOS'!$A$2:$A$501,MATCH(F198,'04_PRODUCTOS'!$B$2:$B$501,0)),""))</f>
        <v/>
      </c>
      <c r="Q198" t="str">
        <f t="shared" si="23"/>
        <v/>
      </c>
    </row>
    <row r="199" spans="1:17" x14ac:dyDescent="0.25">
      <c r="A199" t="str">
        <f t="shared" si="18"/>
        <v/>
      </c>
      <c r="B199" s="4" t="str">
        <f t="shared" ca="1" si="19"/>
        <v/>
      </c>
      <c r="C199" s="5" t="str">
        <f t="shared" ca="1" si="20"/>
        <v/>
      </c>
      <c r="G199" s="6"/>
      <c r="H199" s="3" t="str">
        <f>IFERROR(IF(E199="Mayorista",IF(INDEX('04_PRODUCTOS'!$F$2:$F$501,MATCH(F199,'04_PRODUCTOS'!$B$2:$B$501,0))="",INDEX('04_PRODUCTOS'!$E$2:$E$501,MATCH(F199,'04_PRODUCTOS'!$B$2:$B$501,0)),INDEX('04_PRODUCTOS'!$F$2:$F$501,MATCH(F199,'04_PRODUCTOS'!$B$2:$B$501,0))),IF(E199="Especial",IF(INDEX('04_PRODUCTOS'!$G$2:$G$501,MATCH(F199,'04_PRODUCTOS'!$B$2:$B$501,0))="",INDEX('04_PRODUCTOS'!$E$2:$E$501,MATCH(F199,'04_PRODUCTOS'!$B$2:$B$501,0)),INDEX('04_PRODUCTOS'!$G$2:$G$501,MATCH(F199,'04_PRODUCTOS'!$B$2:$B$501,0))),INDEX('04_PRODUCTOS'!$E$2:$E$501,MATCH(F199,'04_PRODUCTOS'!$B$2:$B$501,0)))),"")</f>
        <v/>
      </c>
      <c r="I199" s="3" t="str">
        <f t="shared" si="21"/>
        <v/>
      </c>
      <c r="J199" s="3" t="str">
        <f>IFERROR(IF(INDEX('04_PRODUCTOS'!$D$2:$D$501,MATCH(F199,'04_PRODUCTOS'!$B$2:$B$501,0))="","",I199-(G199*INDEX('04_PRODUCTOS'!$D$2:$D$501,MATCH(F199,'04_PRODUCTOS'!$B$2:$B$501,0)))),"")</f>
        <v/>
      </c>
      <c r="K199" s="7" t="str">
        <f t="shared" si="22"/>
        <v/>
      </c>
      <c r="O199" t="str">
        <f>IF(D199="","",IFERROR(INDEX('03_CLIENTES'!$A$2:$A$501,MATCH(D199,'03_CLIENTES'!$B$2:$B$501,0)),""))</f>
        <v/>
      </c>
      <c r="P199" t="str">
        <f>IF(F199="","",IFERROR(INDEX('04_PRODUCTOS'!$A$2:$A$501,MATCH(F199,'04_PRODUCTOS'!$B$2:$B$501,0)),""))</f>
        <v/>
      </c>
      <c r="Q199" t="str">
        <f t="shared" si="23"/>
        <v/>
      </c>
    </row>
    <row r="200" spans="1:17" x14ac:dyDescent="0.25">
      <c r="A200" t="str">
        <f t="shared" si="18"/>
        <v/>
      </c>
      <c r="B200" s="4" t="str">
        <f t="shared" ca="1" si="19"/>
        <v/>
      </c>
      <c r="C200" s="5" t="str">
        <f t="shared" ca="1" si="20"/>
        <v/>
      </c>
      <c r="G200" s="6"/>
      <c r="H200" s="3" t="str">
        <f>IFERROR(IF(E200="Mayorista",IF(INDEX('04_PRODUCTOS'!$F$2:$F$501,MATCH(F200,'04_PRODUCTOS'!$B$2:$B$501,0))="",INDEX('04_PRODUCTOS'!$E$2:$E$501,MATCH(F200,'04_PRODUCTOS'!$B$2:$B$501,0)),INDEX('04_PRODUCTOS'!$F$2:$F$501,MATCH(F200,'04_PRODUCTOS'!$B$2:$B$501,0))),IF(E200="Especial",IF(INDEX('04_PRODUCTOS'!$G$2:$G$501,MATCH(F200,'04_PRODUCTOS'!$B$2:$B$501,0))="",INDEX('04_PRODUCTOS'!$E$2:$E$501,MATCH(F200,'04_PRODUCTOS'!$B$2:$B$501,0)),INDEX('04_PRODUCTOS'!$G$2:$G$501,MATCH(F200,'04_PRODUCTOS'!$B$2:$B$501,0))),INDEX('04_PRODUCTOS'!$E$2:$E$501,MATCH(F200,'04_PRODUCTOS'!$B$2:$B$501,0)))),"")</f>
        <v/>
      </c>
      <c r="I200" s="3" t="str">
        <f t="shared" si="21"/>
        <v/>
      </c>
      <c r="J200" s="3" t="str">
        <f>IFERROR(IF(INDEX('04_PRODUCTOS'!$D$2:$D$501,MATCH(F200,'04_PRODUCTOS'!$B$2:$B$501,0))="","",I200-(G200*INDEX('04_PRODUCTOS'!$D$2:$D$501,MATCH(F200,'04_PRODUCTOS'!$B$2:$B$501,0)))),"")</f>
        <v/>
      </c>
      <c r="K200" s="7" t="str">
        <f t="shared" si="22"/>
        <v/>
      </c>
      <c r="O200" t="str">
        <f>IF(D200="","",IFERROR(INDEX('03_CLIENTES'!$A$2:$A$501,MATCH(D200,'03_CLIENTES'!$B$2:$B$501,0)),""))</f>
        <v/>
      </c>
      <c r="P200" t="str">
        <f>IF(F200="","",IFERROR(INDEX('04_PRODUCTOS'!$A$2:$A$501,MATCH(F200,'04_PRODUCTOS'!$B$2:$B$501,0)),""))</f>
        <v/>
      </c>
      <c r="Q200" t="str">
        <f t="shared" si="23"/>
        <v/>
      </c>
    </row>
    <row r="201" spans="1:17" x14ac:dyDescent="0.25">
      <c r="A201" t="str">
        <f t="shared" si="18"/>
        <v/>
      </c>
      <c r="B201" s="4" t="str">
        <f t="shared" ca="1" si="19"/>
        <v/>
      </c>
      <c r="C201" s="5" t="str">
        <f t="shared" ca="1" si="20"/>
        <v/>
      </c>
      <c r="G201" s="6"/>
      <c r="H201" s="3" t="str">
        <f>IFERROR(IF(E201="Mayorista",IF(INDEX('04_PRODUCTOS'!$F$2:$F$501,MATCH(F201,'04_PRODUCTOS'!$B$2:$B$501,0))="",INDEX('04_PRODUCTOS'!$E$2:$E$501,MATCH(F201,'04_PRODUCTOS'!$B$2:$B$501,0)),INDEX('04_PRODUCTOS'!$F$2:$F$501,MATCH(F201,'04_PRODUCTOS'!$B$2:$B$501,0))),IF(E201="Especial",IF(INDEX('04_PRODUCTOS'!$G$2:$G$501,MATCH(F201,'04_PRODUCTOS'!$B$2:$B$501,0))="",INDEX('04_PRODUCTOS'!$E$2:$E$501,MATCH(F201,'04_PRODUCTOS'!$B$2:$B$501,0)),INDEX('04_PRODUCTOS'!$G$2:$G$501,MATCH(F201,'04_PRODUCTOS'!$B$2:$B$501,0))),INDEX('04_PRODUCTOS'!$E$2:$E$501,MATCH(F201,'04_PRODUCTOS'!$B$2:$B$501,0)))),"")</f>
        <v/>
      </c>
      <c r="I201" s="3" t="str">
        <f t="shared" si="21"/>
        <v/>
      </c>
      <c r="J201" s="3" t="str">
        <f>IFERROR(IF(INDEX('04_PRODUCTOS'!$D$2:$D$501,MATCH(F201,'04_PRODUCTOS'!$B$2:$B$501,0))="","",I201-(G201*INDEX('04_PRODUCTOS'!$D$2:$D$501,MATCH(F201,'04_PRODUCTOS'!$B$2:$B$501,0)))),"")</f>
        <v/>
      </c>
      <c r="K201" s="7" t="str">
        <f t="shared" si="22"/>
        <v/>
      </c>
      <c r="O201" t="str">
        <f>IF(D201="","",IFERROR(INDEX('03_CLIENTES'!$A$2:$A$501,MATCH(D201,'03_CLIENTES'!$B$2:$B$501,0)),""))</f>
        <v/>
      </c>
      <c r="P201" t="str">
        <f>IF(F201="","",IFERROR(INDEX('04_PRODUCTOS'!$A$2:$A$501,MATCH(F201,'04_PRODUCTOS'!$B$2:$B$501,0)),""))</f>
        <v/>
      </c>
      <c r="Q201" t="str">
        <f t="shared" si="23"/>
        <v/>
      </c>
    </row>
    <row r="202" spans="1:17" x14ac:dyDescent="0.25">
      <c r="A202" t="str">
        <f t="shared" si="18"/>
        <v/>
      </c>
      <c r="B202" s="4" t="str">
        <f t="shared" ca="1" si="19"/>
        <v/>
      </c>
      <c r="C202" s="5" t="str">
        <f t="shared" ca="1" si="20"/>
        <v/>
      </c>
      <c r="G202" s="6"/>
      <c r="H202" s="3" t="str">
        <f>IFERROR(IF(E202="Mayorista",IF(INDEX('04_PRODUCTOS'!$F$2:$F$501,MATCH(F202,'04_PRODUCTOS'!$B$2:$B$501,0))="",INDEX('04_PRODUCTOS'!$E$2:$E$501,MATCH(F202,'04_PRODUCTOS'!$B$2:$B$501,0)),INDEX('04_PRODUCTOS'!$F$2:$F$501,MATCH(F202,'04_PRODUCTOS'!$B$2:$B$501,0))),IF(E202="Especial",IF(INDEX('04_PRODUCTOS'!$G$2:$G$501,MATCH(F202,'04_PRODUCTOS'!$B$2:$B$501,0))="",INDEX('04_PRODUCTOS'!$E$2:$E$501,MATCH(F202,'04_PRODUCTOS'!$B$2:$B$501,0)),INDEX('04_PRODUCTOS'!$G$2:$G$501,MATCH(F202,'04_PRODUCTOS'!$B$2:$B$501,0))),INDEX('04_PRODUCTOS'!$E$2:$E$501,MATCH(F202,'04_PRODUCTOS'!$B$2:$B$501,0)))),"")</f>
        <v/>
      </c>
      <c r="I202" s="3" t="str">
        <f t="shared" si="21"/>
        <v/>
      </c>
      <c r="J202" s="3" t="str">
        <f>IFERROR(IF(INDEX('04_PRODUCTOS'!$D$2:$D$501,MATCH(F202,'04_PRODUCTOS'!$B$2:$B$501,0))="","",I202-(G202*INDEX('04_PRODUCTOS'!$D$2:$D$501,MATCH(F202,'04_PRODUCTOS'!$B$2:$B$501,0)))),"")</f>
        <v/>
      </c>
      <c r="K202" s="7" t="str">
        <f t="shared" si="22"/>
        <v/>
      </c>
      <c r="O202" t="str">
        <f>IF(D202="","",IFERROR(INDEX('03_CLIENTES'!$A$2:$A$501,MATCH(D202,'03_CLIENTES'!$B$2:$B$501,0)),""))</f>
        <v/>
      </c>
      <c r="P202" t="str">
        <f>IF(F202="","",IFERROR(INDEX('04_PRODUCTOS'!$A$2:$A$501,MATCH(F202,'04_PRODUCTOS'!$B$2:$B$501,0)),""))</f>
        <v/>
      </c>
      <c r="Q202" t="str">
        <f t="shared" si="23"/>
        <v/>
      </c>
    </row>
    <row r="203" spans="1:17" x14ac:dyDescent="0.25">
      <c r="A203" t="str">
        <f t="shared" si="18"/>
        <v/>
      </c>
      <c r="B203" s="4" t="str">
        <f t="shared" ca="1" si="19"/>
        <v/>
      </c>
      <c r="C203" s="5" t="str">
        <f t="shared" ca="1" si="20"/>
        <v/>
      </c>
      <c r="G203" s="6"/>
      <c r="H203" s="3" t="str">
        <f>IFERROR(IF(E203="Mayorista",IF(INDEX('04_PRODUCTOS'!$F$2:$F$501,MATCH(F203,'04_PRODUCTOS'!$B$2:$B$501,0))="",INDEX('04_PRODUCTOS'!$E$2:$E$501,MATCH(F203,'04_PRODUCTOS'!$B$2:$B$501,0)),INDEX('04_PRODUCTOS'!$F$2:$F$501,MATCH(F203,'04_PRODUCTOS'!$B$2:$B$501,0))),IF(E203="Especial",IF(INDEX('04_PRODUCTOS'!$G$2:$G$501,MATCH(F203,'04_PRODUCTOS'!$B$2:$B$501,0))="",INDEX('04_PRODUCTOS'!$E$2:$E$501,MATCH(F203,'04_PRODUCTOS'!$B$2:$B$501,0)),INDEX('04_PRODUCTOS'!$G$2:$G$501,MATCH(F203,'04_PRODUCTOS'!$B$2:$B$501,0))),INDEX('04_PRODUCTOS'!$E$2:$E$501,MATCH(F203,'04_PRODUCTOS'!$B$2:$B$501,0)))),"")</f>
        <v/>
      </c>
      <c r="I203" s="3" t="str">
        <f t="shared" si="21"/>
        <v/>
      </c>
      <c r="J203" s="3" t="str">
        <f>IFERROR(IF(INDEX('04_PRODUCTOS'!$D$2:$D$501,MATCH(F203,'04_PRODUCTOS'!$B$2:$B$501,0))="","",I203-(G203*INDEX('04_PRODUCTOS'!$D$2:$D$501,MATCH(F203,'04_PRODUCTOS'!$B$2:$B$501,0)))),"")</f>
        <v/>
      </c>
      <c r="K203" s="7" t="str">
        <f t="shared" si="22"/>
        <v/>
      </c>
      <c r="O203" t="str">
        <f>IF(D203="","",IFERROR(INDEX('03_CLIENTES'!$A$2:$A$501,MATCH(D203,'03_CLIENTES'!$B$2:$B$501,0)),""))</f>
        <v/>
      </c>
      <c r="P203" t="str">
        <f>IF(F203="","",IFERROR(INDEX('04_PRODUCTOS'!$A$2:$A$501,MATCH(F203,'04_PRODUCTOS'!$B$2:$B$501,0)),""))</f>
        <v/>
      </c>
      <c r="Q203" t="str">
        <f t="shared" si="23"/>
        <v/>
      </c>
    </row>
    <row r="204" spans="1:17" x14ac:dyDescent="0.25">
      <c r="A204" t="str">
        <f t="shared" si="18"/>
        <v/>
      </c>
      <c r="B204" s="4" t="str">
        <f t="shared" ca="1" si="19"/>
        <v/>
      </c>
      <c r="C204" s="5" t="str">
        <f t="shared" ca="1" si="20"/>
        <v/>
      </c>
      <c r="G204" s="6"/>
      <c r="H204" s="3" t="str">
        <f>IFERROR(IF(E204="Mayorista",IF(INDEX('04_PRODUCTOS'!$F$2:$F$501,MATCH(F204,'04_PRODUCTOS'!$B$2:$B$501,0))="",INDEX('04_PRODUCTOS'!$E$2:$E$501,MATCH(F204,'04_PRODUCTOS'!$B$2:$B$501,0)),INDEX('04_PRODUCTOS'!$F$2:$F$501,MATCH(F204,'04_PRODUCTOS'!$B$2:$B$501,0))),IF(E204="Especial",IF(INDEX('04_PRODUCTOS'!$G$2:$G$501,MATCH(F204,'04_PRODUCTOS'!$B$2:$B$501,0))="",INDEX('04_PRODUCTOS'!$E$2:$E$501,MATCH(F204,'04_PRODUCTOS'!$B$2:$B$501,0)),INDEX('04_PRODUCTOS'!$G$2:$G$501,MATCH(F204,'04_PRODUCTOS'!$B$2:$B$501,0))),INDEX('04_PRODUCTOS'!$E$2:$E$501,MATCH(F204,'04_PRODUCTOS'!$B$2:$B$501,0)))),"")</f>
        <v/>
      </c>
      <c r="I204" s="3" t="str">
        <f t="shared" si="21"/>
        <v/>
      </c>
      <c r="J204" s="3" t="str">
        <f>IFERROR(IF(INDEX('04_PRODUCTOS'!$D$2:$D$501,MATCH(F204,'04_PRODUCTOS'!$B$2:$B$501,0))="","",I204-(G204*INDEX('04_PRODUCTOS'!$D$2:$D$501,MATCH(F204,'04_PRODUCTOS'!$B$2:$B$501,0)))),"")</f>
        <v/>
      </c>
      <c r="K204" s="7" t="str">
        <f t="shared" si="22"/>
        <v/>
      </c>
      <c r="O204" t="str">
        <f>IF(D204="","",IFERROR(INDEX('03_CLIENTES'!$A$2:$A$501,MATCH(D204,'03_CLIENTES'!$B$2:$B$501,0)),""))</f>
        <v/>
      </c>
      <c r="P204" t="str">
        <f>IF(F204="","",IFERROR(INDEX('04_PRODUCTOS'!$A$2:$A$501,MATCH(F204,'04_PRODUCTOS'!$B$2:$B$501,0)),""))</f>
        <v/>
      </c>
      <c r="Q204" t="str">
        <f t="shared" si="23"/>
        <v/>
      </c>
    </row>
    <row r="205" spans="1:17" x14ac:dyDescent="0.25">
      <c r="A205" t="str">
        <f t="shared" si="18"/>
        <v/>
      </c>
      <c r="B205" s="4" t="str">
        <f t="shared" ca="1" si="19"/>
        <v/>
      </c>
      <c r="C205" s="5" t="str">
        <f t="shared" ca="1" si="20"/>
        <v/>
      </c>
      <c r="G205" s="6"/>
      <c r="H205" s="3" t="str">
        <f>IFERROR(IF(E205="Mayorista",IF(INDEX('04_PRODUCTOS'!$F$2:$F$501,MATCH(F205,'04_PRODUCTOS'!$B$2:$B$501,0))="",INDEX('04_PRODUCTOS'!$E$2:$E$501,MATCH(F205,'04_PRODUCTOS'!$B$2:$B$501,0)),INDEX('04_PRODUCTOS'!$F$2:$F$501,MATCH(F205,'04_PRODUCTOS'!$B$2:$B$501,0))),IF(E205="Especial",IF(INDEX('04_PRODUCTOS'!$G$2:$G$501,MATCH(F205,'04_PRODUCTOS'!$B$2:$B$501,0))="",INDEX('04_PRODUCTOS'!$E$2:$E$501,MATCH(F205,'04_PRODUCTOS'!$B$2:$B$501,0)),INDEX('04_PRODUCTOS'!$G$2:$G$501,MATCH(F205,'04_PRODUCTOS'!$B$2:$B$501,0))),INDEX('04_PRODUCTOS'!$E$2:$E$501,MATCH(F205,'04_PRODUCTOS'!$B$2:$B$501,0)))),"")</f>
        <v/>
      </c>
      <c r="I205" s="3" t="str">
        <f t="shared" si="21"/>
        <v/>
      </c>
      <c r="J205" s="3" t="str">
        <f>IFERROR(IF(INDEX('04_PRODUCTOS'!$D$2:$D$501,MATCH(F205,'04_PRODUCTOS'!$B$2:$B$501,0))="","",I205-(G205*INDEX('04_PRODUCTOS'!$D$2:$D$501,MATCH(F205,'04_PRODUCTOS'!$B$2:$B$501,0)))),"")</f>
        <v/>
      </c>
      <c r="K205" s="7" t="str">
        <f t="shared" si="22"/>
        <v/>
      </c>
      <c r="O205" t="str">
        <f>IF(D205="","",IFERROR(INDEX('03_CLIENTES'!$A$2:$A$501,MATCH(D205,'03_CLIENTES'!$B$2:$B$501,0)),""))</f>
        <v/>
      </c>
      <c r="P205" t="str">
        <f>IF(F205="","",IFERROR(INDEX('04_PRODUCTOS'!$A$2:$A$501,MATCH(F205,'04_PRODUCTOS'!$B$2:$B$501,0)),""))</f>
        <v/>
      </c>
      <c r="Q205" t="str">
        <f t="shared" si="23"/>
        <v/>
      </c>
    </row>
    <row r="206" spans="1:17" x14ac:dyDescent="0.25">
      <c r="A206" t="str">
        <f t="shared" si="18"/>
        <v/>
      </c>
      <c r="B206" s="4" t="str">
        <f t="shared" ca="1" si="19"/>
        <v/>
      </c>
      <c r="C206" s="5" t="str">
        <f t="shared" ca="1" si="20"/>
        <v/>
      </c>
      <c r="G206" s="6"/>
      <c r="H206" s="3" t="str">
        <f>IFERROR(IF(E206="Mayorista",IF(INDEX('04_PRODUCTOS'!$F$2:$F$501,MATCH(F206,'04_PRODUCTOS'!$B$2:$B$501,0))="",INDEX('04_PRODUCTOS'!$E$2:$E$501,MATCH(F206,'04_PRODUCTOS'!$B$2:$B$501,0)),INDEX('04_PRODUCTOS'!$F$2:$F$501,MATCH(F206,'04_PRODUCTOS'!$B$2:$B$501,0))),IF(E206="Especial",IF(INDEX('04_PRODUCTOS'!$G$2:$G$501,MATCH(F206,'04_PRODUCTOS'!$B$2:$B$501,0))="",INDEX('04_PRODUCTOS'!$E$2:$E$501,MATCH(F206,'04_PRODUCTOS'!$B$2:$B$501,0)),INDEX('04_PRODUCTOS'!$G$2:$G$501,MATCH(F206,'04_PRODUCTOS'!$B$2:$B$501,0))),INDEX('04_PRODUCTOS'!$E$2:$E$501,MATCH(F206,'04_PRODUCTOS'!$B$2:$B$501,0)))),"")</f>
        <v/>
      </c>
      <c r="I206" s="3" t="str">
        <f t="shared" si="21"/>
        <v/>
      </c>
      <c r="J206" s="3" t="str">
        <f>IFERROR(IF(INDEX('04_PRODUCTOS'!$D$2:$D$501,MATCH(F206,'04_PRODUCTOS'!$B$2:$B$501,0))="","",I206-(G206*INDEX('04_PRODUCTOS'!$D$2:$D$501,MATCH(F206,'04_PRODUCTOS'!$B$2:$B$501,0)))),"")</f>
        <v/>
      </c>
      <c r="K206" s="7" t="str">
        <f t="shared" si="22"/>
        <v/>
      </c>
      <c r="O206" t="str">
        <f>IF(D206="","",IFERROR(INDEX('03_CLIENTES'!$A$2:$A$501,MATCH(D206,'03_CLIENTES'!$B$2:$B$501,0)),""))</f>
        <v/>
      </c>
      <c r="P206" t="str">
        <f>IF(F206="","",IFERROR(INDEX('04_PRODUCTOS'!$A$2:$A$501,MATCH(F206,'04_PRODUCTOS'!$B$2:$B$501,0)),""))</f>
        <v/>
      </c>
      <c r="Q206" t="str">
        <f t="shared" si="23"/>
        <v/>
      </c>
    </row>
    <row r="207" spans="1:17" x14ac:dyDescent="0.25">
      <c r="A207" t="str">
        <f t="shared" si="18"/>
        <v/>
      </c>
      <c r="B207" s="4" t="str">
        <f t="shared" ca="1" si="19"/>
        <v/>
      </c>
      <c r="C207" s="5" t="str">
        <f t="shared" ca="1" si="20"/>
        <v/>
      </c>
      <c r="G207" s="6"/>
      <c r="H207" s="3" t="str">
        <f>IFERROR(IF(E207="Mayorista",IF(INDEX('04_PRODUCTOS'!$F$2:$F$501,MATCH(F207,'04_PRODUCTOS'!$B$2:$B$501,0))="",INDEX('04_PRODUCTOS'!$E$2:$E$501,MATCH(F207,'04_PRODUCTOS'!$B$2:$B$501,0)),INDEX('04_PRODUCTOS'!$F$2:$F$501,MATCH(F207,'04_PRODUCTOS'!$B$2:$B$501,0))),IF(E207="Especial",IF(INDEX('04_PRODUCTOS'!$G$2:$G$501,MATCH(F207,'04_PRODUCTOS'!$B$2:$B$501,0))="",INDEX('04_PRODUCTOS'!$E$2:$E$501,MATCH(F207,'04_PRODUCTOS'!$B$2:$B$501,0)),INDEX('04_PRODUCTOS'!$G$2:$G$501,MATCH(F207,'04_PRODUCTOS'!$B$2:$B$501,0))),INDEX('04_PRODUCTOS'!$E$2:$E$501,MATCH(F207,'04_PRODUCTOS'!$B$2:$B$501,0)))),"")</f>
        <v/>
      </c>
      <c r="I207" s="3" t="str">
        <f t="shared" si="21"/>
        <v/>
      </c>
      <c r="J207" s="3" t="str">
        <f>IFERROR(IF(INDEX('04_PRODUCTOS'!$D$2:$D$501,MATCH(F207,'04_PRODUCTOS'!$B$2:$B$501,0))="","",I207-(G207*INDEX('04_PRODUCTOS'!$D$2:$D$501,MATCH(F207,'04_PRODUCTOS'!$B$2:$B$501,0)))),"")</f>
        <v/>
      </c>
      <c r="K207" s="7" t="str">
        <f t="shared" si="22"/>
        <v/>
      </c>
      <c r="O207" t="str">
        <f>IF(D207="","",IFERROR(INDEX('03_CLIENTES'!$A$2:$A$501,MATCH(D207,'03_CLIENTES'!$B$2:$B$501,0)),""))</f>
        <v/>
      </c>
      <c r="P207" t="str">
        <f>IF(F207="","",IFERROR(INDEX('04_PRODUCTOS'!$A$2:$A$501,MATCH(F207,'04_PRODUCTOS'!$B$2:$B$501,0)),""))</f>
        <v/>
      </c>
      <c r="Q207" t="str">
        <f t="shared" si="23"/>
        <v/>
      </c>
    </row>
    <row r="208" spans="1:17" x14ac:dyDescent="0.25">
      <c r="A208" t="str">
        <f t="shared" si="18"/>
        <v/>
      </c>
      <c r="B208" s="4" t="str">
        <f t="shared" ca="1" si="19"/>
        <v/>
      </c>
      <c r="C208" s="5" t="str">
        <f t="shared" ca="1" si="20"/>
        <v/>
      </c>
      <c r="G208" s="6"/>
      <c r="H208" s="3" t="str">
        <f>IFERROR(IF(E208="Mayorista",IF(INDEX('04_PRODUCTOS'!$F$2:$F$501,MATCH(F208,'04_PRODUCTOS'!$B$2:$B$501,0))="",INDEX('04_PRODUCTOS'!$E$2:$E$501,MATCH(F208,'04_PRODUCTOS'!$B$2:$B$501,0)),INDEX('04_PRODUCTOS'!$F$2:$F$501,MATCH(F208,'04_PRODUCTOS'!$B$2:$B$501,0))),IF(E208="Especial",IF(INDEX('04_PRODUCTOS'!$G$2:$G$501,MATCH(F208,'04_PRODUCTOS'!$B$2:$B$501,0))="",INDEX('04_PRODUCTOS'!$E$2:$E$501,MATCH(F208,'04_PRODUCTOS'!$B$2:$B$501,0)),INDEX('04_PRODUCTOS'!$G$2:$G$501,MATCH(F208,'04_PRODUCTOS'!$B$2:$B$501,0))),INDEX('04_PRODUCTOS'!$E$2:$E$501,MATCH(F208,'04_PRODUCTOS'!$B$2:$B$501,0)))),"")</f>
        <v/>
      </c>
      <c r="I208" s="3" t="str">
        <f t="shared" si="21"/>
        <v/>
      </c>
      <c r="J208" s="3" t="str">
        <f>IFERROR(IF(INDEX('04_PRODUCTOS'!$D$2:$D$501,MATCH(F208,'04_PRODUCTOS'!$B$2:$B$501,0))="","",I208-(G208*INDEX('04_PRODUCTOS'!$D$2:$D$501,MATCH(F208,'04_PRODUCTOS'!$B$2:$B$501,0)))),"")</f>
        <v/>
      </c>
      <c r="K208" s="7" t="str">
        <f t="shared" si="22"/>
        <v/>
      </c>
      <c r="O208" t="str">
        <f>IF(D208="","",IFERROR(INDEX('03_CLIENTES'!$A$2:$A$501,MATCH(D208,'03_CLIENTES'!$B$2:$B$501,0)),""))</f>
        <v/>
      </c>
      <c r="P208" t="str">
        <f>IF(F208="","",IFERROR(INDEX('04_PRODUCTOS'!$A$2:$A$501,MATCH(F208,'04_PRODUCTOS'!$B$2:$B$501,0)),""))</f>
        <v/>
      </c>
      <c r="Q208" t="str">
        <f t="shared" si="23"/>
        <v/>
      </c>
    </row>
    <row r="209" spans="1:17" x14ac:dyDescent="0.25">
      <c r="A209" t="str">
        <f t="shared" si="18"/>
        <v/>
      </c>
      <c r="B209" s="4" t="str">
        <f t="shared" ca="1" si="19"/>
        <v/>
      </c>
      <c r="C209" s="5" t="str">
        <f t="shared" ca="1" si="20"/>
        <v/>
      </c>
      <c r="G209" s="6"/>
      <c r="H209" s="3" t="str">
        <f>IFERROR(IF(E209="Mayorista",IF(INDEX('04_PRODUCTOS'!$F$2:$F$501,MATCH(F209,'04_PRODUCTOS'!$B$2:$B$501,0))="",INDEX('04_PRODUCTOS'!$E$2:$E$501,MATCH(F209,'04_PRODUCTOS'!$B$2:$B$501,0)),INDEX('04_PRODUCTOS'!$F$2:$F$501,MATCH(F209,'04_PRODUCTOS'!$B$2:$B$501,0))),IF(E209="Especial",IF(INDEX('04_PRODUCTOS'!$G$2:$G$501,MATCH(F209,'04_PRODUCTOS'!$B$2:$B$501,0))="",INDEX('04_PRODUCTOS'!$E$2:$E$501,MATCH(F209,'04_PRODUCTOS'!$B$2:$B$501,0)),INDEX('04_PRODUCTOS'!$G$2:$G$501,MATCH(F209,'04_PRODUCTOS'!$B$2:$B$501,0))),INDEX('04_PRODUCTOS'!$E$2:$E$501,MATCH(F209,'04_PRODUCTOS'!$B$2:$B$501,0)))),"")</f>
        <v/>
      </c>
      <c r="I209" s="3" t="str">
        <f t="shared" si="21"/>
        <v/>
      </c>
      <c r="J209" s="3" t="str">
        <f>IFERROR(IF(INDEX('04_PRODUCTOS'!$D$2:$D$501,MATCH(F209,'04_PRODUCTOS'!$B$2:$B$501,0))="","",I209-(G209*INDEX('04_PRODUCTOS'!$D$2:$D$501,MATCH(F209,'04_PRODUCTOS'!$B$2:$B$501,0)))),"")</f>
        <v/>
      </c>
      <c r="K209" s="7" t="str">
        <f t="shared" si="22"/>
        <v/>
      </c>
      <c r="O209" t="str">
        <f>IF(D209="","",IFERROR(INDEX('03_CLIENTES'!$A$2:$A$501,MATCH(D209,'03_CLIENTES'!$B$2:$B$501,0)),""))</f>
        <v/>
      </c>
      <c r="P209" t="str">
        <f>IF(F209="","",IFERROR(INDEX('04_PRODUCTOS'!$A$2:$A$501,MATCH(F209,'04_PRODUCTOS'!$B$2:$B$501,0)),""))</f>
        <v/>
      </c>
      <c r="Q209" t="str">
        <f t="shared" si="23"/>
        <v/>
      </c>
    </row>
    <row r="210" spans="1:17" x14ac:dyDescent="0.25">
      <c r="A210" t="str">
        <f t="shared" si="18"/>
        <v/>
      </c>
      <c r="B210" s="4" t="str">
        <f t="shared" ca="1" si="19"/>
        <v/>
      </c>
      <c r="C210" s="5" t="str">
        <f t="shared" ca="1" si="20"/>
        <v/>
      </c>
      <c r="G210" s="6"/>
      <c r="H210" s="3" t="str">
        <f>IFERROR(IF(E210="Mayorista",IF(INDEX('04_PRODUCTOS'!$F$2:$F$501,MATCH(F210,'04_PRODUCTOS'!$B$2:$B$501,0))="",INDEX('04_PRODUCTOS'!$E$2:$E$501,MATCH(F210,'04_PRODUCTOS'!$B$2:$B$501,0)),INDEX('04_PRODUCTOS'!$F$2:$F$501,MATCH(F210,'04_PRODUCTOS'!$B$2:$B$501,0))),IF(E210="Especial",IF(INDEX('04_PRODUCTOS'!$G$2:$G$501,MATCH(F210,'04_PRODUCTOS'!$B$2:$B$501,0))="",INDEX('04_PRODUCTOS'!$E$2:$E$501,MATCH(F210,'04_PRODUCTOS'!$B$2:$B$501,0)),INDEX('04_PRODUCTOS'!$G$2:$G$501,MATCH(F210,'04_PRODUCTOS'!$B$2:$B$501,0))),INDEX('04_PRODUCTOS'!$E$2:$E$501,MATCH(F210,'04_PRODUCTOS'!$B$2:$B$501,0)))),"")</f>
        <v/>
      </c>
      <c r="I210" s="3" t="str">
        <f t="shared" si="21"/>
        <v/>
      </c>
      <c r="J210" s="3" t="str">
        <f>IFERROR(IF(INDEX('04_PRODUCTOS'!$D$2:$D$501,MATCH(F210,'04_PRODUCTOS'!$B$2:$B$501,0))="","",I210-(G210*INDEX('04_PRODUCTOS'!$D$2:$D$501,MATCH(F210,'04_PRODUCTOS'!$B$2:$B$501,0)))),"")</f>
        <v/>
      </c>
      <c r="K210" s="7" t="str">
        <f t="shared" si="22"/>
        <v/>
      </c>
      <c r="O210" t="str">
        <f>IF(D210="","",IFERROR(INDEX('03_CLIENTES'!$A$2:$A$501,MATCH(D210,'03_CLIENTES'!$B$2:$B$501,0)),""))</f>
        <v/>
      </c>
      <c r="P210" t="str">
        <f>IF(F210="","",IFERROR(INDEX('04_PRODUCTOS'!$A$2:$A$501,MATCH(F210,'04_PRODUCTOS'!$B$2:$B$501,0)),""))</f>
        <v/>
      </c>
      <c r="Q210" t="str">
        <f t="shared" si="23"/>
        <v/>
      </c>
    </row>
    <row r="211" spans="1:17" x14ac:dyDescent="0.25">
      <c r="A211" t="str">
        <f t="shared" si="18"/>
        <v/>
      </c>
      <c r="B211" s="4" t="str">
        <f t="shared" ca="1" si="19"/>
        <v/>
      </c>
      <c r="C211" s="5" t="str">
        <f t="shared" ca="1" si="20"/>
        <v/>
      </c>
      <c r="G211" s="6"/>
      <c r="H211" s="3" t="str">
        <f>IFERROR(IF(E211="Mayorista",IF(INDEX('04_PRODUCTOS'!$F$2:$F$501,MATCH(F211,'04_PRODUCTOS'!$B$2:$B$501,0))="",INDEX('04_PRODUCTOS'!$E$2:$E$501,MATCH(F211,'04_PRODUCTOS'!$B$2:$B$501,0)),INDEX('04_PRODUCTOS'!$F$2:$F$501,MATCH(F211,'04_PRODUCTOS'!$B$2:$B$501,0))),IF(E211="Especial",IF(INDEX('04_PRODUCTOS'!$G$2:$G$501,MATCH(F211,'04_PRODUCTOS'!$B$2:$B$501,0))="",INDEX('04_PRODUCTOS'!$E$2:$E$501,MATCH(F211,'04_PRODUCTOS'!$B$2:$B$501,0)),INDEX('04_PRODUCTOS'!$G$2:$G$501,MATCH(F211,'04_PRODUCTOS'!$B$2:$B$501,0))),INDEX('04_PRODUCTOS'!$E$2:$E$501,MATCH(F211,'04_PRODUCTOS'!$B$2:$B$501,0)))),"")</f>
        <v/>
      </c>
      <c r="I211" s="3" t="str">
        <f t="shared" si="21"/>
        <v/>
      </c>
      <c r="J211" s="3" t="str">
        <f>IFERROR(IF(INDEX('04_PRODUCTOS'!$D$2:$D$501,MATCH(F211,'04_PRODUCTOS'!$B$2:$B$501,0))="","",I211-(G211*INDEX('04_PRODUCTOS'!$D$2:$D$501,MATCH(F211,'04_PRODUCTOS'!$B$2:$B$501,0)))),"")</f>
        <v/>
      </c>
      <c r="K211" s="7" t="str">
        <f t="shared" si="22"/>
        <v/>
      </c>
      <c r="O211" t="str">
        <f>IF(D211="","",IFERROR(INDEX('03_CLIENTES'!$A$2:$A$501,MATCH(D211,'03_CLIENTES'!$B$2:$B$501,0)),""))</f>
        <v/>
      </c>
      <c r="P211" t="str">
        <f>IF(F211="","",IFERROR(INDEX('04_PRODUCTOS'!$A$2:$A$501,MATCH(F211,'04_PRODUCTOS'!$B$2:$B$501,0)),""))</f>
        <v/>
      </c>
      <c r="Q211" t="str">
        <f t="shared" si="23"/>
        <v/>
      </c>
    </row>
    <row r="212" spans="1:17" x14ac:dyDescent="0.25">
      <c r="A212" t="str">
        <f t="shared" si="18"/>
        <v/>
      </c>
      <c r="B212" s="4" t="str">
        <f t="shared" ca="1" si="19"/>
        <v/>
      </c>
      <c r="C212" s="5" t="str">
        <f t="shared" ca="1" si="20"/>
        <v/>
      </c>
      <c r="G212" s="6"/>
      <c r="H212" s="3" t="str">
        <f>IFERROR(IF(E212="Mayorista",IF(INDEX('04_PRODUCTOS'!$F$2:$F$501,MATCH(F212,'04_PRODUCTOS'!$B$2:$B$501,0))="",INDEX('04_PRODUCTOS'!$E$2:$E$501,MATCH(F212,'04_PRODUCTOS'!$B$2:$B$501,0)),INDEX('04_PRODUCTOS'!$F$2:$F$501,MATCH(F212,'04_PRODUCTOS'!$B$2:$B$501,0))),IF(E212="Especial",IF(INDEX('04_PRODUCTOS'!$G$2:$G$501,MATCH(F212,'04_PRODUCTOS'!$B$2:$B$501,0))="",INDEX('04_PRODUCTOS'!$E$2:$E$501,MATCH(F212,'04_PRODUCTOS'!$B$2:$B$501,0)),INDEX('04_PRODUCTOS'!$G$2:$G$501,MATCH(F212,'04_PRODUCTOS'!$B$2:$B$501,0))),INDEX('04_PRODUCTOS'!$E$2:$E$501,MATCH(F212,'04_PRODUCTOS'!$B$2:$B$501,0)))),"")</f>
        <v/>
      </c>
      <c r="I212" s="3" t="str">
        <f t="shared" si="21"/>
        <v/>
      </c>
      <c r="J212" s="3" t="str">
        <f>IFERROR(IF(INDEX('04_PRODUCTOS'!$D$2:$D$501,MATCH(F212,'04_PRODUCTOS'!$B$2:$B$501,0))="","",I212-(G212*INDEX('04_PRODUCTOS'!$D$2:$D$501,MATCH(F212,'04_PRODUCTOS'!$B$2:$B$501,0)))),"")</f>
        <v/>
      </c>
      <c r="K212" s="7" t="str">
        <f t="shared" si="22"/>
        <v/>
      </c>
      <c r="O212" t="str">
        <f>IF(D212="","",IFERROR(INDEX('03_CLIENTES'!$A$2:$A$501,MATCH(D212,'03_CLIENTES'!$B$2:$B$501,0)),""))</f>
        <v/>
      </c>
      <c r="P212" t="str">
        <f>IF(F212="","",IFERROR(INDEX('04_PRODUCTOS'!$A$2:$A$501,MATCH(F212,'04_PRODUCTOS'!$B$2:$B$501,0)),""))</f>
        <v/>
      </c>
      <c r="Q212" t="str">
        <f t="shared" si="23"/>
        <v/>
      </c>
    </row>
    <row r="213" spans="1:17" x14ac:dyDescent="0.25">
      <c r="A213" t="str">
        <f t="shared" si="18"/>
        <v/>
      </c>
      <c r="B213" s="4" t="str">
        <f t="shared" ca="1" si="19"/>
        <v/>
      </c>
      <c r="C213" s="5" t="str">
        <f t="shared" ca="1" si="20"/>
        <v/>
      </c>
      <c r="G213" s="6"/>
      <c r="H213" s="3" t="str">
        <f>IFERROR(IF(E213="Mayorista",IF(INDEX('04_PRODUCTOS'!$F$2:$F$501,MATCH(F213,'04_PRODUCTOS'!$B$2:$B$501,0))="",INDEX('04_PRODUCTOS'!$E$2:$E$501,MATCH(F213,'04_PRODUCTOS'!$B$2:$B$501,0)),INDEX('04_PRODUCTOS'!$F$2:$F$501,MATCH(F213,'04_PRODUCTOS'!$B$2:$B$501,0))),IF(E213="Especial",IF(INDEX('04_PRODUCTOS'!$G$2:$G$501,MATCH(F213,'04_PRODUCTOS'!$B$2:$B$501,0))="",INDEX('04_PRODUCTOS'!$E$2:$E$501,MATCH(F213,'04_PRODUCTOS'!$B$2:$B$501,0)),INDEX('04_PRODUCTOS'!$G$2:$G$501,MATCH(F213,'04_PRODUCTOS'!$B$2:$B$501,0))),INDEX('04_PRODUCTOS'!$E$2:$E$501,MATCH(F213,'04_PRODUCTOS'!$B$2:$B$501,0)))),"")</f>
        <v/>
      </c>
      <c r="I213" s="3" t="str">
        <f t="shared" si="21"/>
        <v/>
      </c>
      <c r="J213" s="3" t="str">
        <f>IFERROR(IF(INDEX('04_PRODUCTOS'!$D$2:$D$501,MATCH(F213,'04_PRODUCTOS'!$B$2:$B$501,0))="","",I213-(G213*INDEX('04_PRODUCTOS'!$D$2:$D$501,MATCH(F213,'04_PRODUCTOS'!$B$2:$B$501,0)))),"")</f>
        <v/>
      </c>
      <c r="K213" s="7" t="str">
        <f t="shared" si="22"/>
        <v/>
      </c>
      <c r="O213" t="str">
        <f>IF(D213="","",IFERROR(INDEX('03_CLIENTES'!$A$2:$A$501,MATCH(D213,'03_CLIENTES'!$B$2:$B$501,0)),""))</f>
        <v/>
      </c>
      <c r="P213" t="str">
        <f>IF(F213="","",IFERROR(INDEX('04_PRODUCTOS'!$A$2:$A$501,MATCH(F213,'04_PRODUCTOS'!$B$2:$B$501,0)),""))</f>
        <v/>
      </c>
      <c r="Q213" t="str">
        <f t="shared" si="23"/>
        <v/>
      </c>
    </row>
    <row r="214" spans="1:17" x14ac:dyDescent="0.25">
      <c r="A214" t="str">
        <f t="shared" si="18"/>
        <v/>
      </c>
      <c r="B214" s="4" t="str">
        <f t="shared" ca="1" si="19"/>
        <v/>
      </c>
      <c r="C214" s="5" t="str">
        <f t="shared" ca="1" si="20"/>
        <v/>
      </c>
      <c r="G214" s="6"/>
      <c r="H214" s="3" t="str">
        <f>IFERROR(IF(E214="Mayorista",IF(INDEX('04_PRODUCTOS'!$F$2:$F$501,MATCH(F214,'04_PRODUCTOS'!$B$2:$B$501,0))="",INDEX('04_PRODUCTOS'!$E$2:$E$501,MATCH(F214,'04_PRODUCTOS'!$B$2:$B$501,0)),INDEX('04_PRODUCTOS'!$F$2:$F$501,MATCH(F214,'04_PRODUCTOS'!$B$2:$B$501,0))),IF(E214="Especial",IF(INDEX('04_PRODUCTOS'!$G$2:$G$501,MATCH(F214,'04_PRODUCTOS'!$B$2:$B$501,0))="",INDEX('04_PRODUCTOS'!$E$2:$E$501,MATCH(F214,'04_PRODUCTOS'!$B$2:$B$501,0)),INDEX('04_PRODUCTOS'!$G$2:$G$501,MATCH(F214,'04_PRODUCTOS'!$B$2:$B$501,0))),INDEX('04_PRODUCTOS'!$E$2:$E$501,MATCH(F214,'04_PRODUCTOS'!$B$2:$B$501,0)))),"")</f>
        <v/>
      </c>
      <c r="I214" s="3" t="str">
        <f t="shared" si="21"/>
        <v/>
      </c>
      <c r="J214" s="3" t="str">
        <f>IFERROR(IF(INDEX('04_PRODUCTOS'!$D$2:$D$501,MATCH(F214,'04_PRODUCTOS'!$B$2:$B$501,0))="","",I214-(G214*INDEX('04_PRODUCTOS'!$D$2:$D$501,MATCH(F214,'04_PRODUCTOS'!$B$2:$B$501,0)))),"")</f>
        <v/>
      </c>
      <c r="K214" s="7" t="str">
        <f t="shared" si="22"/>
        <v/>
      </c>
      <c r="O214" t="str">
        <f>IF(D214="","",IFERROR(INDEX('03_CLIENTES'!$A$2:$A$501,MATCH(D214,'03_CLIENTES'!$B$2:$B$501,0)),""))</f>
        <v/>
      </c>
      <c r="P214" t="str">
        <f>IF(F214="","",IFERROR(INDEX('04_PRODUCTOS'!$A$2:$A$501,MATCH(F214,'04_PRODUCTOS'!$B$2:$B$501,0)),""))</f>
        <v/>
      </c>
      <c r="Q214" t="str">
        <f t="shared" si="23"/>
        <v/>
      </c>
    </row>
    <row r="215" spans="1:17" x14ac:dyDescent="0.25">
      <c r="A215" t="str">
        <f t="shared" si="18"/>
        <v/>
      </c>
      <c r="B215" s="4" t="str">
        <f t="shared" ca="1" si="19"/>
        <v/>
      </c>
      <c r="C215" s="5" t="str">
        <f t="shared" ca="1" si="20"/>
        <v/>
      </c>
      <c r="G215" s="6"/>
      <c r="H215" s="3" t="str">
        <f>IFERROR(IF(E215="Mayorista",IF(INDEX('04_PRODUCTOS'!$F$2:$F$501,MATCH(F215,'04_PRODUCTOS'!$B$2:$B$501,0))="",INDEX('04_PRODUCTOS'!$E$2:$E$501,MATCH(F215,'04_PRODUCTOS'!$B$2:$B$501,0)),INDEX('04_PRODUCTOS'!$F$2:$F$501,MATCH(F215,'04_PRODUCTOS'!$B$2:$B$501,0))),IF(E215="Especial",IF(INDEX('04_PRODUCTOS'!$G$2:$G$501,MATCH(F215,'04_PRODUCTOS'!$B$2:$B$501,0))="",INDEX('04_PRODUCTOS'!$E$2:$E$501,MATCH(F215,'04_PRODUCTOS'!$B$2:$B$501,0)),INDEX('04_PRODUCTOS'!$G$2:$G$501,MATCH(F215,'04_PRODUCTOS'!$B$2:$B$501,0))),INDEX('04_PRODUCTOS'!$E$2:$E$501,MATCH(F215,'04_PRODUCTOS'!$B$2:$B$501,0)))),"")</f>
        <v/>
      </c>
      <c r="I215" s="3" t="str">
        <f t="shared" si="21"/>
        <v/>
      </c>
      <c r="J215" s="3" t="str">
        <f>IFERROR(IF(INDEX('04_PRODUCTOS'!$D$2:$D$501,MATCH(F215,'04_PRODUCTOS'!$B$2:$B$501,0))="","",I215-(G215*INDEX('04_PRODUCTOS'!$D$2:$D$501,MATCH(F215,'04_PRODUCTOS'!$B$2:$B$501,0)))),"")</f>
        <v/>
      </c>
      <c r="K215" s="7" t="str">
        <f t="shared" si="22"/>
        <v/>
      </c>
      <c r="O215" t="str">
        <f>IF(D215="","",IFERROR(INDEX('03_CLIENTES'!$A$2:$A$501,MATCH(D215,'03_CLIENTES'!$B$2:$B$501,0)),""))</f>
        <v/>
      </c>
      <c r="P215" t="str">
        <f>IF(F215="","",IFERROR(INDEX('04_PRODUCTOS'!$A$2:$A$501,MATCH(F215,'04_PRODUCTOS'!$B$2:$B$501,0)),""))</f>
        <v/>
      </c>
      <c r="Q215" t="str">
        <f t="shared" si="23"/>
        <v/>
      </c>
    </row>
    <row r="216" spans="1:17" x14ac:dyDescent="0.25">
      <c r="A216" t="str">
        <f t="shared" si="18"/>
        <v/>
      </c>
      <c r="B216" s="4" t="str">
        <f t="shared" ca="1" si="19"/>
        <v/>
      </c>
      <c r="C216" s="5" t="str">
        <f t="shared" ca="1" si="20"/>
        <v/>
      </c>
      <c r="G216" s="6"/>
      <c r="H216" s="3" t="str">
        <f>IFERROR(IF(E216="Mayorista",IF(INDEX('04_PRODUCTOS'!$F$2:$F$501,MATCH(F216,'04_PRODUCTOS'!$B$2:$B$501,0))="",INDEX('04_PRODUCTOS'!$E$2:$E$501,MATCH(F216,'04_PRODUCTOS'!$B$2:$B$501,0)),INDEX('04_PRODUCTOS'!$F$2:$F$501,MATCH(F216,'04_PRODUCTOS'!$B$2:$B$501,0))),IF(E216="Especial",IF(INDEX('04_PRODUCTOS'!$G$2:$G$501,MATCH(F216,'04_PRODUCTOS'!$B$2:$B$501,0))="",INDEX('04_PRODUCTOS'!$E$2:$E$501,MATCH(F216,'04_PRODUCTOS'!$B$2:$B$501,0)),INDEX('04_PRODUCTOS'!$G$2:$G$501,MATCH(F216,'04_PRODUCTOS'!$B$2:$B$501,0))),INDEX('04_PRODUCTOS'!$E$2:$E$501,MATCH(F216,'04_PRODUCTOS'!$B$2:$B$501,0)))),"")</f>
        <v/>
      </c>
      <c r="I216" s="3" t="str">
        <f t="shared" si="21"/>
        <v/>
      </c>
      <c r="J216" s="3" t="str">
        <f>IFERROR(IF(INDEX('04_PRODUCTOS'!$D$2:$D$501,MATCH(F216,'04_PRODUCTOS'!$B$2:$B$501,0))="","",I216-(G216*INDEX('04_PRODUCTOS'!$D$2:$D$501,MATCH(F216,'04_PRODUCTOS'!$B$2:$B$501,0)))),"")</f>
        <v/>
      </c>
      <c r="K216" s="7" t="str">
        <f t="shared" si="22"/>
        <v/>
      </c>
      <c r="O216" t="str">
        <f>IF(D216="","",IFERROR(INDEX('03_CLIENTES'!$A$2:$A$501,MATCH(D216,'03_CLIENTES'!$B$2:$B$501,0)),""))</f>
        <v/>
      </c>
      <c r="P216" t="str">
        <f>IF(F216="","",IFERROR(INDEX('04_PRODUCTOS'!$A$2:$A$501,MATCH(F216,'04_PRODUCTOS'!$B$2:$B$501,0)),""))</f>
        <v/>
      </c>
      <c r="Q216" t="str">
        <f t="shared" si="23"/>
        <v/>
      </c>
    </row>
    <row r="217" spans="1:17" x14ac:dyDescent="0.25">
      <c r="A217" t="str">
        <f t="shared" si="18"/>
        <v/>
      </c>
      <c r="B217" s="4" t="str">
        <f t="shared" ca="1" si="19"/>
        <v/>
      </c>
      <c r="C217" s="5" t="str">
        <f t="shared" ca="1" si="20"/>
        <v/>
      </c>
      <c r="G217" s="6"/>
      <c r="H217" s="3" t="str">
        <f>IFERROR(IF(E217="Mayorista",IF(INDEX('04_PRODUCTOS'!$F$2:$F$501,MATCH(F217,'04_PRODUCTOS'!$B$2:$B$501,0))="",INDEX('04_PRODUCTOS'!$E$2:$E$501,MATCH(F217,'04_PRODUCTOS'!$B$2:$B$501,0)),INDEX('04_PRODUCTOS'!$F$2:$F$501,MATCH(F217,'04_PRODUCTOS'!$B$2:$B$501,0))),IF(E217="Especial",IF(INDEX('04_PRODUCTOS'!$G$2:$G$501,MATCH(F217,'04_PRODUCTOS'!$B$2:$B$501,0))="",INDEX('04_PRODUCTOS'!$E$2:$E$501,MATCH(F217,'04_PRODUCTOS'!$B$2:$B$501,0)),INDEX('04_PRODUCTOS'!$G$2:$G$501,MATCH(F217,'04_PRODUCTOS'!$B$2:$B$501,0))),INDEX('04_PRODUCTOS'!$E$2:$E$501,MATCH(F217,'04_PRODUCTOS'!$B$2:$B$501,0)))),"")</f>
        <v/>
      </c>
      <c r="I217" s="3" t="str">
        <f t="shared" si="21"/>
        <v/>
      </c>
      <c r="J217" s="3" t="str">
        <f>IFERROR(IF(INDEX('04_PRODUCTOS'!$D$2:$D$501,MATCH(F217,'04_PRODUCTOS'!$B$2:$B$501,0))="","",I217-(G217*INDEX('04_PRODUCTOS'!$D$2:$D$501,MATCH(F217,'04_PRODUCTOS'!$B$2:$B$501,0)))),"")</f>
        <v/>
      </c>
      <c r="K217" s="7" t="str">
        <f t="shared" si="22"/>
        <v/>
      </c>
      <c r="O217" t="str">
        <f>IF(D217="","",IFERROR(INDEX('03_CLIENTES'!$A$2:$A$501,MATCH(D217,'03_CLIENTES'!$B$2:$B$501,0)),""))</f>
        <v/>
      </c>
      <c r="P217" t="str">
        <f>IF(F217="","",IFERROR(INDEX('04_PRODUCTOS'!$A$2:$A$501,MATCH(F217,'04_PRODUCTOS'!$B$2:$B$501,0)),""))</f>
        <v/>
      </c>
      <c r="Q217" t="str">
        <f t="shared" si="23"/>
        <v/>
      </c>
    </row>
    <row r="218" spans="1:17" x14ac:dyDescent="0.25">
      <c r="A218" t="str">
        <f t="shared" si="18"/>
        <v/>
      </c>
      <c r="B218" s="4" t="str">
        <f t="shared" ca="1" si="19"/>
        <v/>
      </c>
      <c r="C218" s="5" t="str">
        <f t="shared" ca="1" si="20"/>
        <v/>
      </c>
      <c r="G218" s="6"/>
      <c r="H218" s="3" t="str">
        <f>IFERROR(IF(E218="Mayorista",IF(INDEX('04_PRODUCTOS'!$F$2:$F$501,MATCH(F218,'04_PRODUCTOS'!$B$2:$B$501,0))="",INDEX('04_PRODUCTOS'!$E$2:$E$501,MATCH(F218,'04_PRODUCTOS'!$B$2:$B$501,0)),INDEX('04_PRODUCTOS'!$F$2:$F$501,MATCH(F218,'04_PRODUCTOS'!$B$2:$B$501,0))),IF(E218="Especial",IF(INDEX('04_PRODUCTOS'!$G$2:$G$501,MATCH(F218,'04_PRODUCTOS'!$B$2:$B$501,0))="",INDEX('04_PRODUCTOS'!$E$2:$E$501,MATCH(F218,'04_PRODUCTOS'!$B$2:$B$501,0)),INDEX('04_PRODUCTOS'!$G$2:$G$501,MATCH(F218,'04_PRODUCTOS'!$B$2:$B$501,0))),INDEX('04_PRODUCTOS'!$E$2:$E$501,MATCH(F218,'04_PRODUCTOS'!$B$2:$B$501,0)))),"")</f>
        <v/>
      </c>
      <c r="I218" s="3" t="str">
        <f t="shared" si="21"/>
        <v/>
      </c>
      <c r="J218" s="3" t="str">
        <f>IFERROR(IF(INDEX('04_PRODUCTOS'!$D$2:$D$501,MATCH(F218,'04_PRODUCTOS'!$B$2:$B$501,0))="","",I218-(G218*INDEX('04_PRODUCTOS'!$D$2:$D$501,MATCH(F218,'04_PRODUCTOS'!$B$2:$B$501,0)))),"")</f>
        <v/>
      </c>
      <c r="K218" s="7" t="str">
        <f t="shared" si="22"/>
        <v/>
      </c>
      <c r="O218" t="str">
        <f>IF(D218="","",IFERROR(INDEX('03_CLIENTES'!$A$2:$A$501,MATCH(D218,'03_CLIENTES'!$B$2:$B$501,0)),""))</f>
        <v/>
      </c>
      <c r="P218" t="str">
        <f>IF(F218="","",IFERROR(INDEX('04_PRODUCTOS'!$A$2:$A$501,MATCH(F218,'04_PRODUCTOS'!$B$2:$B$501,0)),""))</f>
        <v/>
      </c>
      <c r="Q218" t="str">
        <f t="shared" si="23"/>
        <v/>
      </c>
    </row>
    <row r="219" spans="1:17" x14ac:dyDescent="0.25">
      <c r="A219" t="str">
        <f t="shared" si="18"/>
        <v/>
      </c>
      <c r="B219" s="4" t="str">
        <f t="shared" ca="1" si="19"/>
        <v/>
      </c>
      <c r="C219" s="5" t="str">
        <f t="shared" ca="1" si="20"/>
        <v/>
      </c>
      <c r="G219" s="6"/>
      <c r="H219" s="3" t="str">
        <f>IFERROR(IF(E219="Mayorista",IF(INDEX('04_PRODUCTOS'!$F$2:$F$501,MATCH(F219,'04_PRODUCTOS'!$B$2:$B$501,0))="",INDEX('04_PRODUCTOS'!$E$2:$E$501,MATCH(F219,'04_PRODUCTOS'!$B$2:$B$501,0)),INDEX('04_PRODUCTOS'!$F$2:$F$501,MATCH(F219,'04_PRODUCTOS'!$B$2:$B$501,0))),IF(E219="Especial",IF(INDEX('04_PRODUCTOS'!$G$2:$G$501,MATCH(F219,'04_PRODUCTOS'!$B$2:$B$501,0))="",INDEX('04_PRODUCTOS'!$E$2:$E$501,MATCH(F219,'04_PRODUCTOS'!$B$2:$B$501,0)),INDEX('04_PRODUCTOS'!$G$2:$G$501,MATCH(F219,'04_PRODUCTOS'!$B$2:$B$501,0))),INDEX('04_PRODUCTOS'!$E$2:$E$501,MATCH(F219,'04_PRODUCTOS'!$B$2:$B$501,0)))),"")</f>
        <v/>
      </c>
      <c r="I219" s="3" t="str">
        <f t="shared" si="21"/>
        <v/>
      </c>
      <c r="J219" s="3" t="str">
        <f>IFERROR(IF(INDEX('04_PRODUCTOS'!$D$2:$D$501,MATCH(F219,'04_PRODUCTOS'!$B$2:$B$501,0))="","",I219-(G219*INDEX('04_PRODUCTOS'!$D$2:$D$501,MATCH(F219,'04_PRODUCTOS'!$B$2:$B$501,0)))),"")</f>
        <v/>
      </c>
      <c r="K219" s="7" t="str">
        <f t="shared" si="22"/>
        <v/>
      </c>
      <c r="O219" t="str">
        <f>IF(D219="","",IFERROR(INDEX('03_CLIENTES'!$A$2:$A$501,MATCH(D219,'03_CLIENTES'!$B$2:$B$501,0)),""))</f>
        <v/>
      </c>
      <c r="P219" t="str">
        <f>IF(F219="","",IFERROR(INDEX('04_PRODUCTOS'!$A$2:$A$501,MATCH(F219,'04_PRODUCTOS'!$B$2:$B$501,0)),""))</f>
        <v/>
      </c>
      <c r="Q219" t="str">
        <f t="shared" si="23"/>
        <v/>
      </c>
    </row>
    <row r="220" spans="1:17" x14ac:dyDescent="0.25">
      <c r="A220" t="str">
        <f t="shared" si="18"/>
        <v/>
      </c>
      <c r="B220" s="4" t="str">
        <f t="shared" ca="1" si="19"/>
        <v/>
      </c>
      <c r="C220" s="5" t="str">
        <f t="shared" ca="1" si="20"/>
        <v/>
      </c>
      <c r="G220" s="6"/>
      <c r="H220" s="3" t="str">
        <f>IFERROR(IF(E220="Mayorista",IF(INDEX('04_PRODUCTOS'!$F$2:$F$501,MATCH(F220,'04_PRODUCTOS'!$B$2:$B$501,0))="",INDEX('04_PRODUCTOS'!$E$2:$E$501,MATCH(F220,'04_PRODUCTOS'!$B$2:$B$501,0)),INDEX('04_PRODUCTOS'!$F$2:$F$501,MATCH(F220,'04_PRODUCTOS'!$B$2:$B$501,0))),IF(E220="Especial",IF(INDEX('04_PRODUCTOS'!$G$2:$G$501,MATCH(F220,'04_PRODUCTOS'!$B$2:$B$501,0))="",INDEX('04_PRODUCTOS'!$E$2:$E$501,MATCH(F220,'04_PRODUCTOS'!$B$2:$B$501,0)),INDEX('04_PRODUCTOS'!$G$2:$G$501,MATCH(F220,'04_PRODUCTOS'!$B$2:$B$501,0))),INDEX('04_PRODUCTOS'!$E$2:$E$501,MATCH(F220,'04_PRODUCTOS'!$B$2:$B$501,0)))),"")</f>
        <v/>
      </c>
      <c r="I220" s="3" t="str">
        <f t="shared" si="21"/>
        <v/>
      </c>
      <c r="J220" s="3" t="str">
        <f>IFERROR(IF(INDEX('04_PRODUCTOS'!$D$2:$D$501,MATCH(F220,'04_PRODUCTOS'!$B$2:$B$501,0))="","",I220-(G220*INDEX('04_PRODUCTOS'!$D$2:$D$501,MATCH(F220,'04_PRODUCTOS'!$B$2:$B$501,0)))),"")</f>
        <v/>
      </c>
      <c r="K220" s="7" t="str">
        <f t="shared" si="22"/>
        <v/>
      </c>
      <c r="O220" t="str">
        <f>IF(D220="","",IFERROR(INDEX('03_CLIENTES'!$A$2:$A$501,MATCH(D220,'03_CLIENTES'!$B$2:$B$501,0)),""))</f>
        <v/>
      </c>
      <c r="P220" t="str">
        <f>IF(F220="","",IFERROR(INDEX('04_PRODUCTOS'!$A$2:$A$501,MATCH(F220,'04_PRODUCTOS'!$B$2:$B$501,0)),""))</f>
        <v/>
      </c>
      <c r="Q220" t="str">
        <f t="shared" si="23"/>
        <v/>
      </c>
    </row>
    <row r="221" spans="1:17" x14ac:dyDescent="0.25">
      <c r="A221" t="str">
        <f t="shared" si="18"/>
        <v/>
      </c>
      <c r="B221" s="4" t="str">
        <f t="shared" ca="1" si="19"/>
        <v/>
      </c>
      <c r="C221" s="5" t="str">
        <f t="shared" ca="1" si="20"/>
        <v/>
      </c>
      <c r="G221" s="6"/>
      <c r="H221" s="3" t="str">
        <f>IFERROR(IF(E221="Mayorista",IF(INDEX('04_PRODUCTOS'!$F$2:$F$501,MATCH(F221,'04_PRODUCTOS'!$B$2:$B$501,0))="",INDEX('04_PRODUCTOS'!$E$2:$E$501,MATCH(F221,'04_PRODUCTOS'!$B$2:$B$501,0)),INDEX('04_PRODUCTOS'!$F$2:$F$501,MATCH(F221,'04_PRODUCTOS'!$B$2:$B$501,0))),IF(E221="Especial",IF(INDEX('04_PRODUCTOS'!$G$2:$G$501,MATCH(F221,'04_PRODUCTOS'!$B$2:$B$501,0))="",INDEX('04_PRODUCTOS'!$E$2:$E$501,MATCH(F221,'04_PRODUCTOS'!$B$2:$B$501,0)),INDEX('04_PRODUCTOS'!$G$2:$G$501,MATCH(F221,'04_PRODUCTOS'!$B$2:$B$501,0))),INDEX('04_PRODUCTOS'!$E$2:$E$501,MATCH(F221,'04_PRODUCTOS'!$B$2:$B$501,0)))),"")</f>
        <v/>
      </c>
      <c r="I221" s="3" t="str">
        <f t="shared" si="21"/>
        <v/>
      </c>
      <c r="J221" s="3" t="str">
        <f>IFERROR(IF(INDEX('04_PRODUCTOS'!$D$2:$D$501,MATCH(F221,'04_PRODUCTOS'!$B$2:$B$501,0))="","",I221-(G221*INDEX('04_PRODUCTOS'!$D$2:$D$501,MATCH(F221,'04_PRODUCTOS'!$B$2:$B$501,0)))),"")</f>
        <v/>
      </c>
      <c r="K221" s="7" t="str">
        <f t="shared" si="22"/>
        <v/>
      </c>
      <c r="O221" t="str">
        <f>IF(D221="","",IFERROR(INDEX('03_CLIENTES'!$A$2:$A$501,MATCH(D221,'03_CLIENTES'!$B$2:$B$501,0)),""))</f>
        <v/>
      </c>
      <c r="P221" t="str">
        <f>IF(F221="","",IFERROR(INDEX('04_PRODUCTOS'!$A$2:$A$501,MATCH(F221,'04_PRODUCTOS'!$B$2:$B$501,0)),""))</f>
        <v/>
      </c>
      <c r="Q221" t="str">
        <f t="shared" si="23"/>
        <v/>
      </c>
    </row>
    <row r="222" spans="1:17" x14ac:dyDescent="0.25">
      <c r="A222" t="str">
        <f t="shared" si="18"/>
        <v/>
      </c>
      <c r="B222" s="4" t="str">
        <f t="shared" ca="1" si="19"/>
        <v/>
      </c>
      <c r="C222" s="5" t="str">
        <f t="shared" ca="1" si="20"/>
        <v/>
      </c>
      <c r="G222" s="6"/>
      <c r="H222" s="3" t="str">
        <f>IFERROR(IF(E222="Mayorista",IF(INDEX('04_PRODUCTOS'!$F$2:$F$501,MATCH(F222,'04_PRODUCTOS'!$B$2:$B$501,0))="",INDEX('04_PRODUCTOS'!$E$2:$E$501,MATCH(F222,'04_PRODUCTOS'!$B$2:$B$501,0)),INDEX('04_PRODUCTOS'!$F$2:$F$501,MATCH(F222,'04_PRODUCTOS'!$B$2:$B$501,0))),IF(E222="Especial",IF(INDEX('04_PRODUCTOS'!$G$2:$G$501,MATCH(F222,'04_PRODUCTOS'!$B$2:$B$501,0))="",INDEX('04_PRODUCTOS'!$E$2:$E$501,MATCH(F222,'04_PRODUCTOS'!$B$2:$B$501,0)),INDEX('04_PRODUCTOS'!$G$2:$G$501,MATCH(F222,'04_PRODUCTOS'!$B$2:$B$501,0))),INDEX('04_PRODUCTOS'!$E$2:$E$501,MATCH(F222,'04_PRODUCTOS'!$B$2:$B$501,0)))),"")</f>
        <v/>
      </c>
      <c r="I222" s="3" t="str">
        <f t="shared" si="21"/>
        <v/>
      </c>
      <c r="J222" s="3" t="str">
        <f>IFERROR(IF(INDEX('04_PRODUCTOS'!$D$2:$D$501,MATCH(F222,'04_PRODUCTOS'!$B$2:$B$501,0))="","",I222-(G222*INDEX('04_PRODUCTOS'!$D$2:$D$501,MATCH(F222,'04_PRODUCTOS'!$B$2:$B$501,0)))),"")</f>
        <v/>
      </c>
      <c r="K222" s="7" t="str">
        <f t="shared" si="22"/>
        <v/>
      </c>
      <c r="O222" t="str">
        <f>IF(D222="","",IFERROR(INDEX('03_CLIENTES'!$A$2:$A$501,MATCH(D222,'03_CLIENTES'!$B$2:$B$501,0)),""))</f>
        <v/>
      </c>
      <c r="P222" t="str">
        <f>IF(F222="","",IFERROR(INDEX('04_PRODUCTOS'!$A$2:$A$501,MATCH(F222,'04_PRODUCTOS'!$B$2:$B$501,0)),""))</f>
        <v/>
      </c>
      <c r="Q222" t="str">
        <f t="shared" si="23"/>
        <v/>
      </c>
    </row>
    <row r="223" spans="1:17" x14ac:dyDescent="0.25">
      <c r="A223" t="str">
        <f t="shared" si="18"/>
        <v/>
      </c>
      <c r="B223" s="4" t="str">
        <f t="shared" ca="1" si="19"/>
        <v/>
      </c>
      <c r="C223" s="5" t="str">
        <f t="shared" ca="1" si="20"/>
        <v/>
      </c>
      <c r="G223" s="6"/>
      <c r="H223" s="3" t="str">
        <f>IFERROR(IF(E223="Mayorista",IF(INDEX('04_PRODUCTOS'!$F$2:$F$501,MATCH(F223,'04_PRODUCTOS'!$B$2:$B$501,0))="",INDEX('04_PRODUCTOS'!$E$2:$E$501,MATCH(F223,'04_PRODUCTOS'!$B$2:$B$501,0)),INDEX('04_PRODUCTOS'!$F$2:$F$501,MATCH(F223,'04_PRODUCTOS'!$B$2:$B$501,0))),IF(E223="Especial",IF(INDEX('04_PRODUCTOS'!$G$2:$G$501,MATCH(F223,'04_PRODUCTOS'!$B$2:$B$501,0))="",INDEX('04_PRODUCTOS'!$E$2:$E$501,MATCH(F223,'04_PRODUCTOS'!$B$2:$B$501,0)),INDEX('04_PRODUCTOS'!$G$2:$G$501,MATCH(F223,'04_PRODUCTOS'!$B$2:$B$501,0))),INDEX('04_PRODUCTOS'!$E$2:$E$501,MATCH(F223,'04_PRODUCTOS'!$B$2:$B$501,0)))),"")</f>
        <v/>
      </c>
      <c r="I223" s="3" t="str">
        <f t="shared" si="21"/>
        <v/>
      </c>
      <c r="J223" s="3" t="str">
        <f>IFERROR(IF(INDEX('04_PRODUCTOS'!$D$2:$D$501,MATCH(F223,'04_PRODUCTOS'!$B$2:$B$501,0))="","",I223-(G223*INDEX('04_PRODUCTOS'!$D$2:$D$501,MATCH(F223,'04_PRODUCTOS'!$B$2:$B$501,0)))),"")</f>
        <v/>
      </c>
      <c r="K223" s="7" t="str">
        <f t="shared" si="22"/>
        <v/>
      </c>
      <c r="O223" t="str">
        <f>IF(D223="","",IFERROR(INDEX('03_CLIENTES'!$A$2:$A$501,MATCH(D223,'03_CLIENTES'!$B$2:$B$501,0)),""))</f>
        <v/>
      </c>
      <c r="P223" t="str">
        <f>IF(F223="","",IFERROR(INDEX('04_PRODUCTOS'!$A$2:$A$501,MATCH(F223,'04_PRODUCTOS'!$B$2:$B$501,0)),""))</f>
        <v/>
      </c>
      <c r="Q223" t="str">
        <f t="shared" si="23"/>
        <v/>
      </c>
    </row>
    <row r="224" spans="1:17" x14ac:dyDescent="0.25">
      <c r="A224" t="str">
        <f t="shared" si="18"/>
        <v/>
      </c>
      <c r="B224" s="4" t="str">
        <f t="shared" ca="1" si="19"/>
        <v/>
      </c>
      <c r="C224" s="5" t="str">
        <f t="shared" ca="1" si="20"/>
        <v/>
      </c>
      <c r="G224" s="6"/>
      <c r="H224" s="3" t="str">
        <f>IFERROR(IF(E224="Mayorista",IF(INDEX('04_PRODUCTOS'!$F$2:$F$501,MATCH(F224,'04_PRODUCTOS'!$B$2:$B$501,0))="",INDEX('04_PRODUCTOS'!$E$2:$E$501,MATCH(F224,'04_PRODUCTOS'!$B$2:$B$501,0)),INDEX('04_PRODUCTOS'!$F$2:$F$501,MATCH(F224,'04_PRODUCTOS'!$B$2:$B$501,0))),IF(E224="Especial",IF(INDEX('04_PRODUCTOS'!$G$2:$G$501,MATCH(F224,'04_PRODUCTOS'!$B$2:$B$501,0))="",INDEX('04_PRODUCTOS'!$E$2:$E$501,MATCH(F224,'04_PRODUCTOS'!$B$2:$B$501,0)),INDEX('04_PRODUCTOS'!$G$2:$G$501,MATCH(F224,'04_PRODUCTOS'!$B$2:$B$501,0))),INDEX('04_PRODUCTOS'!$E$2:$E$501,MATCH(F224,'04_PRODUCTOS'!$B$2:$B$501,0)))),"")</f>
        <v/>
      </c>
      <c r="I224" s="3" t="str">
        <f t="shared" si="21"/>
        <v/>
      </c>
      <c r="J224" s="3" t="str">
        <f>IFERROR(IF(INDEX('04_PRODUCTOS'!$D$2:$D$501,MATCH(F224,'04_PRODUCTOS'!$B$2:$B$501,0))="","",I224-(G224*INDEX('04_PRODUCTOS'!$D$2:$D$501,MATCH(F224,'04_PRODUCTOS'!$B$2:$B$501,0)))),"")</f>
        <v/>
      </c>
      <c r="K224" s="7" t="str">
        <f t="shared" si="22"/>
        <v/>
      </c>
      <c r="O224" t="str">
        <f>IF(D224="","",IFERROR(INDEX('03_CLIENTES'!$A$2:$A$501,MATCH(D224,'03_CLIENTES'!$B$2:$B$501,0)),""))</f>
        <v/>
      </c>
      <c r="P224" t="str">
        <f>IF(F224="","",IFERROR(INDEX('04_PRODUCTOS'!$A$2:$A$501,MATCH(F224,'04_PRODUCTOS'!$B$2:$B$501,0)),""))</f>
        <v/>
      </c>
      <c r="Q224" t="str">
        <f t="shared" si="23"/>
        <v/>
      </c>
    </row>
    <row r="225" spans="1:17" x14ac:dyDescent="0.25">
      <c r="A225" t="str">
        <f t="shared" si="18"/>
        <v/>
      </c>
      <c r="B225" s="4" t="str">
        <f t="shared" ca="1" si="19"/>
        <v/>
      </c>
      <c r="C225" s="5" t="str">
        <f t="shared" ca="1" si="20"/>
        <v/>
      </c>
      <c r="G225" s="6"/>
      <c r="H225" s="3" t="str">
        <f>IFERROR(IF(E225="Mayorista",IF(INDEX('04_PRODUCTOS'!$F$2:$F$501,MATCH(F225,'04_PRODUCTOS'!$B$2:$B$501,0))="",INDEX('04_PRODUCTOS'!$E$2:$E$501,MATCH(F225,'04_PRODUCTOS'!$B$2:$B$501,0)),INDEX('04_PRODUCTOS'!$F$2:$F$501,MATCH(F225,'04_PRODUCTOS'!$B$2:$B$501,0))),IF(E225="Especial",IF(INDEX('04_PRODUCTOS'!$G$2:$G$501,MATCH(F225,'04_PRODUCTOS'!$B$2:$B$501,0))="",INDEX('04_PRODUCTOS'!$E$2:$E$501,MATCH(F225,'04_PRODUCTOS'!$B$2:$B$501,0)),INDEX('04_PRODUCTOS'!$G$2:$G$501,MATCH(F225,'04_PRODUCTOS'!$B$2:$B$501,0))),INDEX('04_PRODUCTOS'!$E$2:$E$501,MATCH(F225,'04_PRODUCTOS'!$B$2:$B$501,0)))),"")</f>
        <v/>
      </c>
      <c r="I225" s="3" t="str">
        <f t="shared" si="21"/>
        <v/>
      </c>
      <c r="J225" s="3" t="str">
        <f>IFERROR(IF(INDEX('04_PRODUCTOS'!$D$2:$D$501,MATCH(F225,'04_PRODUCTOS'!$B$2:$B$501,0))="","",I225-(G225*INDEX('04_PRODUCTOS'!$D$2:$D$501,MATCH(F225,'04_PRODUCTOS'!$B$2:$B$501,0)))),"")</f>
        <v/>
      </c>
      <c r="K225" s="7" t="str">
        <f t="shared" si="22"/>
        <v/>
      </c>
      <c r="O225" t="str">
        <f>IF(D225="","",IFERROR(INDEX('03_CLIENTES'!$A$2:$A$501,MATCH(D225,'03_CLIENTES'!$B$2:$B$501,0)),""))</f>
        <v/>
      </c>
      <c r="P225" t="str">
        <f>IF(F225="","",IFERROR(INDEX('04_PRODUCTOS'!$A$2:$A$501,MATCH(F225,'04_PRODUCTOS'!$B$2:$B$501,0)),""))</f>
        <v/>
      </c>
      <c r="Q225" t="str">
        <f t="shared" si="23"/>
        <v/>
      </c>
    </row>
    <row r="226" spans="1:17" x14ac:dyDescent="0.25">
      <c r="A226" t="str">
        <f t="shared" si="18"/>
        <v/>
      </c>
      <c r="B226" s="4" t="str">
        <f t="shared" ca="1" si="19"/>
        <v/>
      </c>
      <c r="C226" s="5" t="str">
        <f t="shared" ca="1" si="20"/>
        <v/>
      </c>
      <c r="G226" s="6"/>
      <c r="H226" s="3" t="str">
        <f>IFERROR(IF(E226="Mayorista",IF(INDEX('04_PRODUCTOS'!$F$2:$F$501,MATCH(F226,'04_PRODUCTOS'!$B$2:$B$501,0))="",INDEX('04_PRODUCTOS'!$E$2:$E$501,MATCH(F226,'04_PRODUCTOS'!$B$2:$B$501,0)),INDEX('04_PRODUCTOS'!$F$2:$F$501,MATCH(F226,'04_PRODUCTOS'!$B$2:$B$501,0))),IF(E226="Especial",IF(INDEX('04_PRODUCTOS'!$G$2:$G$501,MATCH(F226,'04_PRODUCTOS'!$B$2:$B$501,0))="",INDEX('04_PRODUCTOS'!$E$2:$E$501,MATCH(F226,'04_PRODUCTOS'!$B$2:$B$501,0)),INDEX('04_PRODUCTOS'!$G$2:$G$501,MATCH(F226,'04_PRODUCTOS'!$B$2:$B$501,0))),INDEX('04_PRODUCTOS'!$E$2:$E$501,MATCH(F226,'04_PRODUCTOS'!$B$2:$B$501,0)))),"")</f>
        <v/>
      </c>
      <c r="I226" s="3" t="str">
        <f t="shared" si="21"/>
        <v/>
      </c>
      <c r="J226" s="3" t="str">
        <f>IFERROR(IF(INDEX('04_PRODUCTOS'!$D$2:$D$501,MATCH(F226,'04_PRODUCTOS'!$B$2:$B$501,0))="","",I226-(G226*INDEX('04_PRODUCTOS'!$D$2:$D$501,MATCH(F226,'04_PRODUCTOS'!$B$2:$B$501,0)))),"")</f>
        <v/>
      </c>
      <c r="K226" s="7" t="str">
        <f t="shared" si="22"/>
        <v/>
      </c>
      <c r="O226" t="str">
        <f>IF(D226="","",IFERROR(INDEX('03_CLIENTES'!$A$2:$A$501,MATCH(D226,'03_CLIENTES'!$B$2:$B$501,0)),""))</f>
        <v/>
      </c>
      <c r="P226" t="str">
        <f>IF(F226="","",IFERROR(INDEX('04_PRODUCTOS'!$A$2:$A$501,MATCH(F226,'04_PRODUCTOS'!$B$2:$B$501,0)),""))</f>
        <v/>
      </c>
      <c r="Q226" t="str">
        <f t="shared" si="23"/>
        <v/>
      </c>
    </row>
    <row r="227" spans="1:17" x14ac:dyDescent="0.25">
      <c r="A227" t="str">
        <f t="shared" si="18"/>
        <v/>
      </c>
      <c r="B227" s="4" t="str">
        <f t="shared" ca="1" si="19"/>
        <v/>
      </c>
      <c r="C227" s="5" t="str">
        <f t="shared" ca="1" si="20"/>
        <v/>
      </c>
      <c r="G227" s="6"/>
      <c r="H227" s="3" t="str">
        <f>IFERROR(IF(E227="Mayorista",IF(INDEX('04_PRODUCTOS'!$F$2:$F$501,MATCH(F227,'04_PRODUCTOS'!$B$2:$B$501,0))="",INDEX('04_PRODUCTOS'!$E$2:$E$501,MATCH(F227,'04_PRODUCTOS'!$B$2:$B$501,0)),INDEX('04_PRODUCTOS'!$F$2:$F$501,MATCH(F227,'04_PRODUCTOS'!$B$2:$B$501,0))),IF(E227="Especial",IF(INDEX('04_PRODUCTOS'!$G$2:$G$501,MATCH(F227,'04_PRODUCTOS'!$B$2:$B$501,0))="",INDEX('04_PRODUCTOS'!$E$2:$E$501,MATCH(F227,'04_PRODUCTOS'!$B$2:$B$501,0)),INDEX('04_PRODUCTOS'!$G$2:$G$501,MATCH(F227,'04_PRODUCTOS'!$B$2:$B$501,0))),INDEX('04_PRODUCTOS'!$E$2:$E$501,MATCH(F227,'04_PRODUCTOS'!$B$2:$B$501,0)))),"")</f>
        <v/>
      </c>
      <c r="I227" s="3" t="str">
        <f t="shared" si="21"/>
        <v/>
      </c>
      <c r="J227" s="3" t="str">
        <f>IFERROR(IF(INDEX('04_PRODUCTOS'!$D$2:$D$501,MATCH(F227,'04_PRODUCTOS'!$B$2:$B$501,0))="","",I227-(G227*INDEX('04_PRODUCTOS'!$D$2:$D$501,MATCH(F227,'04_PRODUCTOS'!$B$2:$B$501,0)))),"")</f>
        <v/>
      </c>
      <c r="K227" s="7" t="str">
        <f t="shared" si="22"/>
        <v/>
      </c>
      <c r="O227" t="str">
        <f>IF(D227="","",IFERROR(INDEX('03_CLIENTES'!$A$2:$A$501,MATCH(D227,'03_CLIENTES'!$B$2:$B$501,0)),""))</f>
        <v/>
      </c>
      <c r="P227" t="str">
        <f>IF(F227="","",IFERROR(INDEX('04_PRODUCTOS'!$A$2:$A$501,MATCH(F227,'04_PRODUCTOS'!$B$2:$B$501,0)),""))</f>
        <v/>
      </c>
      <c r="Q227" t="str">
        <f t="shared" si="23"/>
        <v/>
      </c>
    </row>
    <row r="228" spans="1:17" x14ac:dyDescent="0.25">
      <c r="A228" t="str">
        <f t="shared" si="18"/>
        <v/>
      </c>
      <c r="B228" s="4" t="str">
        <f t="shared" ca="1" si="19"/>
        <v/>
      </c>
      <c r="C228" s="5" t="str">
        <f t="shared" ca="1" si="20"/>
        <v/>
      </c>
      <c r="G228" s="6"/>
      <c r="H228" s="3" t="str">
        <f>IFERROR(IF(E228="Mayorista",IF(INDEX('04_PRODUCTOS'!$F$2:$F$501,MATCH(F228,'04_PRODUCTOS'!$B$2:$B$501,0))="",INDEX('04_PRODUCTOS'!$E$2:$E$501,MATCH(F228,'04_PRODUCTOS'!$B$2:$B$501,0)),INDEX('04_PRODUCTOS'!$F$2:$F$501,MATCH(F228,'04_PRODUCTOS'!$B$2:$B$501,0))),IF(E228="Especial",IF(INDEX('04_PRODUCTOS'!$G$2:$G$501,MATCH(F228,'04_PRODUCTOS'!$B$2:$B$501,0))="",INDEX('04_PRODUCTOS'!$E$2:$E$501,MATCH(F228,'04_PRODUCTOS'!$B$2:$B$501,0)),INDEX('04_PRODUCTOS'!$G$2:$G$501,MATCH(F228,'04_PRODUCTOS'!$B$2:$B$501,0))),INDEX('04_PRODUCTOS'!$E$2:$E$501,MATCH(F228,'04_PRODUCTOS'!$B$2:$B$501,0)))),"")</f>
        <v/>
      </c>
      <c r="I228" s="3" t="str">
        <f t="shared" si="21"/>
        <v/>
      </c>
      <c r="J228" s="3" t="str">
        <f>IFERROR(IF(INDEX('04_PRODUCTOS'!$D$2:$D$501,MATCH(F228,'04_PRODUCTOS'!$B$2:$B$501,0))="","",I228-(G228*INDEX('04_PRODUCTOS'!$D$2:$D$501,MATCH(F228,'04_PRODUCTOS'!$B$2:$B$501,0)))),"")</f>
        <v/>
      </c>
      <c r="K228" s="7" t="str">
        <f t="shared" si="22"/>
        <v/>
      </c>
      <c r="O228" t="str">
        <f>IF(D228="","",IFERROR(INDEX('03_CLIENTES'!$A$2:$A$501,MATCH(D228,'03_CLIENTES'!$B$2:$B$501,0)),""))</f>
        <v/>
      </c>
      <c r="P228" t="str">
        <f>IF(F228="","",IFERROR(INDEX('04_PRODUCTOS'!$A$2:$A$501,MATCH(F228,'04_PRODUCTOS'!$B$2:$B$501,0)),""))</f>
        <v/>
      </c>
      <c r="Q228" t="str">
        <f t="shared" si="23"/>
        <v/>
      </c>
    </row>
    <row r="229" spans="1:17" x14ac:dyDescent="0.25">
      <c r="A229" t="str">
        <f t="shared" si="18"/>
        <v/>
      </c>
      <c r="B229" s="4" t="str">
        <f t="shared" ca="1" si="19"/>
        <v/>
      </c>
      <c r="C229" s="5" t="str">
        <f t="shared" ca="1" si="20"/>
        <v/>
      </c>
      <c r="G229" s="6"/>
      <c r="H229" s="3" t="str">
        <f>IFERROR(IF(E229="Mayorista",IF(INDEX('04_PRODUCTOS'!$F$2:$F$501,MATCH(F229,'04_PRODUCTOS'!$B$2:$B$501,0))="",INDEX('04_PRODUCTOS'!$E$2:$E$501,MATCH(F229,'04_PRODUCTOS'!$B$2:$B$501,0)),INDEX('04_PRODUCTOS'!$F$2:$F$501,MATCH(F229,'04_PRODUCTOS'!$B$2:$B$501,0))),IF(E229="Especial",IF(INDEX('04_PRODUCTOS'!$G$2:$G$501,MATCH(F229,'04_PRODUCTOS'!$B$2:$B$501,0))="",INDEX('04_PRODUCTOS'!$E$2:$E$501,MATCH(F229,'04_PRODUCTOS'!$B$2:$B$501,0)),INDEX('04_PRODUCTOS'!$G$2:$G$501,MATCH(F229,'04_PRODUCTOS'!$B$2:$B$501,0))),INDEX('04_PRODUCTOS'!$E$2:$E$501,MATCH(F229,'04_PRODUCTOS'!$B$2:$B$501,0)))),"")</f>
        <v/>
      </c>
      <c r="I229" s="3" t="str">
        <f t="shared" si="21"/>
        <v/>
      </c>
      <c r="J229" s="3" t="str">
        <f>IFERROR(IF(INDEX('04_PRODUCTOS'!$D$2:$D$501,MATCH(F229,'04_PRODUCTOS'!$B$2:$B$501,0))="","",I229-(G229*INDEX('04_PRODUCTOS'!$D$2:$D$501,MATCH(F229,'04_PRODUCTOS'!$B$2:$B$501,0)))),"")</f>
        <v/>
      </c>
      <c r="K229" s="7" t="str">
        <f t="shared" si="22"/>
        <v/>
      </c>
      <c r="O229" t="str">
        <f>IF(D229="","",IFERROR(INDEX('03_CLIENTES'!$A$2:$A$501,MATCH(D229,'03_CLIENTES'!$B$2:$B$501,0)),""))</f>
        <v/>
      </c>
      <c r="P229" t="str">
        <f>IF(F229="","",IFERROR(INDEX('04_PRODUCTOS'!$A$2:$A$501,MATCH(F229,'04_PRODUCTOS'!$B$2:$B$501,0)),""))</f>
        <v/>
      </c>
      <c r="Q229" t="str">
        <f t="shared" si="23"/>
        <v/>
      </c>
    </row>
    <row r="230" spans="1:17" x14ac:dyDescent="0.25">
      <c r="A230" t="str">
        <f t="shared" si="18"/>
        <v/>
      </c>
      <c r="B230" s="4" t="str">
        <f t="shared" ca="1" si="19"/>
        <v/>
      </c>
      <c r="C230" s="5" t="str">
        <f t="shared" ca="1" si="20"/>
        <v/>
      </c>
      <c r="G230" s="6"/>
      <c r="H230" s="3" t="str">
        <f>IFERROR(IF(E230="Mayorista",IF(INDEX('04_PRODUCTOS'!$F$2:$F$501,MATCH(F230,'04_PRODUCTOS'!$B$2:$B$501,0))="",INDEX('04_PRODUCTOS'!$E$2:$E$501,MATCH(F230,'04_PRODUCTOS'!$B$2:$B$501,0)),INDEX('04_PRODUCTOS'!$F$2:$F$501,MATCH(F230,'04_PRODUCTOS'!$B$2:$B$501,0))),IF(E230="Especial",IF(INDEX('04_PRODUCTOS'!$G$2:$G$501,MATCH(F230,'04_PRODUCTOS'!$B$2:$B$501,0))="",INDEX('04_PRODUCTOS'!$E$2:$E$501,MATCH(F230,'04_PRODUCTOS'!$B$2:$B$501,0)),INDEX('04_PRODUCTOS'!$G$2:$G$501,MATCH(F230,'04_PRODUCTOS'!$B$2:$B$501,0))),INDEX('04_PRODUCTOS'!$E$2:$E$501,MATCH(F230,'04_PRODUCTOS'!$B$2:$B$501,0)))),"")</f>
        <v/>
      </c>
      <c r="I230" s="3" t="str">
        <f t="shared" si="21"/>
        <v/>
      </c>
      <c r="J230" s="3" t="str">
        <f>IFERROR(IF(INDEX('04_PRODUCTOS'!$D$2:$D$501,MATCH(F230,'04_PRODUCTOS'!$B$2:$B$501,0))="","",I230-(G230*INDEX('04_PRODUCTOS'!$D$2:$D$501,MATCH(F230,'04_PRODUCTOS'!$B$2:$B$501,0)))),"")</f>
        <v/>
      </c>
      <c r="K230" s="7" t="str">
        <f t="shared" si="22"/>
        <v/>
      </c>
      <c r="O230" t="str">
        <f>IF(D230="","",IFERROR(INDEX('03_CLIENTES'!$A$2:$A$501,MATCH(D230,'03_CLIENTES'!$B$2:$B$501,0)),""))</f>
        <v/>
      </c>
      <c r="P230" t="str">
        <f>IF(F230="","",IFERROR(INDEX('04_PRODUCTOS'!$A$2:$A$501,MATCH(F230,'04_PRODUCTOS'!$B$2:$B$501,0)),""))</f>
        <v/>
      </c>
      <c r="Q230" t="str">
        <f t="shared" si="23"/>
        <v/>
      </c>
    </row>
    <row r="231" spans="1:17" x14ac:dyDescent="0.25">
      <c r="A231" t="str">
        <f t="shared" si="18"/>
        <v/>
      </c>
      <c r="B231" s="4" t="str">
        <f t="shared" ca="1" si="19"/>
        <v/>
      </c>
      <c r="C231" s="5" t="str">
        <f t="shared" ca="1" si="20"/>
        <v/>
      </c>
      <c r="G231" s="6"/>
      <c r="H231" s="3" t="str">
        <f>IFERROR(IF(E231="Mayorista",IF(INDEX('04_PRODUCTOS'!$F$2:$F$501,MATCH(F231,'04_PRODUCTOS'!$B$2:$B$501,0))="",INDEX('04_PRODUCTOS'!$E$2:$E$501,MATCH(F231,'04_PRODUCTOS'!$B$2:$B$501,0)),INDEX('04_PRODUCTOS'!$F$2:$F$501,MATCH(F231,'04_PRODUCTOS'!$B$2:$B$501,0))),IF(E231="Especial",IF(INDEX('04_PRODUCTOS'!$G$2:$G$501,MATCH(F231,'04_PRODUCTOS'!$B$2:$B$501,0))="",INDEX('04_PRODUCTOS'!$E$2:$E$501,MATCH(F231,'04_PRODUCTOS'!$B$2:$B$501,0)),INDEX('04_PRODUCTOS'!$G$2:$G$501,MATCH(F231,'04_PRODUCTOS'!$B$2:$B$501,0))),INDEX('04_PRODUCTOS'!$E$2:$E$501,MATCH(F231,'04_PRODUCTOS'!$B$2:$B$501,0)))),"")</f>
        <v/>
      </c>
      <c r="I231" s="3" t="str">
        <f t="shared" si="21"/>
        <v/>
      </c>
      <c r="J231" s="3" t="str">
        <f>IFERROR(IF(INDEX('04_PRODUCTOS'!$D$2:$D$501,MATCH(F231,'04_PRODUCTOS'!$B$2:$B$501,0))="","",I231-(G231*INDEX('04_PRODUCTOS'!$D$2:$D$501,MATCH(F231,'04_PRODUCTOS'!$B$2:$B$501,0)))),"")</f>
        <v/>
      </c>
      <c r="K231" s="7" t="str">
        <f t="shared" si="22"/>
        <v/>
      </c>
      <c r="O231" t="str">
        <f>IF(D231="","",IFERROR(INDEX('03_CLIENTES'!$A$2:$A$501,MATCH(D231,'03_CLIENTES'!$B$2:$B$501,0)),""))</f>
        <v/>
      </c>
      <c r="P231" t="str">
        <f>IF(F231="","",IFERROR(INDEX('04_PRODUCTOS'!$A$2:$A$501,MATCH(F231,'04_PRODUCTOS'!$B$2:$B$501,0)),""))</f>
        <v/>
      </c>
      <c r="Q231" t="str">
        <f t="shared" si="23"/>
        <v/>
      </c>
    </row>
    <row r="232" spans="1:17" x14ac:dyDescent="0.25">
      <c r="A232" t="str">
        <f t="shared" si="18"/>
        <v/>
      </c>
      <c r="B232" s="4" t="str">
        <f t="shared" ca="1" si="19"/>
        <v/>
      </c>
      <c r="C232" s="5" t="str">
        <f t="shared" ca="1" si="20"/>
        <v/>
      </c>
      <c r="G232" s="6"/>
      <c r="H232" s="3" t="str">
        <f>IFERROR(IF(E232="Mayorista",IF(INDEX('04_PRODUCTOS'!$F$2:$F$501,MATCH(F232,'04_PRODUCTOS'!$B$2:$B$501,0))="",INDEX('04_PRODUCTOS'!$E$2:$E$501,MATCH(F232,'04_PRODUCTOS'!$B$2:$B$501,0)),INDEX('04_PRODUCTOS'!$F$2:$F$501,MATCH(F232,'04_PRODUCTOS'!$B$2:$B$501,0))),IF(E232="Especial",IF(INDEX('04_PRODUCTOS'!$G$2:$G$501,MATCH(F232,'04_PRODUCTOS'!$B$2:$B$501,0))="",INDEX('04_PRODUCTOS'!$E$2:$E$501,MATCH(F232,'04_PRODUCTOS'!$B$2:$B$501,0)),INDEX('04_PRODUCTOS'!$G$2:$G$501,MATCH(F232,'04_PRODUCTOS'!$B$2:$B$501,0))),INDEX('04_PRODUCTOS'!$E$2:$E$501,MATCH(F232,'04_PRODUCTOS'!$B$2:$B$501,0)))),"")</f>
        <v/>
      </c>
      <c r="I232" s="3" t="str">
        <f t="shared" si="21"/>
        <v/>
      </c>
      <c r="J232" s="3" t="str">
        <f>IFERROR(IF(INDEX('04_PRODUCTOS'!$D$2:$D$501,MATCH(F232,'04_PRODUCTOS'!$B$2:$B$501,0))="","",I232-(G232*INDEX('04_PRODUCTOS'!$D$2:$D$501,MATCH(F232,'04_PRODUCTOS'!$B$2:$B$501,0)))),"")</f>
        <v/>
      </c>
      <c r="K232" s="7" t="str">
        <f t="shared" si="22"/>
        <v/>
      </c>
      <c r="O232" t="str">
        <f>IF(D232="","",IFERROR(INDEX('03_CLIENTES'!$A$2:$A$501,MATCH(D232,'03_CLIENTES'!$B$2:$B$501,0)),""))</f>
        <v/>
      </c>
      <c r="P232" t="str">
        <f>IF(F232="","",IFERROR(INDEX('04_PRODUCTOS'!$A$2:$A$501,MATCH(F232,'04_PRODUCTOS'!$B$2:$B$501,0)),""))</f>
        <v/>
      </c>
      <c r="Q232" t="str">
        <f t="shared" si="23"/>
        <v/>
      </c>
    </row>
    <row r="233" spans="1:17" x14ac:dyDescent="0.25">
      <c r="A233" t="str">
        <f t="shared" si="18"/>
        <v/>
      </c>
      <c r="B233" s="4" t="str">
        <f t="shared" ca="1" si="19"/>
        <v/>
      </c>
      <c r="C233" s="5" t="str">
        <f t="shared" ca="1" si="20"/>
        <v/>
      </c>
      <c r="G233" s="6"/>
      <c r="H233" s="3" t="str">
        <f>IFERROR(IF(E233="Mayorista",IF(INDEX('04_PRODUCTOS'!$F$2:$F$501,MATCH(F233,'04_PRODUCTOS'!$B$2:$B$501,0))="",INDEX('04_PRODUCTOS'!$E$2:$E$501,MATCH(F233,'04_PRODUCTOS'!$B$2:$B$501,0)),INDEX('04_PRODUCTOS'!$F$2:$F$501,MATCH(F233,'04_PRODUCTOS'!$B$2:$B$501,0))),IF(E233="Especial",IF(INDEX('04_PRODUCTOS'!$G$2:$G$501,MATCH(F233,'04_PRODUCTOS'!$B$2:$B$501,0))="",INDEX('04_PRODUCTOS'!$E$2:$E$501,MATCH(F233,'04_PRODUCTOS'!$B$2:$B$501,0)),INDEX('04_PRODUCTOS'!$G$2:$G$501,MATCH(F233,'04_PRODUCTOS'!$B$2:$B$501,0))),INDEX('04_PRODUCTOS'!$E$2:$E$501,MATCH(F233,'04_PRODUCTOS'!$B$2:$B$501,0)))),"")</f>
        <v/>
      </c>
      <c r="I233" s="3" t="str">
        <f t="shared" si="21"/>
        <v/>
      </c>
      <c r="J233" s="3" t="str">
        <f>IFERROR(IF(INDEX('04_PRODUCTOS'!$D$2:$D$501,MATCH(F233,'04_PRODUCTOS'!$B$2:$B$501,0))="","",I233-(G233*INDEX('04_PRODUCTOS'!$D$2:$D$501,MATCH(F233,'04_PRODUCTOS'!$B$2:$B$501,0)))),"")</f>
        <v/>
      </c>
      <c r="K233" s="7" t="str">
        <f t="shared" si="22"/>
        <v/>
      </c>
      <c r="O233" t="str">
        <f>IF(D233="","",IFERROR(INDEX('03_CLIENTES'!$A$2:$A$501,MATCH(D233,'03_CLIENTES'!$B$2:$B$501,0)),""))</f>
        <v/>
      </c>
      <c r="P233" t="str">
        <f>IF(F233="","",IFERROR(INDEX('04_PRODUCTOS'!$A$2:$A$501,MATCH(F233,'04_PRODUCTOS'!$B$2:$B$501,0)),""))</f>
        <v/>
      </c>
      <c r="Q233" t="str">
        <f t="shared" si="23"/>
        <v/>
      </c>
    </row>
    <row r="234" spans="1:17" x14ac:dyDescent="0.25">
      <c r="A234" t="str">
        <f t="shared" si="18"/>
        <v/>
      </c>
      <c r="B234" s="4" t="str">
        <f t="shared" ca="1" si="19"/>
        <v/>
      </c>
      <c r="C234" s="5" t="str">
        <f t="shared" ca="1" si="20"/>
        <v/>
      </c>
      <c r="G234" s="6"/>
      <c r="H234" s="3" t="str">
        <f>IFERROR(IF(E234="Mayorista",IF(INDEX('04_PRODUCTOS'!$F$2:$F$501,MATCH(F234,'04_PRODUCTOS'!$B$2:$B$501,0))="",INDEX('04_PRODUCTOS'!$E$2:$E$501,MATCH(F234,'04_PRODUCTOS'!$B$2:$B$501,0)),INDEX('04_PRODUCTOS'!$F$2:$F$501,MATCH(F234,'04_PRODUCTOS'!$B$2:$B$501,0))),IF(E234="Especial",IF(INDEX('04_PRODUCTOS'!$G$2:$G$501,MATCH(F234,'04_PRODUCTOS'!$B$2:$B$501,0))="",INDEX('04_PRODUCTOS'!$E$2:$E$501,MATCH(F234,'04_PRODUCTOS'!$B$2:$B$501,0)),INDEX('04_PRODUCTOS'!$G$2:$G$501,MATCH(F234,'04_PRODUCTOS'!$B$2:$B$501,0))),INDEX('04_PRODUCTOS'!$E$2:$E$501,MATCH(F234,'04_PRODUCTOS'!$B$2:$B$501,0)))),"")</f>
        <v/>
      </c>
      <c r="I234" s="3" t="str">
        <f t="shared" si="21"/>
        <v/>
      </c>
      <c r="J234" s="3" t="str">
        <f>IFERROR(IF(INDEX('04_PRODUCTOS'!$D$2:$D$501,MATCH(F234,'04_PRODUCTOS'!$B$2:$B$501,0))="","",I234-(G234*INDEX('04_PRODUCTOS'!$D$2:$D$501,MATCH(F234,'04_PRODUCTOS'!$B$2:$B$501,0)))),"")</f>
        <v/>
      </c>
      <c r="K234" s="7" t="str">
        <f t="shared" si="22"/>
        <v/>
      </c>
      <c r="O234" t="str">
        <f>IF(D234="","",IFERROR(INDEX('03_CLIENTES'!$A$2:$A$501,MATCH(D234,'03_CLIENTES'!$B$2:$B$501,0)),""))</f>
        <v/>
      </c>
      <c r="P234" t="str">
        <f>IF(F234="","",IFERROR(INDEX('04_PRODUCTOS'!$A$2:$A$501,MATCH(F234,'04_PRODUCTOS'!$B$2:$B$501,0)),""))</f>
        <v/>
      </c>
      <c r="Q234" t="str">
        <f t="shared" si="23"/>
        <v/>
      </c>
    </row>
    <row r="235" spans="1:17" x14ac:dyDescent="0.25">
      <c r="A235" t="str">
        <f t="shared" si="18"/>
        <v/>
      </c>
      <c r="B235" s="4" t="str">
        <f t="shared" ca="1" si="19"/>
        <v/>
      </c>
      <c r="C235" s="5" t="str">
        <f t="shared" ca="1" si="20"/>
        <v/>
      </c>
      <c r="G235" s="6"/>
      <c r="H235" s="3" t="str">
        <f>IFERROR(IF(E235="Mayorista",IF(INDEX('04_PRODUCTOS'!$F$2:$F$501,MATCH(F235,'04_PRODUCTOS'!$B$2:$B$501,0))="",INDEX('04_PRODUCTOS'!$E$2:$E$501,MATCH(F235,'04_PRODUCTOS'!$B$2:$B$501,0)),INDEX('04_PRODUCTOS'!$F$2:$F$501,MATCH(F235,'04_PRODUCTOS'!$B$2:$B$501,0))),IF(E235="Especial",IF(INDEX('04_PRODUCTOS'!$G$2:$G$501,MATCH(F235,'04_PRODUCTOS'!$B$2:$B$501,0))="",INDEX('04_PRODUCTOS'!$E$2:$E$501,MATCH(F235,'04_PRODUCTOS'!$B$2:$B$501,0)),INDEX('04_PRODUCTOS'!$G$2:$G$501,MATCH(F235,'04_PRODUCTOS'!$B$2:$B$501,0))),INDEX('04_PRODUCTOS'!$E$2:$E$501,MATCH(F235,'04_PRODUCTOS'!$B$2:$B$501,0)))),"")</f>
        <v/>
      </c>
      <c r="I235" s="3" t="str">
        <f t="shared" si="21"/>
        <v/>
      </c>
      <c r="J235" s="3" t="str">
        <f>IFERROR(IF(INDEX('04_PRODUCTOS'!$D$2:$D$501,MATCH(F235,'04_PRODUCTOS'!$B$2:$B$501,0))="","",I235-(G235*INDEX('04_PRODUCTOS'!$D$2:$D$501,MATCH(F235,'04_PRODUCTOS'!$B$2:$B$501,0)))),"")</f>
        <v/>
      </c>
      <c r="K235" s="7" t="str">
        <f t="shared" si="22"/>
        <v/>
      </c>
      <c r="O235" t="str">
        <f>IF(D235="","",IFERROR(INDEX('03_CLIENTES'!$A$2:$A$501,MATCH(D235,'03_CLIENTES'!$B$2:$B$501,0)),""))</f>
        <v/>
      </c>
      <c r="P235" t="str">
        <f>IF(F235="","",IFERROR(INDEX('04_PRODUCTOS'!$A$2:$A$501,MATCH(F235,'04_PRODUCTOS'!$B$2:$B$501,0)),""))</f>
        <v/>
      </c>
      <c r="Q235" t="str">
        <f t="shared" si="23"/>
        <v/>
      </c>
    </row>
    <row r="236" spans="1:17" x14ac:dyDescent="0.25">
      <c r="A236" t="str">
        <f t="shared" si="18"/>
        <v/>
      </c>
      <c r="B236" s="4" t="str">
        <f t="shared" ca="1" si="19"/>
        <v/>
      </c>
      <c r="C236" s="5" t="str">
        <f t="shared" ca="1" si="20"/>
        <v/>
      </c>
      <c r="G236" s="6"/>
      <c r="H236" s="3" t="str">
        <f>IFERROR(IF(E236="Mayorista",IF(INDEX('04_PRODUCTOS'!$F$2:$F$501,MATCH(F236,'04_PRODUCTOS'!$B$2:$B$501,0))="",INDEX('04_PRODUCTOS'!$E$2:$E$501,MATCH(F236,'04_PRODUCTOS'!$B$2:$B$501,0)),INDEX('04_PRODUCTOS'!$F$2:$F$501,MATCH(F236,'04_PRODUCTOS'!$B$2:$B$501,0))),IF(E236="Especial",IF(INDEX('04_PRODUCTOS'!$G$2:$G$501,MATCH(F236,'04_PRODUCTOS'!$B$2:$B$501,0))="",INDEX('04_PRODUCTOS'!$E$2:$E$501,MATCH(F236,'04_PRODUCTOS'!$B$2:$B$501,0)),INDEX('04_PRODUCTOS'!$G$2:$G$501,MATCH(F236,'04_PRODUCTOS'!$B$2:$B$501,0))),INDEX('04_PRODUCTOS'!$E$2:$E$501,MATCH(F236,'04_PRODUCTOS'!$B$2:$B$501,0)))),"")</f>
        <v/>
      </c>
      <c r="I236" s="3" t="str">
        <f t="shared" si="21"/>
        <v/>
      </c>
      <c r="J236" s="3" t="str">
        <f>IFERROR(IF(INDEX('04_PRODUCTOS'!$D$2:$D$501,MATCH(F236,'04_PRODUCTOS'!$B$2:$B$501,0))="","",I236-(G236*INDEX('04_PRODUCTOS'!$D$2:$D$501,MATCH(F236,'04_PRODUCTOS'!$B$2:$B$501,0)))),"")</f>
        <v/>
      </c>
      <c r="K236" s="7" t="str">
        <f t="shared" si="22"/>
        <v/>
      </c>
      <c r="O236" t="str">
        <f>IF(D236="","",IFERROR(INDEX('03_CLIENTES'!$A$2:$A$501,MATCH(D236,'03_CLIENTES'!$B$2:$B$501,0)),""))</f>
        <v/>
      </c>
      <c r="P236" t="str">
        <f>IF(F236="","",IFERROR(INDEX('04_PRODUCTOS'!$A$2:$A$501,MATCH(F236,'04_PRODUCTOS'!$B$2:$B$501,0)),""))</f>
        <v/>
      </c>
      <c r="Q236" t="str">
        <f t="shared" si="23"/>
        <v/>
      </c>
    </row>
    <row r="237" spans="1:17" x14ac:dyDescent="0.25">
      <c r="A237" t="str">
        <f t="shared" si="18"/>
        <v/>
      </c>
      <c r="B237" s="4" t="str">
        <f t="shared" ca="1" si="19"/>
        <v/>
      </c>
      <c r="C237" s="5" t="str">
        <f t="shared" ca="1" si="20"/>
        <v/>
      </c>
      <c r="G237" s="6"/>
      <c r="H237" s="3" t="str">
        <f>IFERROR(IF(E237="Mayorista",IF(INDEX('04_PRODUCTOS'!$F$2:$F$501,MATCH(F237,'04_PRODUCTOS'!$B$2:$B$501,0))="",INDEX('04_PRODUCTOS'!$E$2:$E$501,MATCH(F237,'04_PRODUCTOS'!$B$2:$B$501,0)),INDEX('04_PRODUCTOS'!$F$2:$F$501,MATCH(F237,'04_PRODUCTOS'!$B$2:$B$501,0))),IF(E237="Especial",IF(INDEX('04_PRODUCTOS'!$G$2:$G$501,MATCH(F237,'04_PRODUCTOS'!$B$2:$B$501,0))="",INDEX('04_PRODUCTOS'!$E$2:$E$501,MATCH(F237,'04_PRODUCTOS'!$B$2:$B$501,0)),INDEX('04_PRODUCTOS'!$G$2:$G$501,MATCH(F237,'04_PRODUCTOS'!$B$2:$B$501,0))),INDEX('04_PRODUCTOS'!$E$2:$E$501,MATCH(F237,'04_PRODUCTOS'!$B$2:$B$501,0)))),"")</f>
        <v/>
      </c>
      <c r="I237" s="3" t="str">
        <f t="shared" si="21"/>
        <v/>
      </c>
      <c r="J237" s="3" t="str">
        <f>IFERROR(IF(INDEX('04_PRODUCTOS'!$D$2:$D$501,MATCH(F237,'04_PRODUCTOS'!$B$2:$B$501,0))="","",I237-(G237*INDEX('04_PRODUCTOS'!$D$2:$D$501,MATCH(F237,'04_PRODUCTOS'!$B$2:$B$501,0)))),"")</f>
        <v/>
      </c>
      <c r="K237" s="7" t="str">
        <f t="shared" si="22"/>
        <v/>
      </c>
      <c r="O237" t="str">
        <f>IF(D237="","",IFERROR(INDEX('03_CLIENTES'!$A$2:$A$501,MATCH(D237,'03_CLIENTES'!$B$2:$B$501,0)),""))</f>
        <v/>
      </c>
      <c r="P237" t="str">
        <f>IF(F237="","",IFERROR(INDEX('04_PRODUCTOS'!$A$2:$A$501,MATCH(F237,'04_PRODUCTOS'!$B$2:$B$501,0)),""))</f>
        <v/>
      </c>
      <c r="Q237" t="str">
        <f t="shared" si="23"/>
        <v/>
      </c>
    </row>
    <row r="238" spans="1:17" x14ac:dyDescent="0.25">
      <c r="A238" t="str">
        <f t="shared" si="18"/>
        <v/>
      </c>
      <c r="B238" s="4" t="str">
        <f t="shared" ca="1" si="19"/>
        <v/>
      </c>
      <c r="C238" s="5" t="str">
        <f t="shared" ca="1" si="20"/>
        <v/>
      </c>
      <c r="G238" s="6"/>
      <c r="H238" s="3" t="str">
        <f>IFERROR(IF(E238="Mayorista",IF(INDEX('04_PRODUCTOS'!$F$2:$F$501,MATCH(F238,'04_PRODUCTOS'!$B$2:$B$501,0))="",INDEX('04_PRODUCTOS'!$E$2:$E$501,MATCH(F238,'04_PRODUCTOS'!$B$2:$B$501,0)),INDEX('04_PRODUCTOS'!$F$2:$F$501,MATCH(F238,'04_PRODUCTOS'!$B$2:$B$501,0))),IF(E238="Especial",IF(INDEX('04_PRODUCTOS'!$G$2:$G$501,MATCH(F238,'04_PRODUCTOS'!$B$2:$B$501,0))="",INDEX('04_PRODUCTOS'!$E$2:$E$501,MATCH(F238,'04_PRODUCTOS'!$B$2:$B$501,0)),INDEX('04_PRODUCTOS'!$G$2:$G$501,MATCH(F238,'04_PRODUCTOS'!$B$2:$B$501,0))),INDEX('04_PRODUCTOS'!$E$2:$E$501,MATCH(F238,'04_PRODUCTOS'!$B$2:$B$501,0)))),"")</f>
        <v/>
      </c>
      <c r="I238" s="3" t="str">
        <f t="shared" si="21"/>
        <v/>
      </c>
      <c r="J238" s="3" t="str">
        <f>IFERROR(IF(INDEX('04_PRODUCTOS'!$D$2:$D$501,MATCH(F238,'04_PRODUCTOS'!$B$2:$B$501,0))="","",I238-(G238*INDEX('04_PRODUCTOS'!$D$2:$D$501,MATCH(F238,'04_PRODUCTOS'!$B$2:$B$501,0)))),"")</f>
        <v/>
      </c>
      <c r="K238" s="7" t="str">
        <f t="shared" si="22"/>
        <v/>
      </c>
      <c r="O238" t="str">
        <f>IF(D238="","",IFERROR(INDEX('03_CLIENTES'!$A$2:$A$501,MATCH(D238,'03_CLIENTES'!$B$2:$B$501,0)),""))</f>
        <v/>
      </c>
      <c r="P238" t="str">
        <f>IF(F238="","",IFERROR(INDEX('04_PRODUCTOS'!$A$2:$A$501,MATCH(F238,'04_PRODUCTOS'!$B$2:$B$501,0)),""))</f>
        <v/>
      </c>
      <c r="Q238" t="str">
        <f t="shared" si="23"/>
        <v/>
      </c>
    </row>
    <row r="239" spans="1:17" x14ac:dyDescent="0.25">
      <c r="A239" t="str">
        <f t="shared" si="18"/>
        <v/>
      </c>
      <c r="B239" s="4" t="str">
        <f t="shared" ca="1" si="19"/>
        <v/>
      </c>
      <c r="C239" s="5" t="str">
        <f t="shared" ca="1" si="20"/>
        <v/>
      </c>
      <c r="G239" s="6"/>
      <c r="H239" s="3" t="str">
        <f>IFERROR(IF(E239="Mayorista",IF(INDEX('04_PRODUCTOS'!$F$2:$F$501,MATCH(F239,'04_PRODUCTOS'!$B$2:$B$501,0))="",INDEX('04_PRODUCTOS'!$E$2:$E$501,MATCH(F239,'04_PRODUCTOS'!$B$2:$B$501,0)),INDEX('04_PRODUCTOS'!$F$2:$F$501,MATCH(F239,'04_PRODUCTOS'!$B$2:$B$501,0))),IF(E239="Especial",IF(INDEX('04_PRODUCTOS'!$G$2:$G$501,MATCH(F239,'04_PRODUCTOS'!$B$2:$B$501,0))="",INDEX('04_PRODUCTOS'!$E$2:$E$501,MATCH(F239,'04_PRODUCTOS'!$B$2:$B$501,0)),INDEX('04_PRODUCTOS'!$G$2:$G$501,MATCH(F239,'04_PRODUCTOS'!$B$2:$B$501,0))),INDEX('04_PRODUCTOS'!$E$2:$E$501,MATCH(F239,'04_PRODUCTOS'!$B$2:$B$501,0)))),"")</f>
        <v/>
      </c>
      <c r="I239" s="3" t="str">
        <f t="shared" si="21"/>
        <v/>
      </c>
      <c r="J239" s="3" t="str">
        <f>IFERROR(IF(INDEX('04_PRODUCTOS'!$D$2:$D$501,MATCH(F239,'04_PRODUCTOS'!$B$2:$B$501,0))="","",I239-(G239*INDEX('04_PRODUCTOS'!$D$2:$D$501,MATCH(F239,'04_PRODUCTOS'!$B$2:$B$501,0)))),"")</f>
        <v/>
      </c>
      <c r="K239" s="7" t="str">
        <f t="shared" si="22"/>
        <v/>
      </c>
      <c r="O239" t="str">
        <f>IF(D239="","",IFERROR(INDEX('03_CLIENTES'!$A$2:$A$501,MATCH(D239,'03_CLIENTES'!$B$2:$B$501,0)),""))</f>
        <v/>
      </c>
      <c r="P239" t="str">
        <f>IF(F239="","",IFERROR(INDEX('04_PRODUCTOS'!$A$2:$A$501,MATCH(F239,'04_PRODUCTOS'!$B$2:$B$501,0)),""))</f>
        <v/>
      </c>
      <c r="Q239" t="str">
        <f t="shared" si="23"/>
        <v/>
      </c>
    </row>
    <row r="240" spans="1:17" x14ac:dyDescent="0.25">
      <c r="A240" t="str">
        <f t="shared" si="18"/>
        <v/>
      </c>
      <c r="B240" s="4" t="str">
        <f t="shared" ca="1" si="19"/>
        <v/>
      </c>
      <c r="C240" s="5" t="str">
        <f t="shared" ca="1" si="20"/>
        <v/>
      </c>
      <c r="G240" s="6"/>
      <c r="H240" s="3" t="str">
        <f>IFERROR(IF(E240="Mayorista",IF(INDEX('04_PRODUCTOS'!$F$2:$F$501,MATCH(F240,'04_PRODUCTOS'!$B$2:$B$501,0))="",INDEX('04_PRODUCTOS'!$E$2:$E$501,MATCH(F240,'04_PRODUCTOS'!$B$2:$B$501,0)),INDEX('04_PRODUCTOS'!$F$2:$F$501,MATCH(F240,'04_PRODUCTOS'!$B$2:$B$501,0))),IF(E240="Especial",IF(INDEX('04_PRODUCTOS'!$G$2:$G$501,MATCH(F240,'04_PRODUCTOS'!$B$2:$B$501,0))="",INDEX('04_PRODUCTOS'!$E$2:$E$501,MATCH(F240,'04_PRODUCTOS'!$B$2:$B$501,0)),INDEX('04_PRODUCTOS'!$G$2:$G$501,MATCH(F240,'04_PRODUCTOS'!$B$2:$B$501,0))),INDEX('04_PRODUCTOS'!$E$2:$E$501,MATCH(F240,'04_PRODUCTOS'!$B$2:$B$501,0)))),"")</f>
        <v/>
      </c>
      <c r="I240" s="3" t="str">
        <f t="shared" si="21"/>
        <v/>
      </c>
      <c r="J240" s="3" t="str">
        <f>IFERROR(IF(INDEX('04_PRODUCTOS'!$D$2:$D$501,MATCH(F240,'04_PRODUCTOS'!$B$2:$B$501,0))="","",I240-(G240*INDEX('04_PRODUCTOS'!$D$2:$D$501,MATCH(F240,'04_PRODUCTOS'!$B$2:$B$501,0)))),"")</f>
        <v/>
      </c>
      <c r="K240" s="7" t="str">
        <f t="shared" si="22"/>
        <v/>
      </c>
      <c r="O240" t="str">
        <f>IF(D240="","",IFERROR(INDEX('03_CLIENTES'!$A$2:$A$501,MATCH(D240,'03_CLIENTES'!$B$2:$B$501,0)),""))</f>
        <v/>
      </c>
      <c r="P240" t="str">
        <f>IF(F240="","",IFERROR(INDEX('04_PRODUCTOS'!$A$2:$A$501,MATCH(F240,'04_PRODUCTOS'!$B$2:$B$501,0)),""))</f>
        <v/>
      </c>
      <c r="Q240" t="str">
        <f t="shared" si="23"/>
        <v/>
      </c>
    </row>
    <row r="241" spans="1:17" x14ac:dyDescent="0.25">
      <c r="A241" t="str">
        <f t="shared" si="18"/>
        <v/>
      </c>
      <c r="B241" s="4" t="str">
        <f t="shared" ca="1" si="19"/>
        <v/>
      </c>
      <c r="C241" s="5" t="str">
        <f t="shared" ca="1" si="20"/>
        <v/>
      </c>
      <c r="G241" s="6"/>
      <c r="H241" s="3" t="str">
        <f>IFERROR(IF(E241="Mayorista",IF(INDEX('04_PRODUCTOS'!$F$2:$F$501,MATCH(F241,'04_PRODUCTOS'!$B$2:$B$501,0))="",INDEX('04_PRODUCTOS'!$E$2:$E$501,MATCH(F241,'04_PRODUCTOS'!$B$2:$B$501,0)),INDEX('04_PRODUCTOS'!$F$2:$F$501,MATCH(F241,'04_PRODUCTOS'!$B$2:$B$501,0))),IF(E241="Especial",IF(INDEX('04_PRODUCTOS'!$G$2:$G$501,MATCH(F241,'04_PRODUCTOS'!$B$2:$B$501,0))="",INDEX('04_PRODUCTOS'!$E$2:$E$501,MATCH(F241,'04_PRODUCTOS'!$B$2:$B$501,0)),INDEX('04_PRODUCTOS'!$G$2:$G$501,MATCH(F241,'04_PRODUCTOS'!$B$2:$B$501,0))),INDEX('04_PRODUCTOS'!$E$2:$E$501,MATCH(F241,'04_PRODUCTOS'!$B$2:$B$501,0)))),"")</f>
        <v/>
      </c>
      <c r="I241" s="3" t="str">
        <f t="shared" si="21"/>
        <v/>
      </c>
      <c r="J241" s="3" t="str">
        <f>IFERROR(IF(INDEX('04_PRODUCTOS'!$D$2:$D$501,MATCH(F241,'04_PRODUCTOS'!$B$2:$B$501,0))="","",I241-(G241*INDEX('04_PRODUCTOS'!$D$2:$D$501,MATCH(F241,'04_PRODUCTOS'!$B$2:$B$501,0)))),"")</f>
        <v/>
      </c>
      <c r="K241" s="7" t="str">
        <f t="shared" si="22"/>
        <v/>
      </c>
      <c r="O241" t="str">
        <f>IF(D241="","",IFERROR(INDEX('03_CLIENTES'!$A$2:$A$501,MATCH(D241,'03_CLIENTES'!$B$2:$B$501,0)),""))</f>
        <v/>
      </c>
      <c r="P241" t="str">
        <f>IF(F241="","",IFERROR(INDEX('04_PRODUCTOS'!$A$2:$A$501,MATCH(F241,'04_PRODUCTOS'!$B$2:$B$501,0)),""))</f>
        <v/>
      </c>
      <c r="Q241" t="str">
        <f t="shared" si="23"/>
        <v/>
      </c>
    </row>
    <row r="242" spans="1:17" x14ac:dyDescent="0.25">
      <c r="A242" t="str">
        <f t="shared" si="18"/>
        <v/>
      </c>
      <c r="B242" s="4" t="str">
        <f t="shared" ca="1" si="19"/>
        <v/>
      </c>
      <c r="C242" s="5" t="str">
        <f t="shared" ca="1" si="20"/>
        <v/>
      </c>
      <c r="G242" s="6"/>
      <c r="H242" s="3" t="str">
        <f>IFERROR(IF(E242="Mayorista",IF(INDEX('04_PRODUCTOS'!$F$2:$F$501,MATCH(F242,'04_PRODUCTOS'!$B$2:$B$501,0))="",INDEX('04_PRODUCTOS'!$E$2:$E$501,MATCH(F242,'04_PRODUCTOS'!$B$2:$B$501,0)),INDEX('04_PRODUCTOS'!$F$2:$F$501,MATCH(F242,'04_PRODUCTOS'!$B$2:$B$501,0))),IF(E242="Especial",IF(INDEX('04_PRODUCTOS'!$G$2:$G$501,MATCH(F242,'04_PRODUCTOS'!$B$2:$B$501,0))="",INDEX('04_PRODUCTOS'!$E$2:$E$501,MATCH(F242,'04_PRODUCTOS'!$B$2:$B$501,0)),INDEX('04_PRODUCTOS'!$G$2:$G$501,MATCH(F242,'04_PRODUCTOS'!$B$2:$B$501,0))),INDEX('04_PRODUCTOS'!$E$2:$E$501,MATCH(F242,'04_PRODUCTOS'!$B$2:$B$501,0)))),"")</f>
        <v/>
      </c>
      <c r="I242" s="3" t="str">
        <f t="shared" si="21"/>
        <v/>
      </c>
      <c r="J242" s="3" t="str">
        <f>IFERROR(IF(INDEX('04_PRODUCTOS'!$D$2:$D$501,MATCH(F242,'04_PRODUCTOS'!$B$2:$B$501,0))="","",I242-(G242*INDEX('04_PRODUCTOS'!$D$2:$D$501,MATCH(F242,'04_PRODUCTOS'!$B$2:$B$501,0)))),"")</f>
        <v/>
      </c>
      <c r="K242" s="7" t="str">
        <f t="shared" si="22"/>
        <v/>
      </c>
      <c r="O242" t="str">
        <f>IF(D242="","",IFERROR(INDEX('03_CLIENTES'!$A$2:$A$501,MATCH(D242,'03_CLIENTES'!$B$2:$B$501,0)),""))</f>
        <v/>
      </c>
      <c r="P242" t="str">
        <f>IF(F242="","",IFERROR(INDEX('04_PRODUCTOS'!$A$2:$A$501,MATCH(F242,'04_PRODUCTOS'!$B$2:$B$501,0)),""))</f>
        <v/>
      </c>
      <c r="Q242" t="str">
        <f t="shared" si="23"/>
        <v/>
      </c>
    </row>
    <row r="243" spans="1:17" x14ac:dyDescent="0.25">
      <c r="A243" t="str">
        <f t="shared" si="18"/>
        <v/>
      </c>
      <c r="B243" s="4" t="str">
        <f t="shared" ca="1" si="19"/>
        <v/>
      </c>
      <c r="C243" s="5" t="str">
        <f t="shared" ca="1" si="20"/>
        <v/>
      </c>
      <c r="G243" s="6"/>
      <c r="H243" s="3" t="str">
        <f>IFERROR(IF(E243="Mayorista",IF(INDEX('04_PRODUCTOS'!$F$2:$F$501,MATCH(F243,'04_PRODUCTOS'!$B$2:$B$501,0))="",INDEX('04_PRODUCTOS'!$E$2:$E$501,MATCH(F243,'04_PRODUCTOS'!$B$2:$B$501,0)),INDEX('04_PRODUCTOS'!$F$2:$F$501,MATCH(F243,'04_PRODUCTOS'!$B$2:$B$501,0))),IF(E243="Especial",IF(INDEX('04_PRODUCTOS'!$G$2:$G$501,MATCH(F243,'04_PRODUCTOS'!$B$2:$B$501,0))="",INDEX('04_PRODUCTOS'!$E$2:$E$501,MATCH(F243,'04_PRODUCTOS'!$B$2:$B$501,0)),INDEX('04_PRODUCTOS'!$G$2:$G$501,MATCH(F243,'04_PRODUCTOS'!$B$2:$B$501,0))),INDEX('04_PRODUCTOS'!$E$2:$E$501,MATCH(F243,'04_PRODUCTOS'!$B$2:$B$501,0)))),"")</f>
        <v/>
      </c>
      <c r="I243" s="3" t="str">
        <f t="shared" si="21"/>
        <v/>
      </c>
      <c r="J243" s="3" t="str">
        <f>IFERROR(IF(INDEX('04_PRODUCTOS'!$D$2:$D$501,MATCH(F243,'04_PRODUCTOS'!$B$2:$B$501,0))="","",I243-(G243*INDEX('04_PRODUCTOS'!$D$2:$D$501,MATCH(F243,'04_PRODUCTOS'!$B$2:$B$501,0)))),"")</f>
        <v/>
      </c>
      <c r="K243" s="7" t="str">
        <f t="shared" si="22"/>
        <v/>
      </c>
      <c r="O243" t="str">
        <f>IF(D243="","",IFERROR(INDEX('03_CLIENTES'!$A$2:$A$501,MATCH(D243,'03_CLIENTES'!$B$2:$B$501,0)),""))</f>
        <v/>
      </c>
      <c r="P243" t="str">
        <f>IF(F243="","",IFERROR(INDEX('04_PRODUCTOS'!$A$2:$A$501,MATCH(F243,'04_PRODUCTOS'!$B$2:$B$501,0)),""))</f>
        <v/>
      </c>
      <c r="Q243" t="str">
        <f t="shared" si="23"/>
        <v/>
      </c>
    </row>
    <row r="244" spans="1:17" x14ac:dyDescent="0.25">
      <c r="A244" t="str">
        <f t="shared" si="18"/>
        <v/>
      </c>
      <c r="B244" s="4" t="str">
        <f t="shared" ca="1" si="19"/>
        <v/>
      </c>
      <c r="C244" s="5" t="str">
        <f t="shared" ca="1" si="20"/>
        <v/>
      </c>
      <c r="G244" s="6"/>
      <c r="H244" s="3" t="str">
        <f>IFERROR(IF(E244="Mayorista",IF(INDEX('04_PRODUCTOS'!$F$2:$F$501,MATCH(F244,'04_PRODUCTOS'!$B$2:$B$501,0))="",INDEX('04_PRODUCTOS'!$E$2:$E$501,MATCH(F244,'04_PRODUCTOS'!$B$2:$B$501,0)),INDEX('04_PRODUCTOS'!$F$2:$F$501,MATCH(F244,'04_PRODUCTOS'!$B$2:$B$501,0))),IF(E244="Especial",IF(INDEX('04_PRODUCTOS'!$G$2:$G$501,MATCH(F244,'04_PRODUCTOS'!$B$2:$B$501,0))="",INDEX('04_PRODUCTOS'!$E$2:$E$501,MATCH(F244,'04_PRODUCTOS'!$B$2:$B$501,0)),INDEX('04_PRODUCTOS'!$G$2:$G$501,MATCH(F244,'04_PRODUCTOS'!$B$2:$B$501,0))),INDEX('04_PRODUCTOS'!$E$2:$E$501,MATCH(F244,'04_PRODUCTOS'!$B$2:$B$501,0)))),"")</f>
        <v/>
      </c>
      <c r="I244" s="3" t="str">
        <f t="shared" si="21"/>
        <v/>
      </c>
      <c r="J244" s="3" t="str">
        <f>IFERROR(IF(INDEX('04_PRODUCTOS'!$D$2:$D$501,MATCH(F244,'04_PRODUCTOS'!$B$2:$B$501,0))="","",I244-(G244*INDEX('04_PRODUCTOS'!$D$2:$D$501,MATCH(F244,'04_PRODUCTOS'!$B$2:$B$501,0)))),"")</f>
        <v/>
      </c>
      <c r="K244" s="7" t="str">
        <f t="shared" si="22"/>
        <v/>
      </c>
      <c r="O244" t="str">
        <f>IF(D244="","",IFERROR(INDEX('03_CLIENTES'!$A$2:$A$501,MATCH(D244,'03_CLIENTES'!$B$2:$B$501,0)),""))</f>
        <v/>
      </c>
      <c r="P244" t="str">
        <f>IF(F244="","",IFERROR(INDEX('04_PRODUCTOS'!$A$2:$A$501,MATCH(F244,'04_PRODUCTOS'!$B$2:$B$501,0)),""))</f>
        <v/>
      </c>
      <c r="Q244" t="str">
        <f t="shared" si="23"/>
        <v/>
      </c>
    </row>
    <row r="245" spans="1:17" x14ac:dyDescent="0.25">
      <c r="A245" t="str">
        <f t="shared" si="18"/>
        <v/>
      </c>
      <c r="B245" s="4" t="str">
        <f t="shared" ca="1" si="19"/>
        <v/>
      </c>
      <c r="C245" s="5" t="str">
        <f t="shared" ca="1" si="20"/>
        <v/>
      </c>
      <c r="G245" s="6"/>
      <c r="H245" s="3" t="str">
        <f>IFERROR(IF(E245="Mayorista",IF(INDEX('04_PRODUCTOS'!$F$2:$F$501,MATCH(F245,'04_PRODUCTOS'!$B$2:$B$501,0))="",INDEX('04_PRODUCTOS'!$E$2:$E$501,MATCH(F245,'04_PRODUCTOS'!$B$2:$B$501,0)),INDEX('04_PRODUCTOS'!$F$2:$F$501,MATCH(F245,'04_PRODUCTOS'!$B$2:$B$501,0))),IF(E245="Especial",IF(INDEX('04_PRODUCTOS'!$G$2:$G$501,MATCH(F245,'04_PRODUCTOS'!$B$2:$B$501,0))="",INDEX('04_PRODUCTOS'!$E$2:$E$501,MATCH(F245,'04_PRODUCTOS'!$B$2:$B$501,0)),INDEX('04_PRODUCTOS'!$G$2:$G$501,MATCH(F245,'04_PRODUCTOS'!$B$2:$B$501,0))),INDEX('04_PRODUCTOS'!$E$2:$E$501,MATCH(F245,'04_PRODUCTOS'!$B$2:$B$501,0)))),"")</f>
        <v/>
      </c>
      <c r="I245" s="3" t="str">
        <f t="shared" si="21"/>
        <v/>
      </c>
      <c r="J245" s="3" t="str">
        <f>IFERROR(IF(INDEX('04_PRODUCTOS'!$D$2:$D$501,MATCH(F245,'04_PRODUCTOS'!$B$2:$B$501,0))="","",I245-(G245*INDEX('04_PRODUCTOS'!$D$2:$D$501,MATCH(F245,'04_PRODUCTOS'!$B$2:$B$501,0)))),"")</f>
        <v/>
      </c>
      <c r="K245" s="7" t="str">
        <f t="shared" si="22"/>
        <v/>
      </c>
      <c r="O245" t="str">
        <f>IF(D245="","",IFERROR(INDEX('03_CLIENTES'!$A$2:$A$501,MATCH(D245,'03_CLIENTES'!$B$2:$B$501,0)),""))</f>
        <v/>
      </c>
      <c r="P245" t="str">
        <f>IF(F245="","",IFERROR(INDEX('04_PRODUCTOS'!$A$2:$A$501,MATCH(F245,'04_PRODUCTOS'!$B$2:$B$501,0)),""))</f>
        <v/>
      </c>
      <c r="Q245" t="str">
        <f t="shared" si="23"/>
        <v/>
      </c>
    </row>
    <row r="246" spans="1:17" x14ac:dyDescent="0.25">
      <c r="A246" t="str">
        <f t="shared" si="18"/>
        <v/>
      </c>
      <c r="B246" s="4" t="str">
        <f t="shared" ca="1" si="19"/>
        <v/>
      </c>
      <c r="C246" s="5" t="str">
        <f t="shared" ca="1" si="20"/>
        <v/>
      </c>
      <c r="G246" s="6"/>
      <c r="H246" s="3" t="str">
        <f>IFERROR(IF(E246="Mayorista",IF(INDEX('04_PRODUCTOS'!$F$2:$F$501,MATCH(F246,'04_PRODUCTOS'!$B$2:$B$501,0))="",INDEX('04_PRODUCTOS'!$E$2:$E$501,MATCH(F246,'04_PRODUCTOS'!$B$2:$B$501,0)),INDEX('04_PRODUCTOS'!$F$2:$F$501,MATCH(F246,'04_PRODUCTOS'!$B$2:$B$501,0))),IF(E246="Especial",IF(INDEX('04_PRODUCTOS'!$G$2:$G$501,MATCH(F246,'04_PRODUCTOS'!$B$2:$B$501,0))="",INDEX('04_PRODUCTOS'!$E$2:$E$501,MATCH(F246,'04_PRODUCTOS'!$B$2:$B$501,0)),INDEX('04_PRODUCTOS'!$G$2:$G$501,MATCH(F246,'04_PRODUCTOS'!$B$2:$B$501,0))),INDEX('04_PRODUCTOS'!$E$2:$E$501,MATCH(F246,'04_PRODUCTOS'!$B$2:$B$501,0)))),"")</f>
        <v/>
      </c>
      <c r="I246" s="3" t="str">
        <f t="shared" si="21"/>
        <v/>
      </c>
      <c r="J246" s="3" t="str">
        <f>IFERROR(IF(INDEX('04_PRODUCTOS'!$D$2:$D$501,MATCH(F246,'04_PRODUCTOS'!$B$2:$B$501,0))="","",I246-(G246*INDEX('04_PRODUCTOS'!$D$2:$D$501,MATCH(F246,'04_PRODUCTOS'!$B$2:$B$501,0)))),"")</f>
        <v/>
      </c>
      <c r="K246" s="7" t="str">
        <f t="shared" si="22"/>
        <v/>
      </c>
      <c r="O246" t="str">
        <f>IF(D246="","",IFERROR(INDEX('03_CLIENTES'!$A$2:$A$501,MATCH(D246,'03_CLIENTES'!$B$2:$B$501,0)),""))</f>
        <v/>
      </c>
      <c r="P246" t="str">
        <f>IF(F246="","",IFERROR(INDEX('04_PRODUCTOS'!$A$2:$A$501,MATCH(F246,'04_PRODUCTOS'!$B$2:$B$501,0)),""))</f>
        <v/>
      </c>
      <c r="Q246" t="str">
        <f t="shared" si="23"/>
        <v/>
      </c>
    </row>
    <row r="247" spans="1:17" x14ac:dyDescent="0.25">
      <c r="A247" t="str">
        <f t="shared" si="18"/>
        <v/>
      </c>
      <c r="B247" s="4" t="str">
        <f t="shared" ca="1" si="19"/>
        <v/>
      </c>
      <c r="C247" s="5" t="str">
        <f t="shared" ca="1" si="20"/>
        <v/>
      </c>
      <c r="G247" s="6"/>
      <c r="H247" s="3" t="str">
        <f>IFERROR(IF(E247="Mayorista",IF(INDEX('04_PRODUCTOS'!$F$2:$F$501,MATCH(F247,'04_PRODUCTOS'!$B$2:$B$501,0))="",INDEX('04_PRODUCTOS'!$E$2:$E$501,MATCH(F247,'04_PRODUCTOS'!$B$2:$B$501,0)),INDEX('04_PRODUCTOS'!$F$2:$F$501,MATCH(F247,'04_PRODUCTOS'!$B$2:$B$501,0))),IF(E247="Especial",IF(INDEX('04_PRODUCTOS'!$G$2:$G$501,MATCH(F247,'04_PRODUCTOS'!$B$2:$B$501,0))="",INDEX('04_PRODUCTOS'!$E$2:$E$501,MATCH(F247,'04_PRODUCTOS'!$B$2:$B$501,0)),INDEX('04_PRODUCTOS'!$G$2:$G$501,MATCH(F247,'04_PRODUCTOS'!$B$2:$B$501,0))),INDEX('04_PRODUCTOS'!$E$2:$E$501,MATCH(F247,'04_PRODUCTOS'!$B$2:$B$501,0)))),"")</f>
        <v/>
      </c>
      <c r="I247" s="3" t="str">
        <f t="shared" si="21"/>
        <v/>
      </c>
      <c r="J247" s="3" t="str">
        <f>IFERROR(IF(INDEX('04_PRODUCTOS'!$D$2:$D$501,MATCH(F247,'04_PRODUCTOS'!$B$2:$B$501,0))="","",I247-(G247*INDEX('04_PRODUCTOS'!$D$2:$D$501,MATCH(F247,'04_PRODUCTOS'!$B$2:$B$501,0)))),"")</f>
        <v/>
      </c>
      <c r="K247" s="7" t="str">
        <f t="shared" si="22"/>
        <v/>
      </c>
      <c r="O247" t="str">
        <f>IF(D247="","",IFERROR(INDEX('03_CLIENTES'!$A$2:$A$501,MATCH(D247,'03_CLIENTES'!$B$2:$B$501,0)),""))</f>
        <v/>
      </c>
      <c r="P247" t="str">
        <f>IF(F247="","",IFERROR(INDEX('04_PRODUCTOS'!$A$2:$A$501,MATCH(F247,'04_PRODUCTOS'!$B$2:$B$501,0)),""))</f>
        <v/>
      </c>
      <c r="Q247" t="str">
        <f t="shared" si="23"/>
        <v/>
      </c>
    </row>
    <row r="248" spans="1:17" x14ac:dyDescent="0.25">
      <c r="A248" t="str">
        <f t="shared" si="18"/>
        <v/>
      </c>
      <c r="B248" s="4" t="str">
        <f t="shared" ca="1" si="19"/>
        <v/>
      </c>
      <c r="C248" s="5" t="str">
        <f t="shared" ca="1" si="20"/>
        <v/>
      </c>
      <c r="G248" s="6"/>
      <c r="H248" s="3" t="str">
        <f>IFERROR(IF(E248="Mayorista",IF(INDEX('04_PRODUCTOS'!$F$2:$F$501,MATCH(F248,'04_PRODUCTOS'!$B$2:$B$501,0))="",INDEX('04_PRODUCTOS'!$E$2:$E$501,MATCH(F248,'04_PRODUCTOS'!$B$2:$B$501,0)),INDEX('04_PRODUCTOS'!$F$2:$F$501,MATCH(F248,'04_PRODUCTOS'!$B$2:$B$501,0))),IF(E248="Especial",IF(INDEX('04_PRODUCTOS'!$G$2:$G$501,MATCH(F248,'04_PRODUCTOS'!$B$2:$B$501,0))="",INDEX('04_PRODUCTOS'!$E$2:$E$501,MATCH(F248,'04_PRODUCTOS'!$B$2:$B$501,0)),INDEX('04_PRODUCTOS'!$G$2:$G$501,MATCH(F248,'04_PRODUCTOS'!$B$2:$B$501,0))),INDEX('04_PRODUCTOS'!$E$2:$E$501,MATCH(F248,'04_PRODUCTOS'!$B$2:$B$501,0)))),"")</f>
        <v/>
      </c>
      <c r="I248" s="3" t="str">
        <f t="shared" si="21"/>
        <v/>
      </c>
      <c r="J248" s="3" t="str">
        <f>IFERROR(IF(INDEX('04_PRODUCTOS'!$D$2:$D$501,MATCH(F248,'04_PRODUCTOS'!$B$2:$B$501,0))="","",I248-(G248*INDEX('04_PRODUCTOS'!$D$2:$D$501,MATCH(F248,'04_PRODUCTOS'!$B$2:$B$501,0)))),"")</f>
        <v/>
      </c>
      <c r="K248" s="7" t="str">
        <f t="shared" si="22"/>
        <v/>
      </c>
      <c r="O248" t="str">
        <f>IF(D248="","",IFERROR(INDEX('03_CLIENTES'!$A$2:$A$501,MATCH(D248,'03_CLIENTES'!$B$2:$B$501,0)),""))</f>
        <v/>
      </c>
      <c r="P248" t="str">
        <f>IF(F248="","",IFERROR(INDEX('04_PRODUCTOS'!$A$2:$A$501,MATCH(F248,'04_PRODUCTOS'!$B$2:$B$501,0)),""))</f>
        <v/>
      </c>
      <c r="Q248" t="str">
        <f t="shared" si="23"/>
        <v/>
      </c>
    </row>
    <row r="249" spans="1:17" x14ac:dyDescent="0.25">
      <c r="A249" t="str">
        <f t="shared" si="18"/>
        <v/>
      </c>
      <c r="B249" s="4" t="str">
        <f t="shared" ca="1" si="19"/>
        <v/>
      </c>
      <c r="C249" s="5" t="str">
        <f t="shared" ca="1" si="20"/>
        <v/>
      </c>
      <c r="G249" s="6"/>
      <c r="H249" s="3" t="str">
        <f>IFERROR(IF(E249="Mayorista",IF(INDEX('04_PRODUCTOS'!$F$2:$F$501,MATCH(F249,'04_PRODUCTOS'!$B$2:$B$501,0))="",INDEX('04_PRODUCTOS'!$E$2:$E$501,MATCH(F249,'04_PRODUCTOS'!$B$2:$B$501,0)),INDEX('04_PRODUCTOS'!$F$2:$F$501,MATCH(F249,'04_PRODUCTOS'!$B$2:$B$501,0))),IF(E249="Especial",IF(INDEX('04_PRODUCTOS'!$G$2:$G$501,MATCH(F249,'04_PRODUCTOS'!$B$2:$B$501,0))="",INDEX('04_PRODUCTOS'!$E$2:$E$501,MATCH(F249,'04_PRODUCTOS'!$B$2:$B$501,0)),INDEX('04_PRODUCTOS'!$G$2:$G$501,MATCH(F249,'04_PRODUCTOS'!$B$2:$B$501,0))),INDEX('04_PRODUCTOS'!$E$2:$E$501,MATCH(F249,'04_PRODUCTOS'!$B$2:$B$501,0)))),"")</f>
        <v/>
      </c>
      <c r="I249" s="3" t="str">
        <f t="shared" si="21"/>
        <v/>
      </c>
      <c r="J249" s="3" t="str">
        <f>IFERROR(IF(INDEX('04_PRODUCTOS'!$D$2:$D$501,MATCH(F249,'04_PRODUCTOS'!$B$2:$B$501,0))="","",I249-(G249*INDEX('04_PRODUCTOS'!$D$2:$D$501,MATCH(F249,'04_PRODUCTOS'!$B$2:$B$501,0)))),"")</f>
        <v/>
      </c>
      <c r="K249" s="7" t="str">
        <f t="shared" si="22"/>
        <v/>
      </c>
      <c r="O249" t="str">
        <f>IF(D249="","",IFERROR(INDEX('03_CLIENTES'!$A$2:$A$501,MATCH(D249,'03_CLIENTES'!$B$2:$B$501,0)),""))</f>
        <v/>
      </c>
      <c r="P249" t="str">
        <f>IF(F249="","",IFERROR(INDEX('04_PRODUCTOS'!$A$2:$A$501,MATCH(F249,'04_PRODUCTOS'!$B$2:$B$501,0)),""))</f>
        <v/>
      </c>
      <c r="Q249" t="str">
        <f t="shared" si="23"/>
        <v/>
      </c>
    </row>
    <row r="250" spans="1:17" x14ac:dyDescent="0.25">
      <c r="A250" t="str">
        <f t="shared" si="18"/>
        <v/>
      </c>
      <c r="B250" s="4" t="str">
        <f t="shared" ca="1" si="19"/>
        <v/>
      </c>
      <c r="C250" s="5" t="str">
        <f t="shared" ca="1" si="20"/>
        <v/>
      </c>
      <c r="G250" s="6"/>
      <c r="H250" s="3" t="str">
        <f>IFERROR(IF(E250="Mayorista",IF(INDEX('04_PRODUCTOS'!$F$2:$F$501,MATCH(F250,'04_PRODUCTOS'!$B$2:$B$501,0))="",INDEX('04_PRODUCTOS'!$E$2:$E$501,MATCH(F250,'04_PRODUCTOS'!$B$2:$B$501,0)),INDEX('04_PRODUCTOS'!$F$2:$F$501,MATCH(F250,'04_PRODUCTOS'!$B$2:$B$501,0))),IF(E250="Especial",IF(INDEX('04_PRODUCTOS'!$G$2:$G$501,MATCH(F250,'04_PRODUCTOS'!$B$2:$B$501,0))="",INDEX('04_PRODUCTOS'!$E$2:$E$501,MATCH(F250,'04_PRODUCTOS'!$B$2:$B$501,0)),INDEX('04_PRODUCTOS'!$G$2:$G$501,MATCH(F250,'04_PRODUCTOS'!$B$2:$B$501,0))),INDEX('04_PRODUCTOS'!$E$2:$E$501,MATCH(F250,'04_PRODUCTOS'!$B$2:$B$501,0)))),"")</f>
        <v/>
      </c>
      <c r="I250" s="3" t="str">
        <f t="shared" si="21"/>
        <v/>
      </c>
      <c r="J250" s="3" t="str">
        <f>IFERROR(IF(INDEX('04_PRODUCTOS'!$D$2:$D$501,MATCH(F250,'04_PRODUCTOS'!$B$2:$B$501,0))="","",I250-(G250*INDEX('04_PRODUCTOS'!$D$2:$D$501,MATCH(F250,'04_PRODUCTOS'!$B$2:$B$501,0)))),"")</f>
        <v/>
      </c>
      <c r="K250" s="7" t="str">
        <f t="shared" si="22"/>
        <v/>
      </c>
      <c r="O250" t="str">
        <f>IF(D250="","",IFERROR(INDEX('03_CLIENTES'!$A$2:$A$501,MATCH(D250,'03_CLIENTES'!$B$2:$B$501,0)),""))</f>
        <v/>
      </c>
      <c r="P250" t="str">
        <f>IF(F250="","",IFERROR(INDEX('04_PRODUCTOS'!$A$2:$A$501,MATCH(F250,'04_PRODUCTOS'!$B$2:$B$501,0)),""))</f>
        <v/>
      </c>
      <c r="Q250" t="str">
        <f t="shared" si="23"/>
        <v/>
      </c>
    </row>
    <row r="251" spans="1:17" x14ac:dyDescent="0.25">
      <c r="A251" t="str">
        <f t="shared" si="18"/>
        <v/>
      </c>
      <c r="B251" s="4" t="str">
        <f t="shared" ca="1" si="19"/>
        <v/>
      </c>
      <c r="C251" s="5" t="str">
        <f t="shared" ca="1" si="20"/>
        <v/>
      </c>
      <c r="G251" s="6"/>
      <c r="H251" s="3" t="str">
        <f>IFERROR(IF(E251="Mayorista",IF(INDEX('04_PRODUCTOS'!$F$2:$F$501,MATCH(F251,'04_PRODUCTOS'!$B$2:$B$501,0))="",INDEX('04_PRODUCTOS'!$E$2:$E$501,MATCH(F251,'04_PRODUCTOS'!$B$2:$B$501,0)),INDEX('04_PRODUCTOS'!$F$2:$F$501,MATCH(F251,'04_PRODUCTOS'!$B$2:$B$501,0))),IF(E251="Especial",IF(INDEX('04_PRODUCTOS'!$G$2:$G$501,MATCH(F251,'04_PRODUCTOS'!$B$2:$B$501,0))="",INDEX('04_PRODUCTOS'!$E$2:$E$501,MATCH(F251,'04_PRODUCTOS'!$B$2:$B$501,0)),INDEX('04_PRODUCTOS'!$G$2:$G$501,MATCH(F251,'04_PRODUCTOS'!$B$2:$B$501,0))),INDEX('04_PRODUCTOS'!$E$2:$E$501,MATCH(F251,'04_PRODUCTOS'!$B$2:$B$501,0)))),"")</f>
        <v/>
      </c>
      <c r="I251" s="3" t="str">
        <f t="shared" si="21"/>
        <v/>
      </c>
      <c r="J251" s="3" t="str">
        <f>IFERROR(IF(INDEX('04_PRODUCTOS'!$D$2:$D$501,MATCH(F251,'04_PRODUCTOS'!$B$2:$B$501,0))="","",I251-(G251*INDEX('04_PRODUCTOS'!$D$2:$D$501,MATCH(F251,'04_PRODUCTOS'!$B$2:$B$501,0)))),"")</f>
        <v/>
      </c>
      <c r="K251" s="7" t="str">
        <f t="shared" si="22"/>
        <v/>
      </c>
      <c r="O251" t="str">
        <f>IF(D251="","",IFERROR(INDEX('03_CLIENTES'!$A$2:$A$501,MATCH(D251,'03_CLIENTES'!$B$2:$B$501,0)),""))</f>
        <v/>
      </c>
      <c r="P251" t="str">
        <f>IF(F251="","",IFERROR(INDEX('04_PRODUCTOS'!$A$2:$A$501,MATCH(F251,'04_PRODUCTOS'!$B$2:$B$501,0)),""))</f>
        <v/>
      </c>
      <c r="Q251" t="str">
        <f t="shared" si="23"/>
        <v/>
      </c>
    </row>
    <row r="252" spans="1:17" x14ac:dyDescent="0.25">
      <c r="A252" t="str">
        <f t="shared" si="18"/>
        <v/>
      </c>
      <c r="B252" s="4" t="str">
        <f t="shared" ca="1" si="19"/>
        <v/>
      </c>
      <c r="C252" s="5" t="str">
        <f t="shared" ca="1" si="20"/>
        <v/>
      </c>
      <c r="G252" s="6"/>
      <c r="H252" s="3" t="str">
        <f>IFERROR(IF(E252="Mayorista",IF(INDEX('04_PRODUCTOS'!$F$2:$F$501,MATCH(F252,'04_PRODUCTOS'!$B$2:$B$501,0))="",INDEX('04_PRODUCTOS'!$E$2:$E$501,MATCH(F252,'04_PRODUCTOS'!$B$2:$B$501,0)),INDEX('04_PRODUCTOS'!$F$2:$F$501,MATCH(F252,'04_PRODUCTOS'!$B$2:$B$501,0))),IF(E252="Especial",IF(INDEX('04_PRODUCTOS'!$G$2:$G$501,MATCH(F252,'04_PRODUCTOS'!$B$2:$B$501,0))="",INDEX('04_PRODUCTOS'!$E$2:$E$501,MATCH(F252,'04_PRODUCTOS'!$B$2:$B$501,0)),INDEX('04_PRODUCTOS'!$G$2:$G$501,MATCH(F252,'04_PRODUCTOS'!$B$2:$B$501,0))),INDEX('04_PRODUCTOS'!$E$2:$E$501,MATCH(F252,'04_PRODUCTOS'!$B$2:$B$501,0)))),"")</f>
        <v/>
      </c>
      <c r="I252" s="3" t="str">
        <f t="shared" si="21"/>
        <v/>
      </c>
      <c r="J252" s="3" t="str">
        <f>IFERROR(IF(INDEX('04_PRODUCTOS'!$D$2:$D$501,MATCH(F252,'04_PRODUCTOS'!$B$2:$B$501,0))="","",I252-(G252*INDEX('04_PRODUCTOS'!$D$2:$D$501,MATCH(F252,'04_PRODUCTOS'!$B$2:$B$501,0)))),"")</f>
        <v/>
      </c>
      <c r="K252" s="7" t="str">
        <f t="shared" si="22"/>
        <v/>
      </c>
      <c r="O252" t="str">
        <f>IF(D252="","",IFERROR(INDEX('03_CLIENTES'!$A$2:$A$501,MATCH(D252,'03_CLIENTES'!$B$2:$B$501,0)),""))</f>
        <v/>
      </c>
      <c r="P252" t="str">
        <f>IF(F252="","",IFERROR(INDEX('04_PRODUCTOS'!$A$2:$A$501,MATCH(F252,'04_PRODUCTOS'!$B$2:$B$501,0)),""))</f>
        <v/>
      </c>
      <c r="Q252" t="str">
        <f t="shared" si="23"/>
        <v/>
      </c>
    </row>
    <row r="253" spans="1:17" x14ac:dyDescent="0.25">
      <c r="A253" t="str">
        <f t="shared" si="18"/>
        <v/>
      </c>
      <c r="B253" s="4" t="str">
        <f t="shared" ca="1" si="19"/>
        <v/>
      </c>
      <c r="C253" s="5" t="str">
        <f t="shared" ca="1" si="20"/>
        <v/>
      </c>
      <c r="G253" s="6"/>
      <c r="H253" s="3" t="str">
        <f>IFERROR(IF(E253="Mayorista",IF(INDEX('04_PRODUCTOS'!$F$2:$F$501,MATCH(F253,'04_PRODUCTOS'!$B$2:$B$501,0))="",INDEX('04_PRODUCTOS'!$E$2:$E$501,MATCH(F253,'04_PRODUCTOS'!$B$2:$B$501,0)),INDEX('04_PRODUCTOS'!$F$2:$F$501,MATCH(F253,'04_PRODUCTOS'!$B$2:$B$501,0))),IF(E253="Especial",IF(INDEX('04_PRODUCTOS'!$G$2:$G$501,MATCH(F253,'04_PRODUCTOS'!$B$2:$B$501,0))="",INDEX('04_PRODUCTOS'!$E$2:$E$501,MATCH(F253,'04_PRODUCTOS'!$B$2:$B$501,0)),INDEX('04_PRODUCTOS'!$G$2:$G$501,MATCH(F253,'04_PRODUCTOS'!$B$2:$B$501,0))),INDEX('04_PRODUCTOS'!$E$2:$E$501,MATCH(F253,'04_PRODUCTOS'!$B$2:$B$501,0)))),"")</f>
        <v/>
      </c>
      <c r="I253" s="3" t="str">
        <f t="shared" si="21"/>
        <v/>
      </c>
      <c r="J253" s="3" t="str">
        <f>IFERROR(IF(INDEX('04_PRODUCTOS'!$D$2:$D$501,MATCH(F253,'04_PRODUCTOS'!$B$2:$B$501,0))="","",I253-(G253*INDEX('04_PRODUCTOS'!$D$2:$D$501,MATCH(F253,'04_PRODUCTOS'!$B$2:$B$501,0)))),"")</f>
        <v/>
      </c>
      <c r="K253" s="7" t="str">
        <f t="shared" si="22"/>
        <v/>
      </c>
      <c r="O253" t="str">
        <f>IF(D253="","",IFERROR(INDEX('03_CLIENTES'!$A$2:$A$501,MATCH(D253,'03_CLIENTES'!$B$2:$B$501,0)),""))</f>
        <v/>
      </c>
      <c r="P253" t="str">
        <f>IF(F253="","",IFERROR(INDEX('04_PRODUCTOS'!$A$2:$A$501,MATCH(F253,'04_PRODUCTOS'!$B$2:$B$501,0)),""))</f>
        <v/>
      </c>
      <c r="Q253" t="str">
        <f t="shared" si="23"/>
        <v/>
      </c>
    </row>
    <row r="254" spans="1:17" x14ac:dyDescent="0.25">
      <c r="A254" t="str">
        <f t="shared" si="18"/>
        <v/>
      </c>
      <c r="B254" s="4" t="str">
        <f t="shared" ca="1" si="19"/>
        <v/>
      </c>
      <c r="C254" s="5" t="str">
        <f t="shared" ca="1" si="20"/>
        <v/>
      </c>
      <c r="G254" s="6"/>
      <c r="H254" s="3" t="str">
        <f>IFERROR(IF(E254="Mayorista",IF(INDEX('04_PRODUCTOS'!$F$2:$F$501,MATCH(F254,'04_PRODUCTOS'!$B$2:$B$501,0))="",INDEX('04_PRODUCTOS'!$E$2:$E$501,MATCH(F254,'04_PRODUCTOS'!$B$2:$B$501,0)),INDEX('04_PRODUCTOS'!$F$2:$F$501,MATCH(F254,'04_PRODUCTOS'!$B$2:$B$501,0))),IF(E254="Especial",IF(INDEX('04_PRODUCTOS'!$G$2:$G$501,MATCH(F254,'04_PRODUCTOS'!$B$2:$B$501,0))="",INDEX('04_PRODUCTOS'!$E$2:$E$501,MATCH(F254,'04_PRODUCTOS'!$B$2:$B$501,0)),INDEX('04_PRODUCTOS'!$G$2:$G$501,MATCH(F254,'04_PRODUCTOS'!$B$2:$B$501,0))),INDEX('04_PRODUCTOS'!$E$2:$E$501,MATCH(F254,'04_PRODUCTOS'!$B$2:$B$501,0)))),"")</f>
        <v/>
      </c>
      <c r="I254" s="3" t="str">
        <f t="shared" si="21"/>
        <v/>
      </c>
      <c r="J254" s="3" t="str">
        <f>IFERROR(IF(INDEX('04_PRODUCTOS'!$D$2:$D$501,MATCH(F254,'04_PRODUCTOS'!$B$2:$B$501,0))="","",I254-(G254*INDEX('04_PRODUCTOS'!$D$2:$D$501,MATCH(F254,'04_PRODUCTOS'!$B$2:$B$501,0)))),"")</f>
        <v/>
      </c>
      <c r="K254" s="7" t="str">
        <f t="shared" si="22"/>
        <v/>
      </c>
      <c r="O254" t="str">
        <f>IF(D254="","",IFERROR(INDEX('03_CLIENTES'!$A$2:$A$501,MATCH(D254,'03_CLIENTES'!$B$2:$B$501,0)),""))</f>
        <v/>
      </c>
      <c r="P254" t="str">
        <f>IF(F254="","",IFERROR(INDEX('04_PRODUCTOS'!$A$2:$A$501,MATCH(F254,'04_PRODUCTOS'!$B$2:$B$501,0)),""))</f>
        <v/>
      </c>
      <c r="Q254" t="str">
        <f t="shared" si="23"/>
        <v/>
      </c>
    </row>
    <row r="255" spans="1:17" x14ac:dyDescent="0.25">
      <c r="A255" t="str">
        <f t="shared" si="18"/>
        <v/>
      </c>
      <c r="B255" s="4" t="str">
        <f t="shared" ca="1" si="19"/>
        <v/>
      </c>
      <c r="C255" s="5" t="str">
        <f t="shared" ca="1" si="20"/>
        <v/>
      </c>
      <c r="G255" s="6"/>
      <c r="H255" s="3" t="str">
        <f>IFERROR(IF(E255="Mayorista",IF(INDEX('04_PRODUCTOS'!$F$2:$F$501,MATCH(F255,'04_PRODUCTOS'!$B$2:$B$501,0))="",INDEX('04_PRODUCTOS'!$E$2:$E$501,MATCH(F255,'04_PRODUCTOS'!$B$2:$B$501,0)),INDEX('04_PRODUCTOS'!$F$2:$F$501,MATCH(F255,'04_PRODUCTOS'!$B$2:$B$501,0))),IF(E255="Especial",IF(INDEX('04_PRODUCTOS'!$G$2:$G$501,MATCH(F255,'04_PRODUCTOS'!$B$2:$B$501,0))="",INDEX('04_PRODUCTOS'!$E$2:$E$501,MATCH(F255,'04_PRODUCTOS'!$B$2:$B$501,0)),INDEX('04_PRODUCTOS'!$G$2:$G$501,MATCH(F255,'04_PRODUCTOS'!$B$2:$B$501,0))),INDEX('04_PRODUCTOS'!$E$2:$E$501,MATCH(F255,'04_PRODUCTOS'!$B$2:$B$501,0)))),"")</f>
        <v/>
      </c>
      <c r="I255" s="3" t="str">
        <f t="shared" si="21"/>
        <v/>
      </c>
      <c r="J255" s="3" t="str">
        <f>IFERROR(IF(INDEX('04_PRODUCTOS'!$D$2:$D$501,MATCH(F255,'04_PRODUCTOS'!$B$2:$B$501,0))="","",I255-(G255*INDEX('04_PRODUCTOS'!$D$2:$D$501,MATCH(F255,'04_PRODUCTOS'!$B$2:$B$501,0)))),"")</f>
        <v/>
      </c>
      <c r="K255" s="7" t="str">
        <f t="shared" si="22"/>
        <v/>
      </c>
      <c r="O255" t="str">
        <f>IF(D255="","",IFERROR(INDEX('03_CLIENTES'!$A$2:$A$501,MATCH(D255,'03_CLIENTES'!$B$2:$B$501,0)),""))</f>
        <v/>
      </c>
      <c r="P255" t="str">
        <f>IF(F255="","",IFERROR(INDEX('04_PRODUCTOS'!$A$2:$A$501,MATCH(F255,'04_PRODUCTOS'!$B$2:$B$501,0)),""))</f>
        <v/>
      </c>
      <c r="Q255" t="str">
        <f t="shared" si="23"/>
        <v/>
      </c>
    </row>
    <row r="256" spans="1:17" x14ac:dyDescent="0.25">
      <c r="A256" t="str">
        <f t="shared" si="18"/>
        <v/>
      </c>
      <c r="B256" s="4" t="str">
        <f t="shared" ca="1" si="19"/>
        <v/>
      </c>
      <c r="C256" s="5" t="str">
        <f t="shared" ca="1" si="20"/>
        <v/>
      </c>
      <c r="G256" s="6"/>
      <c r="H256" s="3" t="str">
        <f>IFERROR(IF(E256="Mayorista",IF(INDEX('04_PRODUCTOS'!$F$2:$F$501,MATCH(F256,'04_PRODUCTOS'!$B$2:$B$501,0))="",INDEX('04_PRODUCTOS'!$E$2:$E$501,MATCH(F256,'04_PRODUCTOS'!$B$2:$B$501,0)),INDEX('04_PRODUCTOS'!$F$2:$F$501,MATCH(F256,'04_PRODUCTOS'!$B$2:$B$501,0))),IF(E256="Especial",IF(INDEX('04_PRODUCTOS'!$G$2:$G$501,MATCH(F256,'04_PRODUCTOS'!$B$2:$B$501,0))="",INDEX('04_PRODUCTOS'!$E$2:$E$501,MATCH(F256,'04_PRODUCTOS'!$B$2:$B$501,0)),INDEX('04_PRODUCTOS'!$G$2:$G$501,MATCH(F256,'04_PRODUCTOS'!$B$2:$B$501,0))),INDEX('04_PRODUCTOS'!$E$2:$E$501,MATCH(F256,'04_PRODUCTOS'!$B$2:$B$501,0)))),"")</f>
        <v/>
      </c>
      <c r="I256" s="3" t="str">
        <f t="shared" si="21"/>
        <v/>
      </c>
      <c r="J256" s="3" t="str">
        <f>IFERROR(IF(INDEX('04_PRODUCTOS'!$D$2:$D$501,MATCH(F256,'04_PRODUCTOS'!$B$2:$B$501,0))="","",I256-(G256*INDEX('04_PRODUCTOS'!$D$2:$D$501,MATCH(F256,'04_PRODUCTOS'!$B$2:$B$501,0)))),"")</f>
        <v/>
      </c>
      <c r="K256" s="7" t="str">
        <f t="shared" si="22"/>
        <v/>
      </c>
      <c r="O256" t="str">
        <f>IF(D256="","",IFERROR(INDEX('03_CLIENTES'!$A$2:$A$501,MATCH(D256,'03_CLIENTES'!$B$2:$B$501,0)),""))</f>
        <v/>
      </c>
      <c r="P256" t="str">
        <f>IF(F256="","",IFERROR(INDEX('04_PRODUCTOS'!$A$2:$A$501,MATCH(F256,'04_PRODUCTOS'!$B$2:$B$501,0)),""))</f>
        <v/>
      </c>
      <c r="Q256" t="str">
        <f t="shared" si="23"/>
        <v/>
      </c>
    </row>
    <row r="257" spans="1:17" x14ac:dyDescent="0.25">
      <c r="A257" t="str">
        <f t="shared" si="18"/>
        <v/>
      </c>
      <c r="B257" s="4" t="str">
        <f t="shared" ca="1" si="19"/>
        <v/>
      </c>
      <c r="C257" s="5" t="str">
        <f t="shared" ca="1" si="20"/>
        <v/>
      </c>
      <c r="G257" s="6"/>
      <c r="H257" s="3" t="str">
        <f>IFERROR(IF(E257="Mayorista",IF(INDEX('04_PRODUCTOS'!$F$2:$F$501,MATCH(F257,'04_PRODUCTOS'!$B$2:$B$501,0))="",INDEX('04_PRODUCTOS'!$E$2:$E$501,MATCH(F257,'04_PRODUCTOS'!$B$2:$B$501,0)),INDEX('04_PRODUCTOS'!$F$2:$F$501,MATCH(F257,'04_PRODUCTOS'!$B$2:$B$501,0))),IF(E257="Especial",IF(INDEX('04_PRODUCTOS'!$G$2:$G$501,MATCH(F257,'04_PRODUCTOS'!$B$2:$B$501,0))="",INDEX('04_PRODUCTOS'!$E$2:$E$501,MATCH(F257,'04_PRODUCTOS'!$B$2:$B$501,0)),INDEX('04_PRODUCTOS'!$G$2:$G$501,MATCH(F257,'04_PRODUCTOS'!$B$2:$B$501,0))),INDEX('04_PRODUCTOS'!$E$2:$E$501,MATCH(F257,'04_PRODUCTOS'!$B$2:$B$501,0)))),"")</f>
        <v/>
      </c>
      <c r="I257" s="3" t="str">
        <f t="shared" si="21"/>
        <v/>
      </c>
      <c r="J257" s="3" t="str">
        <f>IFERROR(IF(INDEX('04_PRODUCTOS'!$D$2:$D$501,MATCH(F257,'04_PRODUCTOS'!$B$2:$B$501,0))="","",I257-(G257*INDEX('04_PRODUCTOS'!$D$2:$D$501,MATCH(F257,'04_PRODUCTOS'!$B$2:$B$501,0)))),"")</f>
        <v/>
      </c>
      <c r="K257" s="7" t="str">
        <f t="shared" si="22"/>
        <v/>
      </c>
      <c r="O257" t="str">
        <f>IF(D257="","",IFERROR(INDEX('03_CLIENTES'!$A$2:$A$501,MATCH(D257,'03_CLIENTES'!$B$2:$B$501,0)),""))</f>
        <v/>
      </c>
      <c r="P257" t="str">
        <f>IF(F257="","",IFERROR(INDEX('04_PRODUCTOS'!$A$2:$A$501,MATCH(F257,'04_PRODUCTOS'!$B$2:$B$501,0)),""))</f>
        <v/>
      </c>
      <c r="Q257" t="str">
        <f t="shared" si="23"/>
        <v/>
      </c>
    </row>
    <row r="258" spans="1:17" x14ac:dyDescent="0.25">
      <c r="A258" t="str">
        <f t="shared" ref="A258:A321" si="24">IF(OR(D258="",F258=""),"","VEN"&amp;TEXT(ROW()-1,"000000"))</f>
        <v/>
      </c>
      <c r="B258" s="4" t="str">
        <f t="shared" ref="B258:B321" ca="1" si="25">IF(A258="","",TODAY())</f>
        <v/>
      </c>
      <c r="C258" s="5" t="str">
        <f t="shared" ref="C258:C321" ca="1" si="26">IF(A258="","",NOW())</f>
        <v/>
      </c>
      <c r="G258" s="6"/>
      <c r="H258" s="3" t="str">
        <f>IFERROR(IF(E258="Mayorista",IF(INDEX('04_PRODUCTOS'!$F$2:$F$501,MATCH(F258,'04_PRODUCTOS'!$B$2:$B$501,0))="",INDEX('04_PRODUCTOS'!$E$2:$E$501,MATCH(F258,'04_PRODUCTOS'!$B$2:$B$501,0)),INDEX('04_PRODUCTOS'!$F$2:$F$501,MATCH(F258,'04_PRODUCTOS'!$B$2:$B$501,0))),IF(E258="Especial",IF(INDEX('04_PRODUCTOS'!$G$2:$G$501,MATCH(F258,'04_PRODUCTOS'!$B$2:$B$501,0))="",INDEX('04_PRODUCTOS'!$E$2:$E$501,MATCH(F258,'04_PRODUCTOS'!$B$2:$B$501,0)),INDEX('04_PRODUCTOS'!$G$2:$G$501,MATCH(F258,'04_PRODUCTOS'!$B$2:$B$501,0))),INDEX('04_PRODUCTOS'!$E$2:$E$501,MATCH(F258,'04_PRODUCTOS'!$B$2:$B$501,0)))),"")</f>
        <v/>
      </c>
      <c r="I258" s="3" t="str">
        <f t="shared" ref="I258:I321" si="27">IF(AND(G258&lt;&gt;"",H258&lt;&gt;""),G258*H258,"")</f>
        <v/>
      </c>
      <c r="J258" s="3" t="str">
        <f>IFERROR(IF(INDEX('04_PRODUCTOS'!$D$2:$D$501,MATCH(F258,'04_PRODUCTOS'!$B$2:$B$501,0))="","",I258-(G258*INDEX('04_PRODUCTOS'!$D$2:$D$501,MATCH(F258,'04_PRODUCTOS'!$B$2:$B$501,0)))),"")</f>
        <v/>
      </c>
      <c r="K258" s="7" t="str">
        <f t="shared" ref="K258:K321" si="28">IF(OR(I258="",J258=""),"",IFERROR(J258/I258,""))</f>
        <v/>
      </c>
      <c r="O258" t="str">
        <f>IF(D258="","",IFERROR(INDEX('03_CLIENTES'!$A$2:$A$501,MATCH(D258,'03_CLIENTES'!$B$2:$B$501,0)),""))</f>
        <v/>
      </c>
      <c r="P258" t="str">
        <f>IF(F258="","",IFERROR(INDEX('04_PRODUCTOS'!$A$2:$A$501,MATCH(F258,'04_PRODUCTOS'!$B$2:$B$501,0)),""))</f>
        <v/>
      </c>
      <c r="Q258" t="str">
        <f t="shared" ref="Q258:Q321" si="29">IF(AND(D258&lt;&gt;"",F258&lt;&gt;"",G258&gt;0,H258&lt;&gt;""),IF(O258="","CLIENTE NO ENCONTRADO",IF(P258="","PRODUCTO NO ENCONTRADO","OK")),"")</f>
        <v/>
      </c>
    </row>
    <row r="259" spans="1:17" x14ac:dyDescent="0.25">
      <c r="A259" t="str">
        <f t="shared" si="24"/>
        <v/>
      </c>
      <c r="B259" s="4" t="str">
        <f t="shared" ca="1" si="25"/>
        <v/>
      </c>
      <c r="C259" s="5" t="str">
        <f t="shared" ca="1" si="26"/>
        <v/>
      </c>
      <c r="G259" s="6"/>
      <c r="H259" s="3" t="str">
        <f>IFERROR(IF(E259="Mayorista",IF(INDEX('04_PRODUCTOS'!$F$2:$F$501,MATCH(F259,'04_PRODUCTOS'!$B$2:$B$501,0))="",INDEX('04_PRODUCTOS'!$E$2:$E$501,MATCH(F259,'04_PRODUCTOS'!$B$2:$B$501,0)),INDEX('04_PRODUCTOS'!$F$2:$F$501,MATCH(F259,'04_PRODUCTOS'!$B$2:$B$501,0))),IF(E259="Especial",IF(INDEX('04_PRODUCTOS'!$G$2:$G$501,MATCH(F259,'04_PRODUCTOS'!$B$2:$B$501,0))="",INDEX('04_PRODUCTOS'!$E$2:$E$501,MATCH(F259,'04_PRODUCTOS'!$B$2:$B$501,0)),INDEX('04_PRODUCTOS'!$G$2:$G$501,MATCH(F259,'04_PRODUCTOS'!$B$2:$B$501,0))),INDEX('04_PRODUCTOS'!$E$2:$E$501,MATCH(F259,'04_PRODUCTOS'!$B$2:$B$501,0)))),"")</f>
        <v/>
      </c>
      <c r="I259" s="3" t="str">
        <f t="shared" si="27"/>
        <v/>
      </c>
      <c r="J259" s="3" t="str">
        <f>IFERROR(IF(INDEX('04_PRODUCTOS'!$D$2:$D$501,MATCH(F259,'04_PRODUCTOS'!$B$2:$B$501,0))="","",I259-(G259*INDEX('04_PRODUCTOS'!$D$2:$D$501,MATCH(F259,'04_PRODUCTOS'!$B$2:$B$501,0)))),"")</f>
        <v/>
      </c>
      <c r="K259" s="7" t="str">
        <f t="shared" si="28"/>
        <v/>
      </c>
      <c r="O259" t="str">
        <f>IF(D259="","",IFERROR(INDEX('03_CLIENTES'!$A$2:$A$501,MATCH(D259,'03_CLIENTES'!$B$2:$B$501,0)),""))</f>
        <v/>
      </c>
      <c r="P259" t="str">
        <f>IF(F259="","",IFERROR(INDEX('04_PRODUCTOS'!$A$2:$A$501,MATCH(F259,'04_PRODUCTOS'!$B$2:$B$501,0)),""))</f>
        <v/>
      </c>
      <c r="Q259" t="str">
        <f t="shared" si="29"/>
        <v/>
      </c>
    </row>
    <row r="260" spans="1:17" x14ac:dyDescent="0.25">
      <c r="A260" t="str">
        <f t="shared" si="24"/>
        <v/>
      </c>
      <c r="B260" s="4" t="str">
        <f t="shared" ca="1" si="25"/>
        <v/>
      </c>
      <c r="C260" s="5" t="str">
        <f t="shared" ca="1" si="26"/>
        <v/>
      </c>
      <c r="G260" s="6"/>
      <c r="H260" s="3" t="str">
        <f>IFERROR(IF(E260="Mayorista",IF(INDEX('04_PRODUCTOS'!$F$2:$F$501,MATCH(F260,'04_PRODUCTOS'!$B$2:$B$501,0))="",INDEX('04_PRODUCTOS'!$E$2:$E$501,MATCH(F260,'04_PRODUCTOS'!$B$2:$B$501,0)),INDEX('04_PRODUCTOS'!$F$2:$F$501,MATCH(F260,'04_PRODUCTOS'!$B$2:$B$501,0))),IF(E260="Especial",IF(INDEX('04_PRODUCTOS'!$G$2:$G$501,MATCH(F260,'04_PRODUCTOS'!$B$2:$B$501,0))="",INDEX('04_PRODUCTOS'!$E$2:$E$501,MATCH(F260,'04_PRODUCTOS'!$B$2:$B$501,0)),INDEX('04_PRODUCTOS'!$G$2:$G$501,MATCH(F260,'04_PRODUCTOS'!$B$2:$B$501,0))),INDEX('04_PRODUCTOS'!$E$2:$E$501,MATCH(F260,'04_PRODUCTOS'!$B$2:$B$501,0)))),"")</f>
        <v/>
      </c>
      <c r="I260" s="3" t="str">
        <f t="shared" si="27"/>
        <v/>
      </c>
      <c r="J260" s="3" t="str">
        <f>IFERROR(IF(INDEX('04_PRODUCTOS'!$D$2:$D$501,MATCH(F260,'04_PRODUCTOS'!$B$2:$B$501,0))="","",I260-(G260*INDEX('04_PRODUCTOS'!$D$2:$D$501,MATCH(F260,'04_PRODUCTOS'!$B$2:$B$501,0)))),"")</f>
        <v/>
      </c>
      <c r="K260" s="7" t="str">
        <f t="shared" si="28"/>
        <v/>
      </c>
      <c r="O260" t="str">
        <f>IF(D260="","",IFERROR(INDEX('03_CLIENTES'!$A$2:$A$501,MATCH(D260,'03_CLIENTES'!$B$2:$B$501,0)),""))</f>
        <v/>
      </c>
      <c r="P260" t="str">
        <f>IF(F260="","",IFERROR(INDEX('04_PRODUCTOS'!$A$2:$A$501,MATCH(F260,'04_PRODUCTOS'!$B$2:$B$501,0)),""))</f>
        <v/>
      </c>
      <c r="Q260" t="str">
        <f t="shared" si="29"/>
        <v/>
      </c>
    </row>
    <row r="261" spans="1:17" x14ac:dyDescent="0.25">
      <c r="A261" t="str">
        <f t="shared" si="24"/>
        <v/>
      </c>
      <c r="B261" s="4" t="str">
        <f t="shared" ca="1" si="25"/>
        <v/>
      </c>
      <c r="C261" s="5" t="str">
        <f t="shared" ca="1" si="26"/>
        <v/>
      </c>
      <c r="G261" s="6"/>
      <c r="H261" s="3" t="str">
        <f>IFERROR(IF(E261="Mayorista",IF(INDEX('04_PRODUCTOS'!$F$2:$F$501,MATCH(F261,'04_PRODUCTOS'!$B$2:$B$501,0))="",INDEX('04_PRODUCTOS'!$E$2:$E$501,MATCH(F261,'04_PRODUCTOS'!$B$2:$B$501,0)),INDEX('04_PRODUCTOS'!$F$2:$F$501,MATCH(F261,'04_PRODUCTOS'!$B$2:$B$501,0))),IF(E261="Especial",IF(INDEX('04_PRODUCTOS'!$G$2:$G$501,MATCH(F261,'04_PRODUCTOS'!$B$2:$B$501,0))="",INDEX('04_PRODUCTOS'!$E$2:$E$501,MATCH(F261,'04_PRODUCTOS'!$B$2:$B$501,0)),INDEX('04_PRODUCTOS'!$G$2:$G$501,MATCH(F261,'04_PRODUCTOS'!$B$2:$B$501,0))),INDEX('04_PRODUCTOS'!$E$2:$E$501,MATCH(F261,'04_PRODUCTOS'!$B$2:$B$501,0)))),"")</f>
        <v/>
      </c>
      <c r="I261" s="3" t="str">
        <f t="shared" si="27"/>
        <v/>
      </c>
      <c r="J261" s="3" t="str">
        <f>IFERROR(IF(INDEX('04_PRODUCTOS'!$D$2:$D$501,MATCH(F261,'04_PRODUCTOS'!$B$2:$B$501,0))="","",I261-(G261*INDEX('04_PRODUCTOS'!$D$2:$D$501,MATCH(F261,'04_PRODUCTOS'!$B$2:$B$501,0)))),"")</f>
        <v/>
      </c>
      <c r="K261" s="7" t="str">
        <f t="shared" si="28"/>
        <v/>
      </c>
      <c r="O261" t="str">
        <f>IF(D261="","",IFERROR(INDEX('03_CLIENTES'!$A$2:$A$501,MATCH(D261,'03_CLIENTES'!$B$2:$B$501,0)),""))</f>
        <v/>
      </c>
      <c r="P261" t="str">
        <f>IF(F261="","",IFERROR(INDEX('04_PRODUCTOS'!$A$2:$A$501,MATCH(F261,'04_PRODUCTOS'!$B$2:$B$501,0)),""))</f>
        <v/>
      </c>
      <c r="Q261" t="str">
        <f t="shared" si="29"/>
        <v/>
      </c>
    </row>
    <row r="262" spans="1:17" x14ac:dyDescent="0.25">
      <c r="A262" t="str">
        <f t="shared" si="24"/>
        <v/>
      </c>
      <c r="B262" s="4" t="str">
        <f t="shared" ca="1" si="25"/>
        <v/>
      </c>
      <c r="C262" s="5" t="str">
        <f t="shared" ca="1" si="26"/>
        <v/>
      </c>
      <c r="G262" s="6"/>
      <c r="H262" s="3" t="str">
        <f>IFERROR(IF(E262="Mayorista",IF(INDEX('04_PRODUCTOS'!$F$2:$F$501,MATCH(F262,'04_PRODUCTOS'!$B$2:$B$501,0))="",INDEX('04_PRODUCTOS'!$E$2:$E$501,MATCH(F262,'04_PRODUCTOS'!$B$2:$B$501,0)),INDEX('04_PRODUCTOS'!$F$2:$F$501,MATCH(F262,'04_PRODUCTOS'!$B$2:$B$501,0))),IF(E262="Especial",IF(INDEX('04_PRODUCTOS'!$G$2:$G$501,MATCH(F262,'04_PRODUCTOS'!$B$2:$B$501,0))="",INDEX('04_PRODUCTOS'!$E$2:$E$501,MATCH(F262,'04_PRODUCTOS'!$B$2:$B$501,0)),INDEX('04_PRODUCTOS'!$G$2:$G$501,MATCH(F262,'04_PRODUCTOS'!$B$2:$B$501,0))),INDEX('04_PRODUCTOS'!$E$2:$E$501,MATCH(F262,'04_PRODUCTOS'!$B$2:$B$501,0)))),"")</f>
        <v/>
      </c>
      <c r="I262" s="3" t="str">
        <f t="shared" si="27"/>
        <v/>
      </c>
      <c r="J262" s="3" t="str">
        <f>IFERROR(IF(INDEX('04_PRODUCTOS'!$D$2:$D$501,MATCH(F262,'04_PRODUCTOS'!$B$2:$B$501,0))="","",I262-(G262*INDEX('04_PRODUCTOS'!$D$2:$D$501,MATCH(F262,'04_PRODUCTOS'!$B$2:$B$501,0)))),"")</f>
        <v/>
      </c>
      <c r="K262" s="7" t="str">
        <f t="shared" si="28"/>
        <v/>
      </c>
      <c r="O262" t="str">
        <f>IF(D262="","",IFERROR(INDEX('03_CLIENTES'!$A$2:$A$501,MATCH(D262,'03_CLIENTES'!$B$2:$B$501,0)),""))</f>
        <v/>
      </c>
      <c r="P262" t="str">
        <f>IF(F262="","",IFERROR(INDEX('04_PRODUCTOS'!$A$2:$A$501,MATCH(F262,'04_PRODUCTOS'!$B$2:$B$501,0)),""))</f>
        <v/>
      </c>
      <c r="Q262" t="str">
        <f t="shared" si="29"/>
        <v/>
      </c>
    </row>
    <row r="263" spans="1:17" x14ac:dyDescent="0.25">
      <c r="A263" t="str">
        <f t="shared" si="24"/>
        <v/>
      </c>
      <c r="B263" s="4" t="str">
        <f t="shared" ca="1" si="25"/>
        <v/>
      </c>
      <c r="C263" s="5" t="str">
        <f t="shared" ca="1" si="26"/>
        <v/>
      </c>
      <c r="G263" s="6"/>
      <c r="H263" s="3" t="str">
        <f>IFERROR(IF(E263="Mayorista",IF(INDEX('04_PRODUCTOS'!$F$2:$F$501,MATCH(F263,'04_PRODUCTOS'!$B$2:$B$501,0))="",INDEX('04_PRODUCTOS'!$E$2:$E$501,MATCH(F263,'04_PRODUCTOS'!$B$2:$B$501,0)),INDEX('04_PRODUCTOS'!$F$2:$F$501,MATCH(F263,'04_PRODUCTOS'!$B$2:$B$501,0))),IF(E263="Especial",IF(INDEX('04_PRODUCTOS'!$G$2:$G$501,MATCH(F263,'04_PRODUCTOS'!$B$2:$B$501,0))="",INDEX('04_PRODUCTOS'!$E$2:$E$501,MATCH(F263,'04_PRODUCTOS'!$B$2:$B$501,0)),INDEX('04_PRODUCTOS'!$G$2:$G$501,MATCH(F263,'04_PRODUCTOS'!$B$2:$B$501,0))),INDEX('04_PRODUCTOS'!$E$2:$E$501,MATCH(F263,'04_PRODUCTOS'!$B$2:$B$501,0)))),"")</f>
        <v/>
      </c>
      <c r="I263" s="3" t="str">
        <f t="shared" si="27"/>
        <v/>
      </c>
      <c r="J263" s="3" t="str">
        <f>IFERROR(IF(INDEX('04_PRODUCTOS'!$D$2:$D$501,MATCH(F263,'04_PRODUCTOS'!$B$2:$B$501,0))="","",I263-(G263*INDEX('04_PRODUCTOS'!$D$2:$D$501,MATCH(F263,'04_PRODUCTOS'!$B$2:$B$501,0)))),"")</f>
        <v/>
      </c>
      <c r="K263" s="7" t="str">
        <f t="shared" si="28"/>
        <v/>
      </c>
      <c r="O263" t="str">
        <f>IF(D263="","",IFERROR(INDEX('03_CLIENTES'!$A$2:$A$501,MATCH(D263,'03_CLIENTES'!$B$2:$B$501,0)),""))</f>
        <v/>
      </c>
      <c r="P263" t="str">
        <f>IF(F263="","",IFERROR(INDEX('04_PRODUCTOS'!$A$2:$A$501,MATCH(F263,'04_PRODUCTOS'!$B$2:$B$501,0)),""))</f>
        <v/>
      </c>
      <c r="Q263" t="str">
        <f t="shared" si="29"/>
        <v/>
      </c>
    </row>
    <row r="264" spans="1:17" x14ac:dyDescent="0.25">
      <c r="A264" t="str">
        <f t="shared" si="24"/>
        <v/>
      </c>
      <c r="B264" s="4" t="str">
        <f t="shared" ca="1" si="25"/>
        <v/>
      </c>
      <c r="C264" s="5" t="str">
        <f t="shared" ca="1" si="26"/>
        <v/>
      </c>
      <c r="G264" s="6"/>
      <c r="H264" s="3" t="str">
        <f>IFERROR(IF(E264="Mayorista",IF(INDEX('04_PRODUCTOS'!$F$2:$F$501,MATCH(F264,'04_PRODUCTOS'!$B$2:$B$501,0))="",INDEX('04_PRODUCTOS'!$E$2:$E$501,MATCH(F264,'04_PRODUCTOS'!$B$2:$B$501,0)),INDEX('04_PRODUCTOS'!$F$2:$F$501,MATCH(F264,'04_PRODUCTOS'!$B$2:$B$501,0))),IF(E264="Especial",IF(INDEX('04_PRODUCTOS'!$G$2:$G$501,MATCH(F264,'04_PRODUCTOS'!$B$2:$B$501,0))="",INDEX('04_PRODUCTOS'!$E$2:$E$501,MATCH(F264,'04_PRODUCTOS'!$B$2:$B$501,0)),INDEX('04_PRODUCTOS'!$G$2:$G$501,MATCH(F264,'04_PRODUCTOS'!$B$2:$B$501,0))),INDEX('04_PRODUCTOS'!$E$2:$E$501,MATCH(F264,'04_PRODUCTOS'!$B$2:$B$501,0)))),"")</f>
        <v/>
      </c>
      <c r="I264" s="3" t="str">
        <f t="shared" si="27"/>
        <v/>
      </c>
      <c r="J264" s="3" t="str">
        <f>IFERROR(IF(INDEX('04_PRODUCTOS'!$D$2:$D$501,MATCH(F264,'04_PRODUCTOS'!$B$2:$B$501,0))="","",I264-(G264*INDEX('04_PRODUCTOS'!$D$2:$D$501,MATCH(F264,'04_PRODUCTOS'!$B$2:$B$501,0)))),"")</f>
        <v/>
      </c>
      <c r="K264" s="7" t="str">
        <f t="shared" si="28"/>
        <v/>
      </c>
      <c r="O264" t="str">
        <f>IF(D264="","",IFERROR(INDEX('03_CLIENTES'!$A$2:$A$501,MATCH(D264,'03_CLIENTES'!$B$2:$B$501,0)),""))</f>
        <v/>
      </c>
      <c r="P264" t="str">
        <f>IF(F264="","",IFERROR(INDEX('04_PRODUCTOS'!$A$2:$A$501,MATCH(F264,'04_PRODUCTOS'!$B$2:$B$501,0)),""))</f>
        <v/>
      </c>
      <c r="Q264" t="str">
        <f t="shared" si="29"/>
        <v/>
      </c>
    </row>
    <row r="265" spans="1:17" x14ac:dyDescent="0.25">
      <c r="A265" t="str">
        <f t="shared" si="24"/>
        <v/>
      </c>
      <c r="B265" s="4" t="str">
        <f t="shared" ca="1" si="25"/>
        <v/>
      </c>
      <c r="C265" s="5" t="str">
        <f t="shared" ca="1" si="26"/>
        <v/>
      </c>
      <c r="G265" s="6"/>
      <c r="H265" s="3" t="str">
        <f>IFERROR(IF(E265="Mayorista",IF(INDEX('04_PRODUCTOS'!$F$2:$F$501,MATCH(F265,'04_PRODUCTOS'!$B$2:$B$501,0))="",INDEX('04_PRODUCTOS'!$E$2:$E$501,MATCH(F265,'04_PRODUCTOS'!$B$2:$B$501,0)),INDEX('04_PRODUCTOS'!$F$2:$F$501,MATCH(F265,'04_PRODUCTOS'!$B$2:$B$501,0))),IF(E265="Especial",IF(INDEX('04_PRODUCTOS'!$G$2:$G$501,MATCH(F265,'04_PRODUCTOS'!$B$2:$B$501,0))="",INDEX('04_PRODUCTOS'!$E$2:$E$501,MATCH(F265,'04_PRODUCTOS'!$B$2:$B$501,0)),INDEX('04_PRODUCTOS'!$G$2:$G$501,MATCH(F265,'04_PRODUCTOS'!$B$2:$B$501,0))),INDEX('04_PRODUCTOS'!$E$2:$E$501,MATCH(F265,'04_PRODUCTOS'!$B$2:$B$501,0)))),"")</f>
        <v/>
      </c>
      <c r="I265" s="3" t="str">
        <f t="shared" si="27"/>
        <v/>
      </c>
      <c r="J265" s="3" t="str">
        <f>IFERROR(IF(INDEX('04_PRODUCTOS'!$D$2:$D$501,MATCH(F265,'04_PRODUCTOS'!$B$2:$B$501,0))="","",I265-(G265*INDEX('04_PRODUCTOS'!$D$2:$D$501,MATCH(F265,'04_PRODUCTOS'!$B$2:$B$501,0)))),"")</f>
        <v/>
      </c>
      <c r="K265" s="7" t="str">
        <f t="shared" si="28"/>
        <v/>
      </c>
      <c r="O265" t="str">
        <f>IF(D265="","",IFERROR(INDEX('03_CLIENTES'!$A$2:$A$501,MATCH(D265,'03_CLIENTES'!$B$2:$B$501,0)),""))</f>
        <v/>
      </c>
      <c r="P265" t="str">
        <f>IF(F265="","",IFERROR(INDEX('04_PRODUCTOS'!$A$2:$A$501,MATCH(F265,'04_PRODUCTOS'!$B$2:$B$501,0)),""))</f>
        <v/>
      </c>
      <c r="Q265" t="str">
        <f t="shared" si="29"/>
        <v/>
      </c>
    </row>
    <row r="266" spans="1:17" x14ac:dyDescent="0.25">
      <c r="A266" t="str">
        <f t="shared" si="24"/>
        <v/>
      </c>
      <c r="B266" s="4" t="str">
        <f t="shared" ca="1" si="25"/>
        <v/>
      </c>
      <c r="C266" s="5" t="str">
        <f t="shared" ca="1" si="26"/>
        <v/>
      </c>
      <c r="G266" s="6"/>
      <c r="H266" s="3" t="str">
        <f>IFERROR(IF(E266="Mayorista",IF(INDEX('04_PRODUCTOS'!$F$2:$F$501,MATCH(F266,'04_PRODUCTOS'!$B$2:$B$501,0))="",INDEX('04_PRODUCTOS'!$E$2:$E$501,MATCH(F266,'04_PRODUCTOS'!$B$2:$B$501,0)),INDEX('04_PRODUCTOS'!$F$2:$F$501,MATCH(F266,'04_PRODUCTOS'!$B$2:$B$501,0))),IF(E266="Especial",IF(INDEX('04_PRODUCTOS'!$G$2:$G$501,MATCH(F266,'04_PRODUCTOS'!$B$2:$B$501,0))="",INDEX('04_PRODUCTOS'!$E$2:$E$501,MATCH(F266,'04_PRODUCTOS'!$B$2:$B$501,0)),INDEX('04_PRODUCTOS'!$G$2:$G$501,MATCH(F266,'04_PRODUCTOS'!$B$2:$B$501,0))),INDEX('04_PRODUCTOS'!$E$2:$E$501,MATCH(F266,'04_PRODUCTOS'!$B$2:$B$501,0)))),"")</f>
        <v/>
      </c>
      <c r="I266" s="3" t="str">
        <f t="shared" si="27"/>
        <v/>
      </c>
      <c r="J266" s="3" t="str">
        <f>IFERROR(IF(INDEX('04_PRODUCTOS'!$D$2:$D$501,MATCH(F266,'04_PRODUCTOS'!$B$2:$B$501,0))="","",I266-(G266*INDEX('04_PRODUCTOS'!$D$2:$D$501,MATCH(F266,'04_PRODUCTOS'!$B$2:$B$501,0)))),"")</f>
        <v/>
      </c>
      <c r="K266" s="7" t="str">
        <f t="shared" si="28"/>
        <v/>
      </c>
      <c r="O266" t="str">
        <f>IF(D266="","",IFERROR(INDEX('03_CLIENTES'!$A$2:$A$501,MATCH(D266,'03_CLIENTES'!$B$2:$B$501,0)),""))</f>
        <v/>
      </c>
      <c r="P266" t="str">
        <f>IF(F266="","",IFERROR(INDEX('04_PRODUCTOS'!$A$2:$A$501,MATCH(F266,'04_PRODUCTOS'!$B$2:$B$501,0)),""))</f>
        <v/>
      </c>
      <c r="Q266" t="str">
        <f t="shared" si="29"/>
        <v/>
      </c>
    </row>
    <row r="267" spans="1:17" x14ac:dyDescent="0.25">
      <c r="A267" t="str">
        <f t="shared" si="24"/>
        <v/>
      </c>
      <c r="B267" s="4" t="str">
        <f t="shared" ca="1" si="25"/>
        <v/>
      </c>
      <c r="C267" s="5" t="str">
        <f t="shared" ca="1" si="26"/>
        <v/>
      </c>
      <c r="G267" s="6"/>
      <c r="H267" s="3" t="str">
        <f>IFERROR(IF(E267="Mayorista",IF(INDEX('04_PRODUCTOS'!$F$2:$F$501,MATCH(F267,'04_PRODUCTOS'!$B$2:$B$501,0))="",INDEX('04_PRODUCTOS'!$E$2:$E$501,MATCH(F267,'04_PRODUCTOS'!$B$2:$B$501,0)),INDEX('04_PRODUCTOS'!$F$2:$F$501,MATCH(F267,'04_PRODUCTOS'!$B$2:$B$501,0))),IF(E267="Especial",IF(INDEX('04_PRODUCTOS'!$G$2:$G$501,MATCH(F267,'04_PRODUCTOS'!$B$2:$B$501,0))="",INDEX('04_PRODUCTOS'!$E$2:$E$501,MATCH(F267,'04_PRODUCTOS'!$B$2:$B$501,0)),INDEX('04_PRODUCTOS'!$G$2:$G$501,MATCH(F267,'04_PRODUCTOS'!$B$2:$B$501,0))),INDEX('04_PRODUCTOS'!$E$2:$E$501,MATCH(F267,'04_PRODUCTOS'!$B$2:$B$501,0)))),"")</f>
        <v/>
      </c>
      <c r="I267" s="3" t="str">
        <f t="shared" si="27"/>
        <v/>
      </c>
      <c r="J267" s="3" t="str">
        <f>IFERROR(IF(INDEX('04_PRODUCTOS'!$D$2:$D$501,MATCH(F267,'04_PRODUCTOS'!$B$2:$B$501,0))="","",I267-(G267*INDEX('04_PRODUCTOS'!$D$2:$D$501,MATCH(F267,'04_PRODUCTOS'!$B$2:$B$501,0)))),"")</f>
        <v/>
      </c>
      <c r="K267" s="7" t="str">
        <f t="shared" si="28"/>
        <v/>
      </c>
      <c r="O267" t="str">
        <f>IF(D267="","",IFERROR(INDEX('03_CLIENTES'!$A$2:$A$501,MATCH(D267,'03_CLIENTES'!$B$2:$B$501,0)),""))</f>
        <v/>
      </c>
      <c r="P267" t="str">
        <f>IF(F267="","",IFERROR(INDEX('04_PRODUCTOS'!$A$2:$A$501,MATCH(F267,'04_PRODUCTOS'!$B$2:$B$501,0)),""))</f>
        <v/>
      </c>
      <c r="Q267" t="str">
        <f t="shared" si="29"/>
        <v/>
      </c>
    </row>
    <row r="268" spans="1:17" x14ac:dyDescent="0.25">
      <c r="A268" t="str">
        <f t="shared" si="24"/>
        <v/>
      </c>
      <c r="B268" s="4" t="str">
        <f t="shared" ca="1" si="25"/>
        <v/>
      </c>
      <c r="C268" s="5" t="str">
        <f t="shared" ca="1" si="26"/>
        <v/>
      </c>
      <c r="G268" s="6"/>
      <c r="H268" s="3" t="str">
        <f>IFERROR(IF(E268="Mayorista",IF(INDEX('04_PRODUCTOS'!$F$2:$F$501,MATCH(F268,'04_PRODUCTOS'!$B$2:$B$501,0))="",INDEX('04_PRODUCTOS'!$E$2:$E$501,MATCH(F268,'04_PRODUCTOS'!$B$2:$B$501,0)),INDEX('04_PRODUCTOS'!$F$2:$F$501,MATCH(F268,'04_PRODUCTOS'!$B$2:$B$501,0))),IF(E268="Especial",IF(INDEX('04_PRODUCTOS'!$G$2:$G$501,MATCH(F268,'04_PRODUCTOS'!$B$2:$B$501,0))="",INDEX('04_PRODUCTOS'!$E$2:$E$501,MATCH(F268,'04_PRODUCTOS'!$B$2:$B$501,0)),INDEX('04_PRODUCTOS'!$G$2:$G$501,MATCH(F268,'04_PRODUCTOS'!$B$2:$B$501,0))),INDEX('04_PRODUCTOS'!$E$2:$E$501,MATCH(F268,'04_PRODUCTOS'!$B$2:$B$501,0)))),"")</f>
        <v/>
      </c>
      <c r="I268" s="3" t="str">
        <f t="shared" si="27"/>
        <v/>
      </c>
      <c r="J268" s="3" t="str">
        <f>IFERROR(IF(INDEX('04_PRODUCTOS'!$D$2:$D$501,MATCH(F268,'04_PRODUCTOS'!$B$2:$B$501,0))="","",I268-(G268*INDEX('04_PRODUCTOS'!$D$2:$D$501,MATCH(F268,'04_PRODUCTOS'!$B$2:$B$501,0)))),"")</f>
        <v/>
      </c>
      <c r="K268" s="7" t="str">
        <f t="shared" si="28"/>
        <v/>
      </c>
      <c r="O268" t="str">
        <f>IF(D268="","",IFERROR(INDEX('03_CLIENTES'!$A$2:$A$501,MATCH(D268,'03_CLIENTES'!$B$2:$B$501,0)),""))</f>
        <v/>
      </c>
      <c r="P268" t="str">
        <f>IF(F268="","",IFERROR(INDEX('04_PRODUCTOS'!$A$2:$A$501,MATCH(F268,'04_PRODUCTOS'!$B$2:$B$501,0)),""))</f>
        <v/>
      </c>
      <c r="Q268" t="str">
        <f t="shared" si="29"/>
        <v/>
      </c>
    </row>
    <row r="269" spans="1:17" x14ac:dyDescent="0.25">
      <c r="A269" t="str">
        <f t="shared" si="24"/>
        <v/>
      </c>
      <c r="B269" s="4" t="str">
        <f t="shared" ca="1" si="25"/>
        <v/>
      </c>
      <c r="C269" s="5" t="str">
        <f t="shared" ca="1" si="26"/>
        <v/>
      </c>
      <c r="G269" s="6"/>
      <c r="H269" s="3" t="str">
        <f>IFERROR(IF(E269="Mayorista",IF(INDEX('04_PRODUCTOS'!$F$2:$F$501,MATCH(F269,'04_PRODUCTOS'!$B$2:$B$501,0))="",INDEX('04_PRODUCTOS'!$E$2:$E$501,MATCH(F269,'04_PRODUCTOS'!$B$2:$B$501,0)),INDEX('04_PRODUCTOS'!$F$2:$F$501,MATCH(F269,'04_PRODUCTOS'!$B$2:$B$501,0))),IF(E269="Especial",IF(INDEX('04_PRODUCTOS'!$G$2:$G$501,MATCH(F269,'04_PRODUCTOS'!$B$2:$B$501,0))="",INDEX('04_PRODUCTOS'!$E$2:$E$501,MATCH(F269,'04_PRODUCTOS'!$B$2:$B$501,0)),INDEX('04_PRODUCTOS'!$G$2:$G$501,MATCH(F269,'04_PRODUCTOS'!$B$2:$B$501,0))),INDEX('04_PRODUCTOS'!$E$2:$E$501,MATCH(F269,'04_PRODUCTOS'!$B$2:$B$501,0)))),"")</f>
        <v/>
      </c>
      <c r="I269" s="3" t="str">
        <f t="shared" si="27"/>
        <v/>
      </c>
      <c r="J269" s="3" t="str">
        <f>IFERROR(IF(INDEX('04_PRODUCTOS'!$D$2:$D$501,MATCH(F269,'04_PRODUCTOS'!$B$2:$B$501,0))="","",I269-(G269*INDEX('04_PRODUCTOS'!$D$2:$D$501,MATCH(F269,'04_PRODUCTOS'!$B$2:$B$501,0)))),"")</f>
        <v/>
      </c>
      <c r="K269" s="7" t="str">
        <f t="shared" si="28"/>
        <v/>
      </c>
      <c r="O269" t="str">
        <f>IF(D269="","",IFERROR(INDEX('03_CLIENTES'!$A$2:$A$501,MATCH(D269,'03_CLIENTES'!$B$2:$B$501,0)),""))</f>
        <v/>
      </c>
      <c r="P269" t="str">
        <f>IF(F269="","",IFERROR(INDEX('04_PRODUCTOS'!$A$2:$A$501,MATCH(F269,'04_PRODUCTOS'!$B$2:$B$501,0)),""))</f>
        <v/>
      </c>
      <c r="Q269" t="str">
        <f t="shared" si="29"/>
        <v/>
      </c>
    </row>
    <row r="270" spans="1:17" x14ac:dyDescent="0.25">
      <c r="A270" t="str">
        <f t="shared" si="24"/>
        <v/>
      </c>
      <c r="B270" s="4" t="str">
        <f t="shared" ca="1" si="25"/>
        <v/>
      </c>
      <c r="C270" s="5" t="str">
        <f t="shared" ca="1" si="26"/>
        <v/>
      </c>
      <c r="G270" s="6"/>
      <c r="H270" s="3" t="str">
        <f>IFERROR(IF(E270="Mayorista",IF(INDEX('04_PRODUCTOS'!$F$2:$F$501,MATCH(F270,'04_PRODUCTOS'!$B$2:$B$501,0))="",INDEX('04_PRODUCTOS'!$E$2:$E$501,MATCH(F270,'04_PRODUCTOS'!$B$2:$B$501,0)),INDEX('04_PRODUCTOS'!$F$2:$F$501,MATCH(F270,'04_PRODUCTOS'!$B$2:$B$501,0))),IF(E270="Especial",IF(INDEX('04_PRODUCTOS'!$G$2:$G$501,MATCH(F270,'04_PRODUCTOS'!$B$2:$B$501,0))="",INDEX('04_PRODUCTOS'!$E$2:$E$501,MATCH(F270,'04_PRODUCTOS'!$B$2:$B$501,0)),INDEX('04_PRODUCTOS'!$G$2:$G$501,MATCH(F270,'04_PRODUCTOS'!$B$2:$B$501,0))),INDEX('04_PRODUCTOS'!$E$2:$E$501,MATCH(F270,'04_PRODUCTOS'!$B$2:$B$501,0)))),"")</f>
        <v/>
      </c>
      <c r="I270" s="3" t="str">
        <f t="shared" si="27"/>
        <v/>
      </c>
      <c r="J270" s="3" t="str">
        <f>IFERROR(IF(INDEX('04_PRODUCTOS'!$D$2:$D$501,MATCH(F270,'04_PRODUCTOS'!$B$2:$B$501,0))="","",I270-(G270*INDEX('04_PRODUCTOS'!$D$2:$D$501,MATCH(F270,'04_PRODUCTOS'!$B$2:$B$501,0)))),"")</f>
        <v/>
      </c>
      <c r="K270" s="7" t="str">
        <f t="shared" si="28"/>
        <v/>
      </c>
      <c r="O270" t="str">
        <f>IF(D270="","",IFERROR(INDEX('03_CLIENTES'!$A$2:$A$501,MATCH(D270,'03_CLIENTES'!$B$2:$B$501,0)),""))</f>
        <v/>
      </c>
      <c r="P270" t="str">
        <f>IF(F270="","",IFERROR(INDEX('04_PRODUCTOS'!$A$2:$A$501,MATCH(F270,'04_PRODUCTOS'!$B$2:$B$501,0)),""))</f>
        <v/>
      </c>
      <c r="Q270" t="str">
        <f t="shared" si="29"/>
        <v/>
      </c>
    </row>
    <row r="271" spans="1:17" x14ac:dyDescent="0.25">
      <c r="A271" t="str">
        <f t="shared" si="24"/>
        <v/>
      </c>
      <c r="B271" s="4" t="str">
        <f t="shared" ca="1" si="25"/>
        <v/>
      </c>
      <c r="C271" s="5" t="str">
        <f t="shared" ca="1" si="26"/>
        <v/>
      </c>
      <c r="G271" s="6"/>
      <c r="H271" s="3" t="str">
        <f>IFERROR(IF(E271="Mayorista",IF(INDEX('04_PRODUCTOS'!$F$2:$F$501,MATCH(F271,'04_PRODUCTOS'!$B$2:$B$501,0))="",INDEX('04_PRODUCTOS'!$E$2:$E$501,MATCH(F271,'04_PRODUCTOS'!$B$2:$B$501,0)),INDEX('04_PRODUCTOS'!$F$2:$F$501,MATCH(F271,'04_PRODUCTOS'!$B$2:$B$501,0))),IF(E271="Especial",IF(INDEX('04_PRODUCTOS'!$G$2:$G$501,MATCH(F271,'04_PRODUCTOS'!$B$2:$B$501,0))="",INDEX('04_PRODUCTOS'!$E$2:$E$501,MATCH(F271,'04_PRODUCTOS'!$B$2:$B$501,0)),INDEX('04_PRODUCTOS'!$G$2:$G$501,MATCH(F271,'04_PRODUCTOS'!$B$2:$B$501,0))),INDEX('04_PRODUCTOS'!$E$2:$E$501,MATCH(F271,'04_PRODUCTOS'!$B$2:$B$501,0)))),"")</f>
        <v/>
      </c>
      <c r="I271" s="3" t="str">
        <f t="shared" si="27"/>
        <v/>
      </c>
      <c r="J271" s="3" t="str">
        <f>IFERROR(IF(INDEX('04_PRODUCTOS'!$D$2:$D$501,MATCH(F271,'04_PRODUCTOS'!$B$2:$B$501,0))="","",I271-(G271*INDEX('04_PRODUCTOS'!$D$2:$D$501,MATCH(F271,'04_PRODUCTOS'!$B$2:$B$501,0)))),"")</f>
        <v/>
      </c>
      <c r="K271" s="7" t="str">
        <f t="shared" si="28"/>
        <v/>
      </c>
      <c r="O271" t="str">
        <f>IF(D271="","",IFERROR(INDEX('03_CLIENTES'!$A$2:$A$501,MATCH(D271,'03_CLIENTES'!$B$2:$B$501,0)),""))</f>
        <v/>
      </c>
      <c r="P271" t="str">
        <f>IF(F271="","",IFERROR(INDEX('04_PRODUCTOS'!$A$2:$A$501,MATCH(F271,'04_PRODUCTOS'!$B$2:$B$501,0)),""))</f>
        <v/>
      </c>
      <c r="Q271" t="str">
        <f t="shared" si="29"/>
        <v/>
      </c>
    </row>
    <row r="272" spans="1:17" x14ac:dyDescent="0.25">
      <c r="A272" t="str">
        <f t="shared" si="24"/>
        <v/>
      </c>
      <c r="B272" s="4" t="str">
        <f t="shared" ca="1" si="25"/>
        <v/>
      </c>
      <c r="C272" s="5" t="str">
        <f t="shared" ca="1" si="26"/>
        <v/>
      </c>
      <c r="G272" s="6"/>
      <c r="H272" s="3" t="str">
        <f>IFERROR(IF(E272="Mayorista",IF(INDEX('04_PRODUCTOS'!$F$2:$F$501,MATCH(F272,'04_PRODUCTOS'!$B$2:$B$501,0))="",INDEX('04_PRODUCTOS'!$E$2:$E$501,MATCH(F272,'04_PRODUCTOS'!$B$2:$B$501,0)),INDEX('04_PRODUCTOS'!$F$2:$F$501,MATCH(F272,'04_PRODUCTOS'!$B$2:$B$501,0))),IF(E272="Especial",IF(INDEX('04_PRODUCTOS'!$G$2:$G$501,MATCH(F272,'04_PRODUCTOS'!$B$2:$B$501,0))="",INDEX('04_PRODUCTOS'!$E$2:$E$501,MATCH(F272,'04_PRODUCTOS'!$B$2:$B$501,0)),INDEX('04_PRODUCTOS'!$G$2:$G$501,MATCH(F272,'04_PRODUCTOS'!$B$2:$B$501,0))),INDEX('04_PRODUCTOS'!$E$2:$E$501,MATCH(F272,'04_PRODUCTOS'!$B$2:$B$501,0)))),"")</f>
        <v/>
      </c>
      <c r="I272" s="3" t="str">
        <f t="shared" si="27"/>
        <v/>
      </c>
      <c r="J272" s="3" t="str">
        <f>IFERROR(IF(INDEX('04_PRODUCTOS'!$D$2:$D$501,MATCH(F272,'04_PRODUCTOS'!$B$2:$B$501,0))="","",I272-(G272*INDEX('04_PRODUCTOS'!$D$2:$D$501,MATCH(F272,'04_PRODUCTOS'!$B$2:$B$501,0)))),"")</f>
        <v/>
      </c>
      <c r="K272" s="7" t="str">
        <f t="shared" si="28"/>
        <v/>
      </c>
      <c r="O272" t="str">
        <f>IF(D272="","",IFERROR(INDEX('03_CLIENTES'!$A$2:$A$501,MATCH(D272,'03_CLIENTES'!$B$2:$B$501,0)),""))</f>
        <v/>
      </c>
      <c r="P272" t="str">
        <f>IF(F272="","",IFERROR(INDEX('04_PRODUCTOS'!$A$2:$A$501,MATCH(F272,'04_PRODUCTOS'!$B$2:$B$501,0)),""))</f>
        <v/>
      </c>
      <c r="Q272" t="str">
        <f t="shared" si="29"/>
        <v/>
      </c>
    </row>
    <row r="273" spans="1:17" x14ac:dyDescent="0.25">
      <c r="A273" t="str">
        <f t="shared" si="24"/>
        <v/>
      </c>
      <c r="B273" s="4" t="str">
        <f t="shared" ca="1" si="25"/>
        <v/>
      </c>
      <c r="C273" s="5" t="str">
        <f t="shared" ca="1" si="26"/>
        <v/>
      </c>
      <c r="G273" s="6"/>
      <c r="H273" s="3" t="str">
        <f>IFERROR(IF(E273="Mayorista",IF(INDEX('04_PRODUCTOS'!$F$2:$F$501,MATCH(F273,'04_PRODUCTOS'!$B$2:$B$501,0))="",INDEX('04_PRODUCTOS'!$E$2:$E$501,MATCH(F273,'04_PRODUCTOS'!$B$2:$B$501,0)),INDEX('04_PRODUCTOS'!$F$2:$F$501,MATCH(F273,'04_PRODUCTOS'!$B$2:$B$501,0))),IF(E273="Especial",IF(INDEX('04_PRODUCTOS'!$G$2:$G$501,MATCH(F273,'04_PRODUCTOS'!$B$2:$B$501,0))="",INDEX('04_PRODUCTOS'!$E$2:$E$501,MATCH(F273,'04_PRODUCTOS'!$B$2:$B$501,0)),INDEX('04_PRODUCTOS'!$G$2:$G$501,MATCH(F273,'04_PRODUCTOS'!$B$2:$B$501,0))),INDEX('04_PRODUCTOS'!$E$2:$E$501,MATCH(F273,'04_PRODUCTOS'!$B$2:$B$501,0)))),"")</f>
        <v/>
      </c>
      <c r="I273" s="3" t="str">
        <f t="shared" si="27"/>
        <v/>
      </c>
      <c r="J273" s="3" t="str">
        <f>IFERROR(IF(INDEX('04_PRODUCTOS'!$D$2:$D$501,MATCH(F273,'04_PRODUCTOS'!$B$2:$B$501,0))="","",I273-(G273*INDEX('04_PRODUCTOS'!$D$2:$D$501,MATCH(F273,'04_PRODUCTOS'!$B$2:$B$501,0)))),"")</f>
        <v/>
      </c>
      <c r="K273" s="7" t="str">
        <f t="shared" si="28"/>
        <v/>
      </c>
      <c r="O273" t="str">
        <f>IF(D273="","",IFERROR(INDEX('03_CLIENTES'!$A$2:$A$501,MATCH(D273,'03_CLIENTES'!$B$2:$B$501,0)),""))</f>
        <v/>
      </c>
      <c r="P273" t="str">
        <f>IF(F273="","",IFERROR(INDEX('04_PRODUCTOS'!$A$2:$A$501,MATCH(F273,'04_PRODUCTOS'!$B$2:$B$501,0)),""))</f>
        <v/>
      </c>
      <c r="Q273" t="str">
        <f t="shared" si="29"/>
        <v/>
      </c>
    </row>
    <row r="274" spans="1:17" x14ac:dyDescent="0.25">
      <c r="A274" t="str">
        <f t="shared" si="24"/>
        <v/>
      </c>
      <c r="B274" s="4" t="str">
        <f t="shared" ca="1" si="25"/>
        <v/>
      </c>
      <c r="C274" s="5" t="str">
        <f t="shared" ca="1" si="26"/>
        <v/>
      </c>
      <c r="G274" s="6"/>
      <c r="H274" s="3" t="str">
        <f>IFERROR(IF(E274="Mayorista",IF(INDEX('04_PRODUCTOS'!$F$2:$F$501,MATCH(F274,'04_PRODUCTOS'!$B$2:$B$501,0))="",INDEX('04_PRODUCTOS'!$E$2:$E$501,MATCH(F274,'04_PRODUCTOS'!$B$2:$B$501,0)),INDEX('04_PRODUCTOS'!$F$2:$F$501,MATCH(F274,'04_PRODUCTOS'!$B$2:$B$501,0))),IF(E274="Especial",IF(INDEX('04_PRODUCTOS'!$G$2:$G$501,MATCH(F274,'04_PRODUCTOS'!$B$2:$B$501,0))="",INDEX('04_PRODUCTOS'!$E$2:$E$501,MATCH(F274,'04_PRODUCTOS'!$B$2:$B$501,0)),INDEX('04_PRODUCTOS'!$G$2:$G$501,MATCH(F274,'04_PRODUCTOS'!$B$2:$B$501,0))),INDEX('04_PRODUCTOS'!$E$2:$E$501,MATCH(F274,'04_PRODUCTOS'!$B$2:$B$501,0)))),"")</f>
        <v/>
      </c>
      <c r="I274" s="3" t="str">
        <f t="shared" si="27"/>
        <v/>
      </c>
      <c r="J274" s="3" t="str">
        <f>IFERROR(IF(INDEX('04_PRODUCTOS'!$D$2:$D$501,MATCH(F274,'04_PRODUCTOS'!$B$2:$B$501,0))="","",I274-(G274*INDEX('04_PRODUCTOS'!$D$2:$D$501,MATCH(F274,'04_PRODUCTOS'!$B$2:$B$501,0)))),"")</f>
        <v/>
      </c>
      <c r="K274" s="7" t="str">
        <f t="shared" si="28"/>
        <v/>
      </c>
      <c r="O274" t="str">
        <f>IF(D274="","",IFERROR(INDEX('03_CLIENTES'!$A$2:$A$501,MATCH(D274,'03_CLIENTES'!$B$2:$B$501,0)),""))</f>
        <v/>
      </c>
      <c r="P274" t="str">
        <f>IF(F274="","",IFERROR(INDEX('04_PRODUCTOS'!$A$2:$A$501,MATCH(F274,'04_PRODUCTOS'!$B$2:$B$501,0)),""))</f>
        <v/>
      </c>
      <c r="Q274" t="str">
        <f t="shared" si="29"/>
        <v/>
      </c>
    </row>
    <row r="275" spans="1:17" x14ac:dyDescent="0.25">
      <c r="A275" t="str">
        <f t="shared" si="24"/>
        <v/>
      </c>
      <c r="B275" s="4" t="str">
        <f t="shared" ca="1" si="25"/>
        <v/>
      </c>
      <c r="C275" s="5" t="str">
        <f t="shared" ca="1" si="26"/>
        <v/>
      </c>
      <c r="G275" s="6"/>
      <c r="H275" s="3" t="str">
        <f>IFERROR(IF(E275="Mayorista",IF(INDEX('04_PRODUCTOS'!$F$2:$F$501,MATCH(F275,'04_PRODUCTOS'!$B$2:$B$501,0))="",INDEX('04_PRODUCTOS'!$E$2:$E$501,MATCH(F275,'04_PRODUCTOS'!$B$2:$B$501,0)),INDEX('04_PRODUCTOS'!$F$2:$F$501,MATCH(F275,'04_PRODUCTOS'!$B$2:$B$501,0))),IF(E275="Especial",IF(INDEX('04_PRODUCTOS'!$G$2:$G$501,MATCH(F275,'04_PRODUCTOS'!$B$2:$B$501,0))="",INDEX('04_PRODUCTOS'!$E$2:$E$501,MATCH(F275,'04_PRODUCTOS'!$B$2:$B$501,0)),INDEX('04_PRODUCTOS'!$G$2:$G$501,MATCH(F275,'04_PRODUCTOS'!$B$2:$B$501,0))),INDEX('04_PRODUCTOS'!$E$2:$E$501,MATCH(F275,'04_PRODUCTOS'!$B$2:$B$501,0)))),"")</f>
        <v/>
      </c>
      <c r="I275" s="3" t="str">
        <f t="shared" si="27"/>
        <v/>
      </c>
      <c r="J275" s="3" t="str">
        <f>IFERROR(IF(INDEX('04_PRODUCTOS'!$D$2:$D$501,MATCH(F275,'04_PRODUCTOS'!$B$2:$B$501,0))="","",I275-(G275*INDEX('04_PRODUCTOS'!$D$2:$D$501,MATCH(F275,'04_PRODUCTOS'!$B$2:$B$501,0)))),"")</f>
        <v/>
      </c>
      <c r="K275" s="7" t="str">
        <f t="shared" si="28"/>
        <v/>
      </c>
      <c r="O275" t="str">
        <f>IF(D275="","",IFERROR(INDEX('03_CLIENTES'!$A$2:$A$501,MATCH(D275,'03_CLIENTES'!$B$2:$B$501,0)),""))</f>
        <v/>
      </c>
      <c r="P275" t="str">
        <f>IF(F275="","",IFERROR(INDEX('04_PRODUCTOS'!$A$2:$A$501,MATCH(F275,'04_PRODUCTOS'!$B$2:$B$501,0)),""))</f>
        <v/>
      </c>
      <c r="Q275" t="str">
        <f t="shared" si="29"/>
        <v/>
      </c>
    </row>
    <row r="276" spans="1:17" x14ac:dyDescent="0.25">
      <c r="A276" t="str">
        <f t="shared" si="24"/>
        <v/>
      </c>
      <c r="B276" s="4" t="str">
        <f t="shared" ca="1" si="25"/>
        <v/>
      </c>
      <c r="C276" s="5" t="str">
        <f t="shared" ca="1" si="26"/>
        <v/>
      </c>
      <c r="G276" s="6"/>
      <c r="H276" s="3" t="str">
        <f>IFERROR(IF(E276="Mayorista",IF(INDEX('04_PRODUCTOS'!$F$2:$F$501,MATCH(F276,'04_PRODUCTOS'!$B$2:$B$501,0))="",INDEX('04_PRODUCTOS'!$E$2:$E$501,MATCH(F276,'04_PRODUCTOS'!$B$2:$B$501,0)),INDEX('04_PRODUCTOS'!$F$2:$F$501,MATCH(F276,'04_PRODUCTOS'!$B$2:$B$501,0))),IF(E276="Especial",IF(INDEX('04_PRODUCTOS'!$G$2:$G$501,MATCH(F276,'04_PRODUCTOS'!$B$2:$B$501,0))="",INDEX('04_PRODUCTOS'!$E$2:$E$501,MATCH(F276,'04_PRODUCTOS'!$B$2:$B$501,0)),INDEX('04_PRODUCTOS'!$G$2:$G$501,MATCH(F276,'04_PRODUCTOS'!$B$2:$B$501,0))),INDEX('04_PRODUCTOS'!$E$2:$E$501,MATCH(F276,'04_PRODUCTOS'!$B$2:$B$501,0)))),"")</f>
        <v/>
      </c>
      <c r="I276" s="3" t="str">
        <f t="shared" si="27"/>
        <v/>
      </c>
      <c r="J276" s="3" t="str">
        <f>IFERROR(IF(INDEX('04_PRODUCTOS'!$D$2:$D$501,MATCH(F276,'04_PRODUCTOS'!$B$2:$B$501,0))="","",I276-(G276*INDEX('04_PRODUCTOS'!$D$2:$D$501,MATCH(F276,'04_PRODUCTOS'!$B$2:$B$501,0)))),"")</f>
        <v/>
      </c>
      <c r="K276" s="7" t="str">
        <f t="shared" si="28"/>
        <v/>
      </c>
      <c r="O276" t="str">
        <f>IF(D276="","",IFERROR(INDEX('03_CLIENTES'!$A$2:$A$501,MATCH(D276,'03_CLIENTES'!$B$2:$B$501,0)),""))</f>
        <v/>
      </c>
      <c r="P276" t="str">
        <f>IF(F276="","",IFERROR(INDEX('04_PRODUCTOS'!$A$2:$A$501,MATCH(F276,'04_PRODUCTOS'!$B$2:$B$501,0)),""))</f>
        <v/>
      </c>
      <c r="Q276" t="str">
        <f t="shared" si="29"/>
        <v/>
      </c>
    </row>
    <row r="277" spans="1:17" x14ac:dyDescent="0.25">
      <c r="A277" t="str">
        <f t="shared" si="24"/>
        <v/>
      </c>
      <c r="B277" s="4" t="str">
        <f t="shared" ca="1" si="25"/>
        <v/>
      </c>
      <c r="C277" s="5" t="str">
        <f t="shared" ca="1" si="26"/>
        <v/>
      </c>
      <c r="G277" s="6"/>
      <c r="H277" s="3" t="str">
        <f>IFERROR(IF(E277="Mayorista",IF(INDEX('04_PRODUCTOS'!$F$2:$F$501,MATCH(F277,'04_PRODUCTOS'!$B$2:$B$501,0))="",INDEX('04_PRODUCTOS'!$E$2:$E$501,MATCH(F277,'04_PRODUCTOS'!$B$2:$B$501,0)),INDEX('04_PRODUCTOS'!$F$2:$F$501,MATCH(F277,'04_PRODUCTOS'!$B$2:$B$501,0))),IF(E277="Especial",IF(INDEX('04_PRODUCTOS'!$G$2:$G$501,MATCH(F277,'04_PRODUCTOS'!$B$2:$B$501,0))="",INDEX('04_PRODUCTOS'!$E$2:$E$501,MATCH(F277,'04_PRODUCTOS'!$B$2:$B$501,0)),INDEX('04_PRODUCTOS'!$G$2:$G$501,MATCH(F277,'04_PRODUCTOS'!$B$2:$B$501,0))),INDEX('04_PRODUCTOS'!$E$2:$E$501,MATCH(F277,'04_PRODUCTOS'!$B$2:$B$501,0)))),"")</f>
        <v/>
      </c>
      <c r="I277" s="3" t="str">
        <f t="shared" si="27"/>
        <v/>
      </c>
      <c r="J277" s="3" t="str">
        <f>IFERROR(IF(INDEX('04_PRODUCTOS'!$D$2:$D$501,MATCH(F277,'04_PRODUCTOS'!$B$2:$B$501,0))="","",I277-(G277*INDEX('04_PRODUCTOS'!$D$2:$D$501,MATCH(F277,'04_PRODUCTOS'!$B$2:$B$501,0)))),"")</f>
        <v/>
      </c>
      <c r="K277" s="7" t="str">
        <f t="shared" si="28"/>
        <v/>
      </c>
      <c r="O277" t="str">
        <f>IF(D277="","",IFERROR(INDEX('03_CLIENTES'!$A$2:$A$501,MATCH(D277,'03_CLIENTES'!$B$2:$B$501,0)),""))</f>
        <v/>
      </c>
      <c r="P277" t="str">
        <f>IF(F277="","",IFERROR(INDEX('04_PRODUCTOS'!$A$2:$A$501,MATCH(F277,'04_PRODUCTOS'!$B$2:$B$501,0)),""))</f>
        <v/>
      </c>
      <c r="Q277" t="str">
        <f t="shared" si="29"/>
        <v/>
      </c>
    </row>
    <row r="278" spans="1:17" x14ac:dyDescent="0.25">
      <c r="A278" t="str">
        <f t="shared" si="24"/>
        <v/>
      </c>
      <c r="B278" s="4" t="str">
        <f t="shared" ca="1" si="25"/>
        <v/>
      </c>
      <c r="C278" s="5" t="str">
        <f t="shared" ca="1" si="26"/>
        <v/>
      </c>
      <c r="G278" s="6"/>
      <c r="H278" s="3" t="str">
        <f>IFERROR(IF(E278="Mayorista",IF(INDEX('04_PRODUCTOS'!$F$2:$F$501,MATCH(F278,'04_PRODUCTOS'!$B$2:$B$501,0))="",INDEX('04_PRODUCTOS'!$E$2:$E$501,MATCH(F278,'04_PRODUCTOS'!$B$2:$B$501,0)),INDEX('04_PRODUCTOS'!$F$2:$F$501,MATCH(F278,'04_PRODUCTOS'!$B$2:$B$501,0))),IF(E278="Especial",IF(INDEX('04_PRODUCTOS'!$G$2:$G$501,MATCH(F278,'04_PRODUCTOS'!$B$2:$B$501,0))="",INDEX('04_PRODUCTOS'!$E$2:$E$501,MATCH(F278,'04_PRODUCTOS'!$B$2:$B$501,0)),INDEX('04_PRODUCTOS'!$G$2:$G$501,MATCH(F278,'04_PRODUCTOS'!$B$2:$B$501,0))),INDEX('04_PRODUCTOS'!$E$2:$E$501,MATCH(F278,'04_PRODUCTOS'!$B$2:$B$501,0)))),"")</f>
        <v/>
      </c>
      <c r="I278" s="3" t="str">
        <f t="shared" si="27"/>
        <v/>
      </c>
      <c r="J278" s="3" t="str">
        <f>IFERROR(IF(INDEX('04_PRODUCTOS'!$D$2:$D$501,MATCH(F278,'04_PRODUCTOS'!$B$2:$B$501,0))="","",I278-(G278*INDEX('04_PRODUCTOS'!$D$2:$D$501,MATCH(F278,'04_PRODUCTOS'!$B$2:$B$501,0)))),"")</f>
        <v/>
      </c>
      <c r="K278" s="7" t="str">
        <f t="shared" si="28"/>
        <v/>
      </c>
      <c r="O278" t="str">
        <f>IF(D278="","",IFERROR(INDEX('03_CLIENTES'!$A$2:$A$501,MATCH(D278,'03_CLIENTES'!$B$2:$B$501,0)),""))</f>
        <v/>
      </c>
      <c r="P278" t="str">
        <f>IF(F278="","",IFERROR(INDEX('04_PRODUCTOS'!$A$2:$A$501,MATCH(F278,'04_PRODUCTOS'!$B$2:$B$501,0)),""))</f>
        <v/>
      </c>
      <c r="Q278" t="str">
        <f t="shared" si="29"/>
        <v/>
      </c>
    </row>
    <row r="279" spans="1:17" x14ac:dyDescent="0.25">
      <c r="A279" t="str">
        <f t="shared" si="24"/>
        <v/>
      </c>
      <c r="B279" s="4" t="str">
        <f t="shared" ca="1" si="25"/>
        <v/>
      </c>
      <c r="C279" s="5" t="str">
        <f t="shared" ca="1" si="26"/>
        <v/>
      </c>
      <c r="G279" s="6"/>
      <c r="H279" s="3" t="str">
        <f>IFERROR(IF(E279="Mayorista",IF(INDEX('04_PRODUCTOS'!$F$2:$F$501,MATCH(F279,'04_PRODUCTOS'!$B$2:$B$501,0))="",INDEX('04_PRODUCTOS'!$E$2:$E$501,MATCH(F279,'04_PRODUCTOS'!$B$2:$B$501,0)),INDEX('04_PRODUCTOS'!$F$2:$F$501,MATCH(F279,'04_PRODUCTOS'!$B$2:$B$501,0))),IF(E279="Especial",IF(INDEX('04_PRODUCTOS'!$G$2:$G$501,MATCH(F279,'04_PRODUCTOS'!$B$2:$B$501,0))="",INDEX('04_PRODUCTOS'!$E$2:$E$501,MATCH(F279,'04_PRODUCTOS'!$B$2:$B$501,0)),INDEX('04_PRODUCTOS'!$G$2:$G$501,MATCH(F279,'04_PRODUCTOS'!$B$2:$B$501,0))),INDEX('04_PRODUCTOS'!$E$2:$E$501,MATCH(F279,'04_PRODUCTOS'!$B$2:$B$501,0)))),"")</f>
        <v/>
      </c>
      <c r="I279" s="3" t="str">
        <f t="shared" si="27"/>
        <v/>
      </c>
      <c r="J279" s="3" t="str">
        <f>IFERROR(IF(INDEX('04_PRODUCTOS'!$D$2:$D$501,MATCH(F279,'04_PRODUCTOS'!$B$2:$B$501,0))="","",I279-(G279*INDEX('04_PRODUCTOS'!$D$2:$D$501,MATCH(F279,'04_PRODUCTOS'!$B$2:$B$501,0)))),"")</f>
        <v/>
      </c>
      <c r="K279" s="7" t="str">
        <f t="shared" si="28"/>
        <v/>
      </c>
      <c r="O279" t="str">
        <f>IF(D279="","",IFERROR(INDEX('03_CLIENTES'!$A$2:$A$501,MATCH(D279,'03_CLIENTES'!$B$2:$B$501,0)),""))</f>
        <v/>
      </c>
      <c r="P279" t="str">
        <f>IF(F279="","",IFERROR(INDEX('04_PRODUCTOS'!$A$2:$A$501,MATCH(F279,'04_PRODUCTOS'!$B$2:$B$501,0)),""))</f>
        <v/>
      </c>
      <c r="Q279" t="str">
        <f t="shared" si="29"/>
        <v/>
      </c>
    </row>
    <row r="280" spans="1:17" x14ac:dyDescent="0.25">
      <c r="A280" t="str">
        <f t="shared" si="24"/>
        <v/>
      </c>
      <c r="B280" s="4" t="str">
        <f t="shared" ca="1" si="25"/>
        <v/>
      </c>
      <c r="C280" s="5" t="str">
        <f t="shared" ca="1" si="26"/>
        <v/>
      </c>
      <c r="G280" s="6"/>
      <c r="H280" s="3" t="str">
        <f>IFERROR(IF(E280="Mayorista",IF(INDEX('04_PRODUCTOS'!$F$2:$F$501,MATCH(F280,'04_PRODUCTOS'!$B$2:$B$501,0))="",INDEX('04_PRODUCTOS'!$E$2:$E$501,MATCH(F280,'04_PRODUCTOS'!$B$2:$B$501,0)),INDEX('04_PRODUCTOS'!$F$2:$F$501,MATCH(F280,'04_PRODUCTOS'!$B$2:$B$501,0))),IF(E280="Especial",IF(INDEX('04_PRODUCTOS'!$G$2:$G$501,MATCH(F280,'04_PRODUCTOS'!$B$2:$B$501,0))="",INDEX('04_PRODUCTOS'!$E$2:$E$501,MATCH(F280,'04_PRODUCTOS'!$B$2:$B$501,0)),INDEX('04_PRODUCTOS'!$G$2:$G$501,MATCH(F280,'04_PRODUCTOS'!$B$2:$B$501,0))),INDEX('04_PRODUCTOS'!$E$2:$E$501,MATCH(F280,'04_PRODUCTOS'!$B$2:$B$501,0)))),"")</f>
        <v/>
      </c>
      <c r="I280" s="3" t="str">
        <f t="shared" si="27"/>
        <v/>
      </c>
      <c r="J280" s="3" t="str">
        <f>IFERROR(IF(INDEX('04_PRODUCTOS'!$D$2:$D$501,MATCH(F280,'04_PRODUCTOS'!$B$2:$B$501,0))="","",I280-(G280*INDEX('04_PRODUCTOS'!$D$2:$D$501,MATCH(F280,'04_PRODUCTOS'!$B$2:$B$501,0)))),"")</f>
        <v/>
      </c>
      <c r="K280" s="7" t="str">
        <f t="shared" si="28"/>
        <v/>
      </c>
      <c r="O280" t="str">
        <f>IF(D280="","",IFERROR(INDEX('03_CLIENTES'!$A$2:$A$501,MATCH(D280,'03_CLIENTES'!$B$2:$B$501,0)),""))</f>
        <v/>
      </c>
      <c r="P280" t="str">
        <f>IF(F280="","",IFERROR(INDEX('04_PRODUCTOS'!$A$2:$A$501,MATCH(F280,'04_PRODUCTOS'!$B$2:$B$501,0)),""))</f>
        <v/>
      </c>
      <c r="Q280" t="str">
        <f t="shared" si="29"/>
        <v/>
      </c>
    </row>
    <row r="281" spans="1:17" x14ac:dyDescent="0.25">
      <c r="A281" t="str">
        <f t="shared" si="24"/>
        <v/>
      </c>
      <c r="B281" s="4" t="str">
        <f t="shared" ca="1" si="25"/>
        <v/>
      </c>
      <c r="C281" s="5" t="str">
        <f t="shared" ca="1" si="26"/>
        <v/>
      </c>
      <c r="G281" s="6"/>
      <c r="H281" s="3" t="str">
        <f>IFERROR(IF(E281="Mayorista",IF(INDEX('04_PRODUCTOS'!$F$2:$F$501,MATCH(F281,'04_PRODUCTOS'!$B$2:$B$501,0))="",INDEX('04_PRODUCTOS'!$E$2:$E$501,MATCH(F281,'04_PRODUCTOS'!$B$2:$B$501,0)),INDEX('04_PRODUCTOS'!$F$2:$F$501,MATCH(F281,'04_PRODUCTOS'!$B$2:$B$501,0))),IF(E281="Especial",IF(INDEX('04_PRODUCTOS'!$G$2:$G$501,MATCH(F281,'04_PRODUCTOS'!$B$2:$B$501,0))="",INDEX('04_PRODUCTOS'!$E$2:$E$501,MATCH(F281,'04_PRODUCTOS'!$B$2:$B$501,0)),INDEX('04_PRODUCTOS'!$G$2:$G$501,MATCH(F281,'04_PRODUCTOS'!$B$2:$B$501,0))),INDEX('04_PRODUCTOS'!$E$2:$E$501,MATCH(F281,'04_PRODUCTOS'!$B$2:$B$501,0)))),"")</f>
        <v/>
      </c>
      <c r="I281" s="3" t="str">
        <f t="shared" si="27"/>
        <v/>
      </c>
      <c r="J281" s="3" t="str">
        <f>IFERROR(IF(INDEX('04_PRODUCTOS'!$D$2:$D$501,MATCH(F281,'04_PRODUCTOS'!$B$2:$B$501,0))="","",I281-(G281*INDEX('04_PRODUCTOS'!$D$2:$D$501,MATCH(F281,'04_PRODUCTOS'!$B$2:$B$501,0)))),"")</f>
        <v/>
      </c>
      <c r="K281" s="7" t="str">
        <f t="shared" si="28"/>
        <v/>
      </c>
      <c r="O281" t="str">
        <f>IF(D281="","",IFERROR(INDEX('03_CLIENTES'!$A$2:$A$501,MATCH(D281,'03_CLIENTES'!$B$2:$B$501,0)),""))</f>
        <v/>
      </c>
      <c r="P281" t="str">
        <f>IF(F281="","",IFERROR(INDEX('04_PRODUCTOS'!$A$2:$A$501,MATCH(F281,'04_PRODUCTOS'!$B$2:$B$501,0)),""))</f>
        <v/>
      </c>
      <c r="Q281" t="str">
        <f t="shared" si="29"/>
        <v/>
      </c>
    </row>
    <row r="282" spans="1:17" x14ac:dyDescent="0.25">
      <c r="A282" t="str">
        <f t="shared" si="24"/>
        <v/>
      </c>
      <c r="B282" s="4" t="str">
        <f t="shared" ca="1" si="25"/>
        <v/>
      </c>
      <c r="C282" s="5" t="str">
        <f t="shared" ca="1" si="26"/>
        <v/>
      </c>
      <c r="G282" s="6"/>
      <c r="H282" s="3" t="str">
        <f>IFERROR(IF(E282="Mayorista",IF(INDEX('04_PRODUCTOS'!$F$2:$F$501,MATCH(F282,'04_PRODUCTOS'!$B$2:$B$501,0))="",INDEX('04_PRODUCTOS'!$E$2:$E$501,MATCH(F282,'04_PRODUCTOS'!$B$2:$B$501,0)),INDEX('04_PRODUCTOS'!$F$2:$F$501,MATCH(F282,'04_PRODUCTOS'!$B$2:$B$501,0))),IF(E282="Especial",IF(INDEX('04_PRODUCTOS'!$G$2:$G$501,MATCH(F282,'04_PRODUCTOS'!$B$2:$B$501,0))="",INDEX('04_PRODUCTOS'!$E$2:$E$501,MATCH(F282,'04_PRODUCTOS'!$B$2:$B$501,0)),INDEX('04_PRODUCTOS'!$G$2:$G$501,MATCH(F282,'04_PRODUCTOS'!$B$2:$B$501,0))),INDEX('04_PRODUCTOS'!$E$2:$E$501,MATCH(F282,'04_PRODUCTOS'!$B$2:$B$501,0)))),"")</f>
        <v/>
      </c>
      <c r="I282" s="3" t="str">
        <f t="shared" si="27"/>
        <v/>
      </c>
      <c r="J282" s="3" t="str">
        <f>IFERROR(IF(INDEX('04_PRODUCTOS'!$D$2:$D$501,MATCH(F282,'04_PRODUCTOS'!$B$2:$B$501,0))="","",I282-(G282*INDEX('04_PRODUCTOS'!$D$2:$D$501,MATCH(F282,'04_PRODUCTOS'!$B$2:$B$501,0)))),"")</f>
        <v/>
      </c>
      <c r="K282" s="7" t="str">
        <f t="shared" si="28"/>
        <v/>
      </c>
      <c r="O282" t="str">
        <f>IF(D282="","",IFERROR(INDEX('03_CLIENTES'!$A$2:$A$501,MATCH(D282,'03_CLIENTES'!$B$2:$B$501,0)),""))</f>
        <v/>
      </c>
      <c r="P282" t="str">
        <f>IF(F282="","",IFERROR(INDEX('04_PRODUCTOS'!$A$2:$A$501,MATCH(F282,'04_PRODUCTOS'!$B$2:$B$501,0)),""))</f>
        <v/>
      </c>
      <c r="Q282" t="str">
        <f t="shared" si="29"/>
        <v/>
      </c>
    </row>
    <row r="283" spans="1:17" x14ac:dyDescent="0.25">
      <c r="A283" t="str">
        <f t="shared" si="24"/>
        <v/>
      </c>
      <c r="B283" s="4" t="str">
        <f t="shared" ca="1" si="25"/>
        <v/>
      </c>
      <c r="C283" s="5" t="str">
        <f t="shared" ca="1" si="26"/>
        <v/>
      </c>
      <c r="G283" s="6"/>
      <c r="H283" s="3" t="str">
        <f>IFERROR(IF(E283="Mayorista",IF(INDEX('04_PRODUCTOS'!$F$2:$F$501,MATCH(F283,'04_PRODUCTOS'!$B$2:$B$501,0))="",INDEX('04_PRODUCTOS'!$E$2:$E$501,MATCH(F283,'04_PRODUCTOS'!$B$2:$B$501,0)),INDEX('04_PRODUCTOS'!$F$2:$F$501,MATCH(F283,'04_PRODUCTOS'!$B$2:$B$501,0))),IF(E283="Especial",IF(INDEX('04_PRODUCTOS'!$G$2:$G$501,MATCH(F283,'04_PRODUCTOS'!$B$2:$B$501,0))="",INDEX('04_PRODUCTOS'!$E$2:$E$501,MATCH(F283,'04_PRODUCTOS'!$B$2:$B$501,0)),INDEX('04_PRODUCTOS'!$G$2:$G$501,MATCH(F283,'04_PRODUCTOS'!$B$2:$B$501,0))),INDEX('04_PRODUCTOS'!$E$2:$E$501,MATCH(F283,'04_PRODUCTOS'!$B$2:$B$501,0)))),"")</f>
        <v/>
      </c>
      <c r="I283" s="3" t="str">
        <f t="shared" si="27"/>
        <v/>
      </c>
      <c r="J283" s="3" t="str">
        <f>IFERROR(IF(INDEX('04_PRODUCTOS'!$D$2:$D$501,MATCH(F283,'04_PRODUCTOS'!$B$2:$B$501,0))="","",I283-(G283*INDEX('04_PRODUCTOS'!$D$2:$D$501,MATCH(F283,'04_PRODUCTOS'!$B$2:$B$501,0)))),"")</f>
        <v/>
      </c>
      <c r="K283" s="7" t="str">
        <f t="shared" si="28"/>
        <v/>
      </c>
      <c r="O283" t="str">
        <f>IF(D283="","",IFERROR(INDEX('03_CLIENTES'!$A$2:$A$501,MATCH(D283,'03_CLIENTES'!$B$2:$B$501,0)),""))</f>
        <v/>
      </c>
      <c r="P283" t="str">
        <f>IF(F283="","",IFERROR(INDEX('04_PRODUCTOS'!$A$2:$A$501,MATCH(F283,'04_PRODUCTOS'!$B$2:$B$501,0)),""))</f>
        <v/>
      </c>
      <c r="Q283" t="str">
        <f t="shared" si="29"/>
        <v/>
      </c>
    </row>
    <row r="284" spans="1:17" x14ac:dyDescent="0.25">
      <c r="A284" t="str">
        <f t="shared" si="24"/>
        <v/>
      </c>
      <c r="B284" s="4" t="str">
        <f t="shared" ca="1" si="25"/>
        <v/>
      </c>
      <c r="C284" s="5" t="str">
        <f t="shared" ca="1" si="26"/>
        <v/>
      </c>
      <c r="G284" s="6"/>
      <c r="H284" s="3" t="str">
        <f>IFERROR(IF(E284="Mayorista",IF(INDEX('04_PRODUCTOS'!$F$2:$F$501,MATCH(F284,'04_PRODUCTOS'!$B$2:$B$501,0))="",INDEX('04_PRODUCTOS'!$E$2:$E$501,MATCH(F284,'04_PRODUCTOS'!$B$2:$B$501,0)),INDEX('04_PRODUCTOS'!$F$2:$F$501,MATCH(F284,'04_PRODUCTOS'!$B$2:$B$501,0))),IF(E284="Especial",IF(INDEX('04_PRODUCTOS'!$G$2:$G$501,MATCH(F284,'04_PRODUCTOS'!$B$2:$B$501,0))="",INDEX('04_PRODUCTOS'!$E$2:$E$501,MATCH(F284,'04_PRODUCTOS'!$B$2:$B$501,0)),INDEX('04_PRODUCTOS'!$G$2:$G$501,MATCH(F284,'04_PRODUCTOS'!$B$2:$B$501,0))),INDEX('04_PRODUCTOS'!$E$2:$E$501,MATCH(F284,'04_PRODUCTOS'!$B$2:$B$501,0)))),"")</f>
        <v/>
      </c>
      <c r="I284" s="3" t="str">
        <f t="shared" si="27"/>
        <v/>
      </c>
      <c r="J284" s="3" t="str">
        <f>IFERROR(IF(INDEX('04_PRODUCTOS'!$D$2:$D$501,MATCH(F284,'04_PRODUCTOS'!$B$2:$B$501,0))="","",I284-(G284*INDEX('04_PRODUCTOS'!$D$2:$D$501,MATCH(F284,'04_PRODUCTOS'!$B$2:$B$501,0)))),"")</f>
        <v/>
      </c>
      <c r="K284" s="7" t="str">
        <f t="shared" si="28"/>
        <v/>
      </c>
      <c r="O284" t="str">
        <f>IF(D284="","",IFERROR(INDEX('03_CLIENTES'!$A$2:$A$501,MATCH(D284,'03_CLIENTES'!$B$2:$B$501,0)),""))</f>
        <v/>
      </c>
      <c r="P284" t="str">
        <f>IF(F284="","",IFERROR(INDEX('04_PRODUCTOS'!$A$2:$A$501,MATCH(F284,'04_PRODUCTOS'!$B$2:$B$501,0)),""))</f>
        <v/>
      </c>
      <c r="Q284" t="str">
        <f t="shared" si="29"/>
        <v/>
      </c>
    </row>
    <row r="285" spans="1:17" x14ac:dyDescent="0.25">
      <c r="A285" t="str">
        <f t="shared" si="24"/>
        <v/>
      </c>
      <c r="B285" s="4" t="str">
        <f t="shared" ca="1" si="25"/>
        <v/>
      </c>
      <c r="C285" s="5" t="str">
        <f t="shared" ca="1" si="26"/>
        <v/>
      </c>
      <c r="G285" s="6"/>
      <c r="H285" s="3" t="str">
        <f>IFERROR(IF(E285="Mayorista",IF(INDEX('04_PRODUCTOS'!$F$2:$F$501,MATCH(F285,'04_PRODUCTOS'!$B$2:$B$501,0))="",INDEX('04_PRODUCTOS'!$E$2:$E$501,MATCH(F285,'04_PRODUCTOS'!$B$2:$B$501,0)),INDEX('04_PRODUCTOS'!$F$2:$F$501,MATCH(F285,'04_PRODUCTOS'!$B$2:$B$501,0))),IF(E285="Especial",IF(INDEX('04_PRODUCTOS'!$G$2:$G$501,MATCH(F285,'04_PRODUCTOS'!$B$2:$B$501,0))="",INDEX('04_PRODUCTOS'!$E$2:$E$501,MATCH(F285,'04_PRODUCTOS'!$B$2:$B$501,0)),INDEX('04_PRODUCTOS'!$G$2:$G$501,MATCH(F285,'04_PRODUCTOS'!$B$2:$B$501,0))),INDEX('04_PRODUCTOS'!$E$2:$E$501,MATCH(F285,'04_PRODUCTOS'!$B$2:$B$501,0)))),"")</f>
        <v/>
      </c>
      <c r="I285" s="3" t="str">
        <f t="shared" si="27"/>
        <v/>
      </c>
      <c r="J285" s="3" t="str">
        <f>IFERROR(IF(INDEX('04_PRODUCTOS'!$D$2:$D$501,MATCH(F285,'04_PRODUCTOS'!$B$2:$B$501,0))="","",I285-(G285*INDEX('04_PRODUCTOS'!$D$2:$D$501,MATCH(F285,'04_PRODUCTOS'!$B$2:$B$501,0)))),"")</f>
        <v/>
      </c>
      <c r="K285" s="7" t="str">
        <f t="shared" si="28"/>
        <v/>
      </c>
      <c r="O285" t="str">
        <f>IF(D285="","",IFERROR(INDEX('03_CLIENTES'!$A$2:$A$501,MATCH(D285,'03_CLIENTES'!$B$2:$B$501,0)),""))</f>
        <v/>
      </c>
      <c r="P285" t="str">
        <f>IF(F285="","",IFERROR(INDEX('04_PRODUCTOS'!$A$2:$A$501,MATCH(F285,'04_PRODUCTOS'!$B$2:$B$501,0)),""))</f>
        <v/>
      </c>
      <c r="Q285" t="str">
        <f t="shared" si="29"/>
        <v/>
      </c>
    </row>
    <row r="286" spans="1:17" x14ac:dyDescent="0.25">
      <c r="A286" t="str">
        <f t="shared" si="24"/>
        <v/>
      </c>
      <c r="B286" s="4" t="str">
        <f t="shared" ca="1" si="25"/>
        <v/>
      </c>
      <c r="C286" s="5" t="str">
        <f t="shared" ca="1" si="26"/>
        <v/>
      </c>
      <c r="G286" s="6"/>
      <c r="H286" s="3" t="str">
        <f>IFERROR(IF(E286="Mayorista",IF(INDEX('04_PRODUCTOS'!$F$2:$F$501,MATCH(F286,'04_PRODUCTOS'!$B$2:$B$501,0))="",INDEX('04_PRODUCTOS'!$E$2:$E$501,MATCH(F286,'04_PRODUCTOS'!$B$2:$B$501,0)),INDEX('04_PRODUCTOS'!$F$2:$F$501,MATCH(F286,'04_PRODUCTOS'!$B$2:$B$501,0))),IF(E286="Especial",IF(INDEX('04_PRODUCTOS'!$G$2:$G$501,MATCH(F286,'04_PRODUCTOS'!$B$2:$B$501,0))="",INDEX('04_PRODUCTOS'!$E$2:$E$501,MATCH(F286,'04_PRODUCTOS'!$B$2:$B$501,0)),INDEX('04_PRODUCTOS'!$G$2:$G$501,MATCH(F286,'04_PRODUCTOS'!$B$2:$B$501,0))),INDEX('04_PRODUCTOS'!$E$2:$E$501,MATCH(F286,'04_PRODUCTOS'!$B$2:$B$501,0)))),"")</f>
        <v/>
      </c>
      <c r="I286" s="3" t="str">
        <f t="shared" si="27"/>
        <v/>
      </c>
      <c r="J286" s="3" t="str">
        <f>IFERROR(IF(INDEX('04_PRODUCTOS'!$D$2:$D$501,MATCH(F286,'04_PRODUCTOS'!$B$2:$B$501,0))="","",I286-(G286*INDEX('04_PRODUCTOS'!$D$2:$D$501,MATCH(F286,'04_PRODUCTOS'!$B$2:$B$501,0)))),"")</f>
        <v/>
      </c>
      <c r="K286" s="7" t="str">
        <f t="shared" si="28"/>
        <v/>
      </c>
      <c r="O286" t="str">
        <f>IF(D286="","",IFERROR(INDEX('03_CLIENTES'!$A$2:$A$501,MATCH(D286,'03_CLIENTES'!$B$2:$B$501,0)),""))</f>
        <v/>
      </c>
      <c r="P286" t="str">
        <f>IF(F286="","",IFERROR(INDEX('04_PRODUCTOS'!$A$2:$A$501,MATCH(F286,'04_PRODUCTOS'!$B$2:$B$501,0)),""))</f>
        <v/>
      </c>
      <c r="Q286" t="str">
        <f t="shared" si="29"/>
        <v/>
      </c>
    </row>
    <row r="287" spans="1:17" x14ac:dyDescent="0.25">
      <c r="A287" t="str">
        <f t="shared" si="24"/>
        <v/>
      </c>
      <c r="B287" s="4" t="str">
        <f t="shared" ca="1" si="25"/>
        <v/>
      </c>
      <c r="C287" s="5" t="str">
        <f t="shared" ca="1" si="26"/>
        <v/>
      </c>
      <c r="G287" s="6"/>
      <c r="H287" s="3" t="str">
        <f>IFERROR(IF(E287="Mayorista",IF(INDEX('04_PRODUCTOS'!$F$2:$F$501,MATCH(F287,'04_PRODUCTOS'!$B$2:$B$501,0))="",INDEX('04_PRODUCTOS'!$E$2:$E$501,MATCH(F287,'04_PRODUCTOS'!$B$2:$B$501,0)),INDEX('04_PRODUCTOS'!$F$2:$F$501,MATCH(F287,'04_PRODUCTOS'!$B$2:$B$501,0))),IF(E287="Especial",IF(INDEX('04_PRODUCTOS'!$G$2:$G$501,MATCH(F287,'04_PRODUCTOS'!$B$2:$B$501,0))="",INDEX('04_PRODUCTOS'!$E$2:$E$501,MATCH(F287,'04_PRODUCTOS'!$B$2:$B$501,0)),INDEX('04_PRODUCTOS'!$G$2:$G$501,MATCH(F287,'04_PRODUCTOS'!$B$2:$B$501,0))),INDEX('04_PRODUCTOS'!$E$2:$E$501,MATCH(F287,'04_PRODUCTOS'!$B$2:$B$501,0)))),"")</f>
        <v/>
      </c>
      <c r="I287" s="3" t="str">
        <f t="shared" si="27"/>
        <v/>
      </c>
      <c r="J287" s="3" t="str">
        <f>IFERROR(IF(INDEX('04_PRODUCTOS'!$D$2:$D$501,MATCH(F287,'04_PRODUCTOS'!$B$2:$B$501,0))="","",I287-(G287*INDEX('04_PRODUCTOS'!$D$2:$D$501,MATCH(F287,'04_PRODUCTOS'!$B$2:$B$501,0)))),"")</f>
        <v/>
      </c>
      <c r="K287" s="7" t="str">
        <f t="shared" si="28"/>
        <v/>
      </c>
      <c r="O287" t="str">
        <f>IF(D287="","",IFERROR(INDEX('03_CLIENTES'!$A$2:$A$501,MATCH(D287,'03_CLIENTES'!$B$2:$B$501,0)),""))</f>
        <v/>
      </c>
      <c r="P287" t="str">
        <f>IF(F287="","",IFERROR(INDEX('04_PRODUCTOS'!$A$2:$A$501,MATCH(F287,'04_PRODUCTOS'!$B$2:$B$501,0)),""))</f>
        <v/>
      </c>
      <c r="Q287" t="str">
        <f t="shared" si="29"/>
        <v/>
      </c>
    </row>
    <row r="288" spans="1:17" x14ac:dyDescent="0.25">
      <c r="A288" t="str">
        <f t="shared" si="24"/>
        <v/>
      </c>
      <c r="B288" s="4" t="str">
        <f t="shared" ca="1" si="25"/>
        <v/>
      </c>
      <c r="C288" s="5" t="str">
        <f t="shared" ca="1" si="26"/>
        <v/>
      </c>
      <c r="G288" s="6"/>
      <c r="H288" s="3" t="str">
        <f>IFERROR(IF(E288="Mayorista",IF(INDEX('04_PRODUCTOS'!$F$2:$F$501,MATCH(F288,'04_PRODUCTOS'!$B$2:$B$501,0))="",INDEX('04_PRODUCTOS'!$E$2:$E$501,MATCH(F288,'04_PRODUCTOS'!$B$2:$B$501,0)),INDEX('04_PRODUCTOS'!$F$2:$F$501,MATCH(F288,'04_PRODUCTOS'!$B$2:$B$501,0))),IF(E288="Especial",IF(INDEX('04_PRODUCTOS'!$G$2:$G$501,MATCH(F288,'04_PRODUCTOS'!$B$2:$B$501,0))="",INDEX('04_PRODUCTOS'!$E$2:$E$501,MATCH(F288,'04_PRODUCTOS'!$B$2:$B$501,0)),INDEX('04_PRODUCTOS'!$G$2:$G$501,MATCH(F288,'04_PRODUCTOS'!$B$2:$B$501,0))),INDEX('04_PRODUCTOS'!$E$2:$E$501,MATCH(F288,'04_PRODUCTOS'!$B$2:$B$501,0)))),"")</f>
        <v/>
      </c>
      <c r="I288" s="3" t="str">
        <f t="shared" si="27"/>
        <v/>
      </c>
      <c r="J288" s="3" t="str">
        <f>IFERROR(IF(INDEX('04_PRODUCTOS'!$D$2:$D$501,MATCH(F288,'04_PRODUCTOS'!$B$2:$B$501,0))="","",I288-(G288*INDEX('04_PRODUCTOS'!$D$2:$D$501,MATCH(F288,'04_PRODUCTOS'!$B$2:$B$501,0)))),"")</f>
        <v/>
      </c>
      <c r="K288" s="7" t="str">
        <f t="shared" si="28"/>
        <v/>
      </c>
      <c r="O288" t="str">
        <f>IF(D288="","",IFERROR(INDEX('03_CLIENTES'!$A$2:$A$501,MATCH(D288,'03_CLIENTES'!$B$2:$B$501,0)),""))</f>
        <v/>
      </c>
      <c r="P288" t="str">
        <f>IF(F288="","",IFERROR(INDEX('04_PRODUCTOS'!$A$2:$A$501,MATCH(F288,'04_PRODUCTOS'!$B$2:$B$501,0)),""))</f>
        <v/>
      </c>
      <c r="Q288" t="str">
        <f t="shared" si="29"/>
        <v/>
      </c>
    </row>
    <row r="289" spans="1:17" x14ac:dyDescent="0.25">
      <c r="A289" t="str">
        <f t="shared" si="24"/>
        <v/>
      </c>
      <c r="B289" s="4" t="str">
        <f t="shared" ca="1" si="25"/>
        <v/>
      </c>
      <c r="C289" s="5" t="str">
        <f t="shared" ca="1" si="26"/>
        <v/>
      </c>
      <c r="G289" s="6"/>
      <c r="H289" s="3" t="str">
        <f>IFERROR(IF(E289="Mayorista",IF(INDEX('04_PRODUCTOS'!$F$2:$F$501,MATCH(F289,'04_PRODUCTOS'!$B$2:$B$501,0))="",INDEX('04_PRODUCTOS'!$E$2:$E$501,MATCH(F289,'04_PRODUCTOS'!$B$2:$B$501,0)),INDEX('04_PRODUCTOS'!$F$2:$F$501,MATCH(F289,'04_PRODUCTOS'!$B$2:$B$501,0))),IF(E289="Especial",IF(INDEX('04_PRODUCTOS'!$G$2:$G$501,MATCH(F289,'04_PRODUCTOS'!$B$2:$B$501,0))="",INDEX('04_PRODUCTOS'!$E$2:$E$501,MATCH(F289,'04_PRODUCTOS'!$B$2:$B$501,0)),INDEX('04_PRODUCTOS'!$G$2:$G$501,MATCH(F289,'04_PRODUCTOS'!$B$2:$B$501,0))),INDEX('04_PRODUCTOS'!$E$2:$E$501,MATCH(F289,'04_PRODUCTOS'!$B$2:$B$501,0)))),"")</f>
        <v/>
      </c>
      <c r="I289" s="3" t="str">
        <f t="shared" si="27"/>
        <v/>
      </c>
      <c r="J289" s="3" t="str">
        <f>IFERROR(IF(INDEX('04_PRODUCTOS'!$D$2:$D$501,MATCH(F289,'04_PRODUCTOS'!$B$2:$B$501,0))="","",I289-(G289*INDEX('04_PRODUCTOS'!$D$2:$D$501,MATCH(F289,'04_PRODUCTOS'!$B$2:$B$501,0)))),"")</f>
        <v/>
      </c>
      <c r="K289" s="7" t="str">
        <f t="shared" si="28"/>
        <v/>
      </c>
      <c r="O289" t="str">
        <f>IF(D289="","",IFERROR(INDEX('03_CLIENTES'!$A$2:$A$501,MATCH(D289,'03_CLIENTES'!$B$2:$B$501,0)),""))</f>
        <v/>
      </c>
      <c r="P289" t="str">
        <f>IF(F289="","",IFERROR(INDEX('04_PRODUCTOS'!$A$2:$A$501,MATCH(F289,'04_PRODUCTOS'!$B$2:$B$501,0)),""))</f>
        <v/>
      </c>
      <c r="Q289" t="str">
        <f t="shared" si="29"/>
        <v/>
      </c>
    </row>
    <row r="290" spans="1:17" x14ac:dyDescent="0.25">
      <c r="A290" t="str">
        <f t="shared" si="24"/>
        <v/>
      </c>
      <c r="B290" s="4" t="str">
        <f t="shared" ca="1" si="25"/>
        <v/>
      </c>
      <c r="C290" s="5" t="str">
        <f t="shared" ca="1" si="26"/>
        <v/>
      </c>
      <c r="G290" s="6"/>
      <c r="H290" s="3" t="str">
        <f>IFERROR(IF(E290="Mayorista",IF(INDEX('04_PRODUCTOS'!$F$2:$F$501,MATCH(F290,'04_PRODUCTOS'!$B$2:$B$501,0))="",INDEX('04_PRODUCTOS'!$E$2:$E$501,MATCH(F290,'04_PRODUCTOS'!$B$2:$B$501,0)),INDEX('04_PRODUCTOS'!$F$2:$F$501,MATCH(F290,'04_PRODUCTOS'!$B$2:$B$501,0))),IF(E290="Especial",IF(INDEX('04_PRODUCTOS'!$G$2:$G$501,MATCH(F290,'04_PRODUCTOS'!$B$2:$B$501,0))="",INDEX('04_PRODUCTOS'!$E$2:$E$501,MATCH(F290,'04_PRODUCTOS'!$B$2:$B$501,0)),INDEX('04_PRODUCTOS'!$G$2:$G$501,MATCH(F290,'04_PRODUCTOS'!$B$2:$B$501,0))),INDEX('04_PRODUCTOS'!$E$2:$E$501,MATCH(F290,'04_PRODUCTOS'!$B$2:$B$501,0)))),"")</f>
        <v/>
      </c>
      <c r="I290" s="3" t="str">
        <f t="shared" si="27"/>
        <v/>
      </c>
      <c r="J290" s="3" t="str">
        <f>IFERROR(IF(INDEX('04_PRODUCTOS'!$D$2:$D$501,MATCH(F290,'04_PRODUCTOS'!$B$2:$B$501,0))="","",I290-(G290*INDEX('04_PRODUCTOS'!$D$2:$D$501,MATCH(F290,'04_PRODUCTOS'!$B$2:$B$501,0)))),"")</f>
        <v/>
      </c>
      <c r="K290" s="7" t="str">
        <f t="shared" si="28"/>
        <v/>
      </c>
      <c r="O290" t="str">
        <f>IF(D290="","",IFERROR(INDEX('03_CLIENTES'!$A$2:$A$501,MATCH(D290,'03_CLIENTES'!$B$2:$B$501,0)),""))</f>
        <v/>
      </c>
      <c r="P290" t="str">
        <f>IF(F290="","",IFERROR(INDEX('04_PRODUCTOS'!$A$2:$A$501,MATCH(F290,'04_PRODUCTOS'!$B$2:$B$501,0)),""))</f>
        <v/>
      </c>
      <c r="Q290" t="str">
        <f t="shared" si="29"/>
        <v/>
      </c>
    </row>
    <row r="291" spans="1:17" x14ac:dyDescent="0.25">
      <c r="A291" t="str">
        <f t="shared" si="24"/>
        <v/>
      </c>
      <c r="B291" s="4" t="str">
        <f t="shared" ca="1" si="25"/>
        <v/>
      </c>
      <c r="C291" s="5" t="str">
        <f t="shared" ca="1" si="26"/>
        <v/>
      </c>
      <c r="G291" s="6"/>
      <c r="H291" s="3" t="str">
        <f>IFERROR(IF(E291="Mayorista",IF(INDEX('04_PRODUCTOS'!$F$2:$F$501,MATCH(F291,'04_PRODUCTOS'!$B$2:$B$501,0))="",INDEX('04_PRODUCTOS'!$E$2:$E$501,MATCH(F291,'04_PRODUCTOS'!$B$2:$B$501,0)),INDEX('04_PRODUCTOS'!$F$2:$F$501,MATCH(F291,'04_PRODUCTOS'!$B$2:$B$501,0))),IF(E291="Especial",IF(INDEX('04_PRODUCTOS'!$G$2:$G$501,MATCH(F291,'04_PRODUCTOS'!$B$2:$B$501,0))="",INDEX('04_PRODUCTOS'!$E$2:$E$501,MATCH(F291,'04_PRODUCTOS'!$B$2:$B$501,0)),INDEX('04_PRODUCTOS'!$G$2:$G$501,MATCH(F291,'04_PRODUCTOS'!$B$2:$B$501,0))),INDEX('04_PRODUCTOS'!$E$2:$E$501,MATCH(F291,'04_PRODUCTOS'!$B$2:$B$501,0)))),"")</f>
        <v/>
      </c>
      <c r="I291" s="3" t="str">
        <f t="shared" si="27"/>
        <v/>
      </c>
      <c r="J291" s="3" t="str">
        <f>IFERROR(IF(INDEX('04_PRODUCTOS'!$D$2:$D$501,MATCH(F291,'04_PRODUCTOS'!$B$2:$B$501,0))="","",I291-(G291*INDEX('04_PRODUCTOS'!$D$2:$D$501,MATCH(F291,'04_PRODUCTOS'!$B$2:$B$501,0)))),"")</f>
        <v/>
      </c>
      <c r="K291" s="7" t="str">
        <f t="shared" si="28"/>
        <v/>
      </c>
      <c r="O291" t="str">
        <f>IF(D291="","",IFERROR(INDEX('03_CLIENTES'!$A$2:$A$501,MATCH(D291,'03_CLIENTES'!$B$2:$B$501,0)),""))</f>
        <v/>
      </c>
      <c r="P291" t="str">
        <f>IF(F291="","",IFERROR(INDEX('04_PRODUCTOS'!$A$2:$A$501,MATCH(F291,'04_PRODUCTOS'!$B$2:$B$501,0)),""))</f>
        <v/>
      </c>
      <c r="Q291" t="str">
        <f t="shared" si="29"/>
        <v/>
      </c>
    </row>
    <row r="292" spans="1:17" x14ac:dyDescent="0.25">
      <c r="A292" t="str">
        <f t="shared" si="24"/>
        <v/>
      </c>
      <c r="B292" s="4" t="str">
        <f t="shared" ca="1" si="25"/>
        <v/>
      </c>
      <c r="C292" s="5" t="str">
        <f t="shared" ca="1" si="26"/>
        <v/>
      </c>
      <c r="G292" s="6"/>
      <c r="H292" s="3" t="str">
        <f>IFERROR(IF(E292="Mayorista",IF(INDEX('04_PRODUCTOS'!$F$2:$F$501,MATCH(F292,'04_PRODUCTOS'!$B$2:$B$501,0))="",INDEX('04_PRODUCTOS'!$E$2:$E$501,MATCH(F292,'04_PRODUCTOS'!$B$2:$B$501,0)),INDEX('04_PRODUCTOS'!$F$2:$F$501,MATCH(F292,'04_PRODUCTOS'!$B$2:$B$501,0))),IF(E292="Especial",IF(INDEX('04_PRODUCTOS'!$G$2:$G$501,MATCH(F292,'04_PRODUCTOS'!$B$2:$B$501,0))="",INDEX('04_PRODUCTOS'!$E$2:$E$501,MATCH(F292,'04_PRODUCTOS'!$B$2:$B$501,0)),INDEX('04_PRODUCTOS'!$G$2:$G$501,MATCH(F292,'04_PRODUCTOS'!$B$2:$B$501,0))),INDEX('04_PRODUCTOS'!$E$2:$E$501,MATCH(F292,'04_PRODUCTOS'!$B$2:$B$501,0)))),"")</f>
        <v/>
      </c>
      <c r="I292" s="3" t="str">
        <f t="shared" si="27"/>
        <v/>
      </c>
      <c r="J292" s="3" t="str">
        <f>IFERROR(IF(INDEX('04_PRODUCTOS'!$D$2:$D$501,MATCH(F292,'04_PRODUCTOS'!$B$2:$B$501,0))="","",I292-(G292*INDEX('04_PRODUCTOS'!$D$2:$D$501,MATCH(F292,'04_PRODUCTOS'!$B$2:$B$501,0)))),"")</f>
        <v/>
      </c>
      <c r="K292" s="7" t="str">
        <f t="shared" si="28"/>
        <v/>
      </c>
      <c r="O292" t="str">
        <f>IF(D292="","",IFERROR(INDEX('03_CLIENTES'!$A$2:$A$501,MATCH(D292,'03_CLIENTES'!$B$2:$B$501,0)),""))</f>
        <v/>
      </c>
      <c r="P292" t="str">
        <f>IF(F292="","",IFERROR(INDEX('04_PRODUCTOS'!$A$2:$A$501,MATCH(F292,'04_PRODUCTOS'!$B$2:$B$501,0)),""))</f>
        <v/>
      </c>
      <c r="Q292" t="str">
        <f t="shared" si="29"/>
        <v/>
      </c>
    </row>
    <row r="293" spans="1:17" x14ac:dyDescent="0.25">
      <c r="A293" t="str">
        <f t="shared" si="24"/>
        <v/>
      </c>
      <c r="B293" s="4" t="str">
        <f t="shared" ca="1" si="25"/>
        <v/>
      </c>
      <c r="C293" s="5" t="str">
        <f t="shared" ca="1" si="26"/>
        <v/>
      </c>
      <c r="G293" s="6"/>
      <c r="H293" s="3" t="str">
        <f>IFERROR(IF(E293="Mayorista",IF(INDEX('04_PRODUCTOS'!$F$2:$F$501,MATCH(F293,'04_PRODUCTOS'!$B$2:$B$501,0))="",INDEX('04_PRODUCTOS'!$E$2:$E$501,MATCH(F293,'04_PRODUCTOS'!$B$2:$B$501,0)),INDEX('04_PRODUCTOS'!$F$2:$F$501,MATCH(F293,'04_PRODUCTOS'!$B$2:$B$501,0))),IF(E293="Especial",IF(INDEX('04_PRODUCTOS'!$G$2:$G$501,MATCH(F293,'04_PRODUCTOS'!$B$2:$B$501,0))="",INDEX('04_PRODUCTOS'!$E$2:$E$501,MATCH(F293,'04_PRODUCTOS'!$B$2:$B$501,0)),INDEX('04_PRODUCTOS'!$G$2:$G$501,MATCH(F293,'04_PRODUCTOS'!$B$2:$B$501,0))),INDEX('04_PRODUCTOS'!$E$2:$E$501,MATCH(F293,'04_PRODUCTOS'!$B$2:$B$501,0)))),"")</f>
        <v/>
      </c>
      <c r="I293" s="3" t="str">
        <f t="shared" si="27"/>
        <v/>
      </c>
      <c r="J293" s="3" t="str">
        <f>IFERROR(IF(INDEX('04_PRODUCTOS'!$D$2:$D$501,MATCH(F293,'04_PRODUCTOS'!$B$2:$B$501,0))="","",I293-(G293*INDEX('04_PRODUCTOS'!$D$2:$D$501,MATCH(F293,'04_PRODUCTOS'!$B$2:$B$501,0)))),"")</f>
        <v/>
      </c>
      <c r="K293" s="7" t="str">
        <f t="shared" si="28"/>
        <v/>
      </c>
      <c r="O293" t="str">
        <f>IF(D293="","",IFERROR(INDEX('03_CLIENTES'!$A$2:$A$501,MATCH(D293,'03_CLIENTES'!$B$2:$B$501,0)),""))</f>
        <v/>
      </c>
      <c r="P293" t="str">
        <f>IF(F293="","",IFERROR(INDEX('04_PRODUCTOS'!$A$2:$A$501,MATCH(F293,'04_PRODUCTOS'!$B$2:$B$501,0)),""))</f>
        <v/>
      </c>
      <c r="Q293" t="str">
        <f t="shared" si="29"/>
        <v/>
      </c>
    </row>
    <row r="294" spans="1:17" x14ac:dyDescent="0.25">
      <c r="A294" t="str">
        <f t="shared" si="24"/>
        <v/>
      </c>
      <c r="B294" s="4" t="str">
        <f t="shared" ca="1" si="25"/>
        <v/>
      </c>
      <c r="C294" s="5" t="str">
        <f t="shared" ca="1" si="26"/>
        <v/>
      </c>
      <c r="G294" s="6"/>
      <c r="H294" s="3" t="str">
        <f>IFERROR(IF(E294="Mayorista",IF(INDEX('04_PRODUCTOS'!$F$2:$F$501,MATCH(F294,'04_PRODUCTOS'!$B$2:$B$501,0))="",INDEX('04_PRODUCTOS'!$E$2:$E$501,MATCH(F294,'04_PRODUCTOS'!$B$2:$B$501,0)),INDEX('04_PRODUCTOS'!$F$2:$F$501,MATCH(F294,'04_PRODUCTOS'!$B$2:$B$501,0))),IF(E294="Especial",IF(INDEX('04_PRODUCTOS'!$G$2:$G$501,MATCH(F294,'04_PRODUCTOS'!$B$2:$B$501,0))="",INDEX('04_PRODUCTOS'!$E$2:$E$501,MATCH(F294,'04_PRODUCTOS'!$B$2:$B$501,0)),INDEX('04_PRODUCTOS'!$G$2:$G$501,MATCH(F294,'04_PRODUCTOS'!$B$2:$B$501,0))),INDEX('04_PRODUCTOS'!$E$2:$E$501,MATCH(F294,'04_PRODUCTOS'!$B$2:$B$501,0)))),"")</f>
        <v/>
      </c>
      <c r="I294" s="3" t="str">
        <f t="shared" si="27"/>
        <v/>
      </c>
      <c r="J294" s="3" t="str">
        <f>IFERROR(IF(INDEX('04_PRODUCTOS'!$D$2:$D$501,MATCH(F294,'04_PRODUCTOS'!$B$2:$B$501,0))="","",I294-(G294*INDEX('04_PRODUCTOS'!$D$2:$D$501,MATCH(F294,'04_PRODUCTOS'!$B$2:$B$501,0)))),"")</f>
        <v/>
      </c>
      <c r="K294" s="7" t="str">
        <f t="shared" si="28"/>
        <v/>
      </c>
      <c r="O294" t="str">
        <f>IF(D294="","",IFERROR(INDEX('03_CLIENTES'!$A$2:$A$501,MATCH(D294,'03_CLIENTES'!$B$2:$B$501,0)),""))</f>
        <v/>
      </c>
      <c r="P294" t="str">
        <f>IF(F294="","",IFERROR(INDEX('04_PRODUCTOS'!$A$2:$A$501,MATCH(F294,'04_PRODUCTOS'!$B$2:$B$501,0)),""))</f>
        <v/>
      </c>
      <c r="Q294" t="str">
        <f t="shared" si="29"/>
        <v/>
      </c>
    </row>
    <row r="295" spans="1:17" x14ac:dyDescent="0.25">
      <c r="A295" t="str">
        <f t="shared" si="24"/>
        <v/>
      </c>
      <c r="B295" s="4" t="str">
        <f t="shared" ca="1" si="25"/>
        <v/>
      </c>
      <c r="C295" s="5" t="str">
        <f t="shared" ca="1" si="26"/>
        <v/>
      </c>
      <c r="G295" s="6"/>
      <c r="H295" s="3" t="str">
        <f>IFERROR(IF(E295="Mayorista",IF(INDEX('04_PRODUCTOS'!$F$2:$F$501,MATCH(F295,'04_PRODUCTOS'!$B$2:$B$501,0))="",INDEX('04_PRODUCTOS'!$E$2:$E$501,MATCH(F295,'04_PRODUCTOS'!$B$2:$B$501,0)),INDEX('04_PRODUCTOS'!$F$2:$F$501,MATCH(F295,'04_PRODUCTOS'!$B$2:$B$501,0))),IF(E295="Especial",IF(INDEX('04_PRODUCTOS'!$G$2:$G$501,MATCH(F295,'04_PRODUCTOS'!$B$2:$B$501,0))="",INDEX('04_PRODUCTOS'!$E$2:$E$501,MATCH(F295,'04_PRODUCTOS'!$B$2:$B$501,0)),INDEX('04_PRODUCTOS'!$G$2:$G$501,MATCH(F295,'04_PRODUCTOS'!$B$2:$B$501,0))),INDEX('04_PRODUCTOS'!$E$2:$E$501,MATCH(F295,'04_PRODUCTOS'!$B$2:$B$501,0)))),"")</f>
        <v/>
      </c>
      <c r="I295" s="3" t="str">
        <f t="shared" si="27"/>
        <v/>
      </c>
      <c r="J295" s="3" t="str">
        <f>IFERROR(IF(INDEX('04_PRODUCTOS'!$D$2:$D$501,MATCH(F295,'04_PRODUCTOS'!$B$2:$B$501,0))="","",I295-(G295*INDEX('04_PRODUCTOS'!$D$2:$D$501,MATCH(F295,'04_PRODUCTOS'!$B$2:$B$501,0)))),"")</f>
        <v/>
      </c>
      <c r="K295" s="7" t="str">
        <f t="shared" si="28"/>
        <v/>
      </c>
      <c r="O295" t="str">
        <f>IF(D295="","",IFERROR(INDEX('03_CLIENTES'!$A$2:$A$501,MATCH(D295,'03_CLIENTES'!$B$2:$B$501,0)),""))</f>
        <v/>
      </c>
      <c r="P295" t="str">
        <f>IF(F295="","",IFERROR(INDEX('04_PRODUCTOS'!$A$2:$A$501,MATCH(F295,'04_PRODUCTOS'!$B$2:$B$501,0)),""))</f>
        <v/>
      </c>
      <c r="Q295" t="str">
        <f t="shared" si="29"/>
        <v/>
      </c>
    </row>
    <row r="296" spans="1:17" x14ac:dyDescent="0.25">
      <c r="A296" t="str">
        <f t="shared" si="24"/>
        <v/>
      </c>
      <c r="B296" s="4" t="str">
        <f t="shared" ca="1" si="25"/>
        <v/>
      </c>
      <c r="C296" s="5" t="str">
        <f t="shared" ca="1" si="26"/>
        <v/>
      </c>
      <c r="G296" s="6"/>
      <c r="H296" s="3" t="str">
        <f>IFERROR(IF(E296="Mayorista",IF(INDEX('04_PRODUCTOS'!$F$2:$F$501,MATCH(F296,'04_PRODUCTOS'!$B$2:$B$501,0))="",INDEX('04_PRODUCTOS'!$E$2:$E$501,MATCH(F296,'04_PRODUCTOS'!$B$2:$B$501,0)),INDEX('04_PRODUCTOS'!$F$2:$F$501,MATCH(F296,'04_PRODUCTOS'!$B$2:$B$501,0))),IF(E296="Especial",IF(INDEX('04_PRODUCTOS'!$G$2:$G$501,MATCH(F296,'04_PRODUCTOS'!$B$2:$B$501,0))="",INDEX('04_PRODUCTOS'!$E$2:$E$501,MATCH(F296,'04_PRODUCTOS'!$B$2:$B$501,0)),INDEX('04_PRODUCTOS'!$G$2:$G$501,MATCH(F296,'04_PRODUCTOS'!$B$2:$B$501,0))),INDEX('04_PRODUCTOS'!$E$2:$E$501,MATCH(F296,'04_PRODUCTOS'!$B$2:$B$501,0)))),"")</f>
        <v/>
      </c>
      <c r="I296" s="3" t="str">
        <f t="shared" si="27"/>
        <v/>
      </c>
      <c r="J296" s="3" t="str">
        <f>IFERROR(IF(INDEX('04_PRODUCTOS'!$D$2:$D$501,MATCH(F296,'04_PRODUCTOS'!$B$2:$B$501,0))="","",I296-(G296*INDEX('04_PRODUCTOS'!$D$2:$D$501,MATCH(F296,'04_PRODUCTOS'!$B$2:$B$501,0)))),"")</f>
        <v/>
      </c>
      <c r="K296" s="7" t="str">
        <f t="shared" si="28"/>
        <v/>
      </c>
      <c r="O296" t="str">
        <f>IF(D296="","",IFERROR(INDEX('03_CLIENTES'!$A$2:$A$501,MATCH(D296,'03_CLIENTES'!$B$2:$B$501,0)),""))</f>
        <v/>
      </c>
      <c r="P296" t="str">
        <f>IF(F296="","",IFERROR(INDEX('04_PRODUCTOS'!$A$2:$A$501,MATCH(F296,'04_PRODUCTOS'!$B$2:$B$501,0)),""))</f>
        <v/>
      </c>
      <c r="Q296" t="str">
        <f t="shared" si="29"/>
        <v/>
      </c>
    </row>
    <row r="297" spans="1:17" x14ac:dyDescent="0.25">
      <c r="A297" t="str">
        <f t="shared" si="24"/>
        <v/>
      </c>
      <c r="B297" s="4" t="str">
        <f t="shared" ca="1" si="25"/>
        <v/>
      </c>
      <c r="C297" s="5" t="str">
        <f t="shared" ca="1" si="26"/>
        <v/>
      </c>
      <c r="G297" s="6"/>
      <c r="H297" s="3" t="str">
        <f>IFERROR(IF(E297="Mayorista",IF(INDEX('04_PRODUCTOS'!$F$2:$F$501,MATCH(F297,'04_PRODUCTOS'!$B$2:$B$501,0))="",INDEX('04_PRODUCTOS'!$E$2:$E$501,MATCH(F297,'04_PRODUCTOS'!$B$2:$B$501,0)),INDEX('04_PRODUCTOS'!$F$2:$F$501,MATCH(F297,'04_PRODUCTOS'!$B$2:$B$501,0))),IF(E297="Especial",IF(INDEX('04_PRODUCTOS'!$G$2:$G$501,MATCH(F297,'04_PRODUCTOS'!$B$2:$B$501,0))="",INDEX('04_PRODUCTOS'!$E$2:$E$501,MATCH(F297,'04_PRODUCTOS'!$B$2:$B$501,0)),INDEX('04_PRODUCTOS'!$G$2:$G$501,MATCH(F297,'04_PRODUCTOS'!$B$2:$B$501,0))),INDEX('04_PRODUCTOS'!$E$2:$E$501,MATCH(F297,'04_PRODUCTOS'!$B$2:$B$501,0)))),"")</f>
        <v/>
      </c>
      <c r="I297" s="3" t="str">
        <f t="shared" si="27"/>
        <v/>
      </c>
      <c r="J297" s="3" t="str">
        <f>IFERROR(IF(INDEX('04_PRODUCTOS'!$D$2:$D$501,MATCH(F297,'04_PRODUCTOS'!$B$2:$B$501,0))="","",I297-(G297*INDEX('04_PRODUCTOS'!$D$2:$D$501,MATCH(F297,'04_PRODUCTOS'!$B$2:$B$501,0)))),"")</f>
        <v/>
      </c>
      <c r="K297" s="7" t="str">
        <f t="shared" si="28"/>
        <v/>
      </c>
      <c r="O297" t="str">
        <f>IF(D297="","",IFERROR(INDEX('03_CLIENTES'!$A$2:$A$501,MATCH(D297,'03_CLIENTES'!$B$2:$B$501,0)),""))</f>
        <v/>
      </c>
      <c r="P297" t="str">
        <f>IF(F297="","",IFERROR(INDEX('04_PRODUCTOS'!$A$2:$A$501,MATCH(F297,'04_PRODUCTOS'!$B$2:$B$501,0)),""))</f>
        <v/>
      </c>
      <c r="Q297" t="str">
        <f t="shared" si="29"/>
        <v/>
      </c>
    </row>
    <row r="298" spans="1:17" x14ac:dyDescent="0.25">
      <c r="A298" t="str">
        <f t="shared" si="24"/>
        <v/>
      </c>
      <c r="B298" s="4" t="str">
        <f t="shared" ca="1" si="25"/>
        <v/>
      </c>
      <c r="C298" s="5" t="str">
        <f t="shared" ca="1" si="26"/>
        <v/>
      </c>
      <c r="G298" s="6"/>
      <c r="H298" s="3" t="str">
        <f>IFERROR(IF(E298="Mayorista",IF(INDEX('04_PRODUCTOS'!$F$2:$F$501,MATCH(F298,'04_PRODUCTOS'!$B$2:$B$501,0))="",INDEX('04_PRODUCTOS'!$E$2:$E$501,MATCH(F298,'04_PRODUCTOS'!$B$2:$B$501,0)),INDEX('04_PRODUCTOS'!$F$2:$F$501,MATCH(F298,'04_PRODUCTOS'!$B$2:$B$501,0))),IF(E298="Especial",IF(INDEX('04_PRODUCTOS'!$G$2:$G$501,MATCH(F298,'04_PRODUCTOS'!$B$2:$B$501,0))="",INDEX('04_PRODUCTOS'!$E$2:$E$501,MATCH(F298,'04_PRODUCTOS'!$B$2:$B$501,0)),INDEX('04_PRODUCTOS'!$G$2:$G$501,MATCH(F298,'04_PRODUCTOS'!$B$2:$B$501,0))),INDEX('04_PRODUCTOS'!$E$2:$E$501,MATCH(F298,'04_PRODUCTOS'!$B$2:$B$501,0)))),"")</f>
        <v/>
      </c>
      <c r="I298" s="3" t="str">
        <f t="shared" si="27"/>
        <v/>
      </c>
      <c r="J298" s="3" t="str">
        <f>IFERROR(IF(INDEX('04_PRODUCTOS'!$D$2:$D$501,MATCH(F298,'04_PRODUCTOS'!$B$2:$B$501,0))="","",I298-(G298*INDEX('04_PRODUCTOS'!$D$2:$D$501,MATCH(F298,'04_PRODUCTOS'!$B$2:$B$501,0)))),"")</f>
        <v/>
      </c>
      <c r="K298" s="7" t="str">
        <f t="shared" si="28"/>
        <v/>
      </c>
      <c r="O298" t="str">
        <f>IF(D298="","",IFERROR(INDEX('03_CLIENTES'!$A$2:$A$501,MATCH(D298,'03_CLIENTES'!$B$2:$B$501,0)),""))</f>
        <v/>
      </c>
      <c r="P298" t="str">
        <f>IF(F298="","",IFERROR(INDEX('04_PRODUCTOS'!$A$2:$A$501,MATCH(F298,'04_PRODUCTOS'!$B$2:$B$501,0)),""))</f>
        <v/>
      </c>
      <c r="Q298" t="str">
        <f t="shared" si="29"/>
        <v/>
      </c>
    </row>
    <row r="299" spans="1:17" x14ac:dyDescent="0.25">
      <c r="A299" t="str">
        <f t="shared" si="24"/>
        <v/>
      </c>
      <c r="B299" s="4" t="str">
        <f t="shared" ca="1" si="25"/>
        <v/>
      </c>
      <c r="C299" s="5" t="str">
        <f t="shared" ca="1" si="26"/>
        <v/>
      </c>
      <c r="G299" s="6"/>
      <c r="H299" s="3" t="str">
        <f>IFERROR(IF(E299="Mayorista",IF(INDEX('04_PRODUCTOS'!$F$2:$F$501,MATCH(F299,'04_PRODUCTOS'!$B$2:$B$501,0))="",INDEX('04_PRODUCTOS'!$E$2:$E$501,MATCH(F299,'04_PRODUCTOS'!$B$2:$B$501,0)),INDEX('04_PRODUCTOS'!$F$2:$F$501,MATCH(F299,'04_PRODUCTOS'!$B$2:$B$501,0))),IF(E299="Especial",IF(INDEX('04_PRODUCTOS'!$G$2:$G$501,MATCH(F299,'04_PRODUCTOS'!$B$2:$B$501,0))="",INDEX('04_PRODUCTOS'!$E$2:$E$501,MATCH(F299,'04_PRODUCTOS'!$B$2:$B$501,0)),INDEX('04_PRODUCTOS'!$G$2:$G$501,MATCH(F299,'04_PRODUCTOS'!$B$2:$B$501,0))),INDEX('04_PRODUCTOS'!$E$2:$E$501,MATCH(F299,'04_PRODUCTOS'!$B$2:$B$501,0)))),"")</f>
        <v/>
      </c>
      <c r="I299" s="3" t="str">
        <f t="shared" si="27"/>
        <v/>
      </c>
      <c r="J299" s="3" t="str">
        <f>IFERROR(IF(INDEX('04_PRODUCTOS'!$D$2:$D$501,MATCH(F299,'04_PRODUCTOS'!$B$2:$B$501,0))="","",I299-(G299*INDEX('04_PRODUCTOS'!$D$2:$D$501,MATCH(F299,'04_PRODUCTOS'!$B$2:$B$501,0)))),"")</f>
        <v/>
      </c>
      <c r="K299" s="7" t="str">
        <f t="shared" si="28"/>
        <v/>
      </c>
      <c r="O299" t="str">
        <f>IF(D299="","",IFERROR(INDEX('03_CLIENTES'!$A$2:$A$501,MATCH(D299,'03_CLIENTES'!$B$2:$B$501,0)),""))</f>
        <v/>
      </c>
      <c r="P299" t="str">
        <f>IF(F299="","",IFERROR(INDEX('04_PRODUCTOS'!$A$2:$A$501,MATCH(F299,'04_PRODUCTOS'!$B$2:$B$501,0)),""))</f>
        <v/>
      </c>
      <c r="Q299" t="str">
        <f t="shared" si="29"/>
        <v/>
      </c>
    </row>
    <row r="300" spans="1:17" x14ac:dyDescent="0.25">
      <c r="A300" t="str">
        <f t="shared" si="24"/>
        <v/>
      </c>
      <c r="B300" s="4" t="str">
        <f t="shared" ca="1" si="25"/>
        <v/>
      </c>
      <c r="C300" s="5" t="str">
        <f t="shared" ca="1" si="26"/>
        <v/>
      </c>
      <c r="G300" s="6"/>
      <c r="H300" s="3" t="str">
        <f>IFERROR(IF(E300="Mayorista",IF(INDEX('04_PRODUCTOS'!$F$2:$F$501,MATCH(F300,'04_PRODUCTOS'!$B$2:$B$501,0))="",INDEX('04_PRODUCTOS'!$E$2:$E$501,MATCH(F300,'04_PRODUCTOS'!$B$2:$B$501,0)),INDEX('04_PRODUCTOS'!$F$2:$F$501,MATCH(F300,'04_PRODUCTOS'!$B$2:$B$501,0))),IF(E300="Especial",IF(INDEX('04_PRODUCTOS'!$G$2:$G$501,MATCH(F300,'04_PRODUCTOS'!$B$2:$B$501,0))="",INDEX('04_PRODUCTOS'!$E$2:$E$501,MATCH(F300,'04_PRODUCTOS'!$B$2:$B$501,0)),INDEX('04_PRODUCTOS'!$G$2:$G$501,MATCH(F300,'04_PRODUCTOS'!$B$2:$B$501,0))),INDEX('04_PRODUCTOS'!$E$2:$E$501,MATCH(F300,'04_PRODUCTOS'!$B$2:$B$501,0)))),"")</f>
        <v/>
      </c>
      <c r="I300" s="3" t="str">
        <f t="shared" si="27"/>
        <v/>
      </c>
      <c r="J300" s="3" t="str">
        <f>IFERROR(IF(INDEX('04_PRODUCTOS'!$D$2:$D$501,MATCH(F300,'04_PRODUCTOS'!$B$2:$B$501,0))="","",I300-(G300*INDEX('04_PRODUCTOS'!$D$2:$D$501,MATCH(F300,'04_PRODUCTOS'!$B$2:$B$501,0)))),"")</f>
        <v/>
      </c>
      <c r="K300" s="7" t="str">
        <f t="shared" si="28"/>
        <v/>
      </c>
      <c r="O300" t="str">
        <f>IF(D300="","",IFERROR(INDEX('03_CLIENTES'!$A$2:$A$501,MATCH(D300,'03_CLIENTES'!$B$2:$B$501,0)),""))</f>
        <v/>
      </c>
      <c r="P300" t="str">
        <f>IF(F300="","",IFERROR(INDEX('04_PRODUCTOS'!$A$2:$A$501,MATCH(F300,'04_PRODUCTOS'!$B$2:$B$501,0)),""))</f>
        <v/>
      </c>
      <c r="Q300" t="str">
        <f t="shared" si="29"/>
        <v/>
      </c>
    </row>
    <row r="301" spans="1:17" x14ac:dyDescent="0.25">
      <c r="A301" t="str">
        <f t="shared" si="24"/>
        <v/>
      </c>
      <c r="B301" s="4" t="str">
        <f t="shared" ca="1" si="25"/>
        <v/>
      </c>
      <c r="C301" s="5" t="str">
        <f t="shared" ca="1" si="26"/>
        <v/>
      </c>
      <c r="G301" s="6"/>
      <c r="H301" s="3" t="str">
        <f>IFERROR(IF(E301="Mayorista",IF(INDEX('04_PRODUCTOS'!$F$2:$F$501,MATCH(F301,'04_PRODUCTOS'!$B$2:$B$501,0))="",INDEX('04_PRODUCTOS'!$E$2:$E$501,MATCH(F301,'04_PRODUCTOS'!$B$2:$B$501,0)),INDEX('04_PRODUCTOS'!$F$2:$F$501,MATCH(F301,'04_PRODUCTOS'!$B$2:$B$501,0))),IF(E301="Especial",IF(INDEX('04_PRODUCTOS'!$G$2:$G$501,MATCH(F301,'04_PRODUCTOS'!$B$2:$B$501,0))="",INDEX('04_PRODUCTOS'!$E$2:$E$501,MATCH(F301,'04_PRODUCTOS'!$B$2:$B$501,0)),INDEX('04_PRODUCTOS'!$G$2:$G$501,MATCH(F301,'04_PRODUCTOS'!$B$2:$B$501,0))),INDEX('04_PRODUCTOS'!$E$2:$E$501,MATCH(F301,'04_PRODUCTOS'!$B$2:$B$501,0)))),"")</f>
        <v/>
      </c>
      <c r="I301" s="3" t="str">
        <f t="shared" si="27"/>
        <v/>
      </c>
      <c r="J301" s="3" t="str">
        <f>IFERROR(IF(INDEX('04_PRODUCTOS'!$D$2:$D$501,MATCH(F301,'04_PRODUCTOS'!$B$2:$B$501,0))="","",I301-(G301*INDEX('04_PRODUCTOS'!$D$2:$D$501,MATCH(F301,'04_PRODUCTOS'!$B$2:$B$501,0)))),"")</f>
        <v/>
      </c>
      <c r="K301" s="7" t="str">
        <f t="shared" si="28"/>
        <v/>
      </c>
      <c r="O301" t="str">
        <f>IF(D301="","",IFERROR(INDEX('03_CLIENTES'!$A$2:$A$501,MATCH(D301,'03_CLIENTES'!$B$2:$B$501,0)),""))</f>
        <v/>
      </c>
      <c r="P301" t="str">
        <f>IF(F301="","",IFERROR(INDEX('04_PRODUCTOS'!$A$2:$A$501,MATCH(F301,'04_PRODUCTOS'!$B$2:$B$501,0)),""))</f>
        <v/>
      </c>
      <c r="Q301" t="str">
        <f t="shared" si="29"/>
        <v/>
      </c>
    </row>
    <row r="302" spans="1:17" x14ac:dyDescent="0.25">
      <c r="A302" t="str">
        <f t="shared" si="24"/>
        <v/>
      </c>
      <c r="B302" s="4" t="str">
        <f t="shared" ca="1" si="25"/>
        <v/>
      </c>
      <c r="C302" s="5" t="str">
        <f t="shared" ca="1" si="26"/>
        <v/>
      </c>
      <c r="G302" s="6"/>
      <c r="H302" s="3" t="str">
        <f>IFERROR(IF(E302="Mayorista",IF(INDEX('04_PRODUCTOS'!$F$2:$F$501,MATCH(F302,'04_PRODUCTOS'!$B$2:$B$501,0))="",INDEX('04_PRODUCTOS'!$E$2:$E$501,MATCH(F302,'04_PRODUCTOS'!$B$2:$B$501,0)),INDEX('04_PRODUCTOS'!$F$2:$F$501,MATCH(F302,'04_PRODUCTOS'!$B$2:$B$501,0))),IF(E302="Especial",IF(INDEX('04_PRODUCTOS'!$G$2:$G$501,MATCH(F302,'04_PRODUCTOS'!$B$2:$B$501,0))="",INDEX('04_PRODUCTOS'!$E$2:$E$501,MATCH(F302,'04_PRODUCTOS'!$B$2:$B$501,0)),INDEX('04_PRODUCTOS'!$G$2:$G$501,MATCH(F302,'04_PRODUCTOS'!$B$2:$B$501,0))),INDEX('04_PRODUCTOS'!$E$2:$E$501,MATCH(F302,'04_PRODUCTOS'!$B$2:$B$501,0)))),"")</f>
        <v/>
      </c>
      <c r="I302" s="3" t="str">
        <f t="shared" si="27"/>
        <v/>
      </c>
      <c r="J302" s="3" t="str">
        <f>IFERROR(IF(INDEX('04_PRODUCTOS'!$D$2:$D$501,MATCH(F302,'04_PRODUCTOS'!$B$2:$B$501,0))="","",I302-(G302*INDEX('04_PRODUCTOS'!$D$2:$D$501,MATCH(F302,'04_PRODUCTOS'!$B$2:$B$501,0)))),"")</f>
        <v/>
      </c>
      <c r="K302" s="7" t="str">
        <f t="shared" si="28"/>
        <v/>
      </c>
      <c r="O302" t="str">
        <f>IF(D302="","",IFERROR(INDEX('03_CLIENTES'!$A$2:$A$501,MATCH(D302,'03_CLIENTES'!$B$2:$B$501,0)),""))</f>
        <v/>
      </c>
      <c r="P302" t="str">
        <f>IF(F302="","",IFERROR(INDEX('04_PRODUCTOS'!$A$2:$A$501,MATCH(F302,'04_PRODUCTOS'!$B$2:$B$501,0)),""))</f>
        <v/>
      </c>
      <c r="Q302" t="str">
        <f t="shared" si="29"/>
        <v/>
      </c>
    </row>
    <row r="303" spans="1:17" x14ac:dyDescent="0.25">
      <c r="A303" t="str">
        <f t="shared" si="24"/>
        <v/>
      </c>
      <c r="B303" s="4" t="str">
        <f t="shared" ca="1" si="25"/>
        <v/>
      </c>
      <c r="C303" s="5" t="str">
        <f t="shared" ca="1" si="26"/>
        <v/>
      </c>
      <c r="G303" s="6"/>
      <c r="H303" s="3" t="str">
        <f>IFERROR(IF(E303="Mayorista",IF(INDEX('04_PRODUCTOS'!$F$2:$F$501,MATCH(F303,'04_PRODUCTOS'!$B$2:$B$501,0))="",INDEX('04_PRODUCTOS'!$E$2:$E$501,MATCH(F303,'04_PRODUCTOS'!$B$2:$B$501,0)),INDEX('04_PRODUCTOS'!$F$2:$F$501,MATCH(F303,'04_PRODUCTOS'!$B$2:$B$501,0))),IF(E303="Especial",IF(INDEX('04_PRODUCTOS'!$G$2:$G$501,MATCH(F303,'04_PRODUCTOS'!$B$2:$B$501,0))="",INDEX('04_PRODUCTOS'!$E$2:$E$501,MATCH(F303,'04_PRODUCTOS'!$B$2:$B$501,0)),INDEX('04_PRODUCTOS'!$G$2:$G$501,MATCH(F303,'04_PRODUCTOS'!$B$2:$B$501,0))),INDEX('04_PRODUCTOS'!$E$2:$E$501,MATCH(F303,'04_PRODUCTOS'!$B$2:$B$501,0)))),"")</f>
        <v/>
      </c>
      <c r="I303" s="3" t="str">
        <f t="shared" si="27"/>
        <v/>
      </c>
      <c r="J303" s="3" t="str">
        <f>IFERROR(IF(INDEX('04_PRODUCTOS'!$D$2:$D$501,MATCH(F303,'04_PRODUCTOS'!$B$2:$B$501,0))="","",I303-(G303*INDEX('04_PRODUCTOS'!$D$2:$D$501,MATCH(F303,'04_PRODUCTOS'!$B$2:$B$501,0)))),"")</f>
        <v/>
      </c>
      <c r="K303" s="7" t="str">
        <f t="shared" si="28"/>
        <v/>
      </c>
      <c r="O303" t="str">
        <f>IF(D303="","",IFERROR(INDEX('03_CLIENTES'!$A$2:$A$501,MATCH(D303,'03_CLIENTES'!$B$2:$B$501,0)),""))</f>
        <v/>
      </c>
      <c r="P303" t="str">
        <f>IF(F303="","",IFERROR(INDEX('04_PRODUCTOS'!$A$2:$A$501,MATCH(F303,'04_PRODUCTOS'!$B$2:$B$501,0)),""))</f>
        <v/>
      </c>
      <c r="Q303" t="str">
        <f t="shared" si="29"/>
        <v/>
      </c>
    </row>
    <row r="304" spans="1:17" x14ac:dyDescent="0.25">
      <c r="A304" t="str">
        <f t="shared" si="24"/>
        <v/>
      </c>
      <c r="B304" s="4" t="str">
        <f t="shared" ca="1" si="25"/>
        <v/>
      </c>
      <c r="C304" s="5" t="str">
        <f t="shared" ca="1" si="26"/>
        <v/>
      </c>
      <c r="G304" s="6"/>
      <c r="H304" s="3" t="str">
        <f>IFERROR(IF(E304="Mayorista",IF(INDEX('04_PRODUCTOS'!$F$2:$F$501,MATCH(F304,'04_PRODUCTOS'!$B$2:$B$501,0))="",INDEX('04_PRODUCTOS'!$E$2:$E$501,MATCH(F304,'04_PRODUCTOS'!$B$2:$B$501,0)),INDEX('04_PRODUCTOS'!$F$2:$F$501,MATCH(F304,'04_PRODUCTOS'!$B$2:$B$501,0))),IF(E304="Especial",IF(INDEX('04_PRODUCTOS'!$G$2:$G$501,MATCH(F304,'04_PRODUCTOS'!$B$2:$B$501,0))="",INDEX('04_PRODUCTOS'!$E$2:$E$501,MATCH(F304,'04_PRODUCTOS'!$B$2:$B$501,0)),INDEX('04_PRODUCTOS'!$G$2:$G$501,MATCH(F304,'04_PRODUCTOS'!$B$2:$B$501,0))),INDEX('04_PRODUCTOS'!$E$2:$E$501,MATCH(F304,'04_PRODUCTOS'!$B$2:$B$501,0)))),"")</f>
        <v/>
      </c>
      <c r="I304" s="3" t="str">
        <f t="shared" si="27"/>
        <v/>
      </c>
      <c r="J304" s="3" t="str">
        <f>IFERROR(IF(INDEX('04_PRODUCTOS'!$D$2:$D$501,MATCH(F304,'04_PRODUCTOS'!$B$2:$B$501,0))="","",I304-(G304*INDEX('04_PRODUCTOS'!$D$2:$D$501,MATCH(F304,'04_PRODUCTOS'!$B$2:$B$501,0)))),"")</f>
        <v/>
      </c>
      <c r="K304" s="7" t="str">
        <f t="shared" si="28"/>
        <v/>
      </c>
      <c r="O304" t="str">
        <f>IF(D304="","",IFERROR(INDEX('03_CLIENTES'!$A$2:$A$501,MATCH(D304,'03_CLIENTES'!$B$2:$B$501,0)),""))</f>
        <v/>
      </c>
      <c r="P304" t="str">
        <f>IF(F304="","",IFERROR(INDEX('04_PRODUCTOS'!$A$2:$A$501,MATCH(F304,'04_PRODUCTOS'!$B$2:$B$501,0)),""))</f>
        <v/>
      </c>
      <c r="Q304" t="str">
        <f t="shared" si="29"/>
        <v/>
      </c>
    </row>
    <row r="305" spans="1:17" x14ac:dyDescent="0.25">
      <c r="A305" t="str">
        <f t="shared" si="24"/>
        <v/>
      </c>
      <c r="B305" s="4" t="str">
        <f t="shared" ca="1" si="25"/>
        <v/>
      </c>
      <c r="C305" s="5" t="str">
        <f t="shared" ca="1" si="26"/>
        <v/>
      </c>
      <c r="G305" s="6"/>
      <c r="H305" s="3" t="str">
        <f>IFERROR(IF(E305="Mayorista",IF(INDEX('04_PRODUCTOS'!$F$2:$F$501,MATCH(F305,'04_PRODUCTOS'!$B$2:$B$501,0))="",INDEX('04_PRODUCTOS'!$E$2:$E$501,MATCH(F305,'04_PRODUCTOS'!$B$2:$B$501,0)),INDEX('04_PRODUCTOS'!$F$2:$F$501,MATCH(F305,'04_PRODUCTOS'!$B$2:$B$501,0))),IF(E305="Especial",IF(INDEX('04_PRODUCTOS'!$G$2:$G$501,MATCH(F305,'04_PRODUCTOS'!$B$2:$B$501,0))="",INDEX('04_PRODUCTOS'!$E$2:$E$501,MATCH(F305,'04_PRODUCTOS'!$B$2:$B$501,0)),INDEX('04_PRODUCTOS'!$G$2:$G$501,MATCH(F305,'04_PRODUCTOS'!$B$2:$B$501,0))),INDEX('04_PRODUCTOS'!$E$2:$E$501,MATCH(F305,'04_PRODUCTOS'!$B$2:$B$501,0)))),"")</f>
        <v/>
      </c>
      <c r="I305" s="3" t="str">
        <f t="shared" si="27"/>
        <v/>
      </c>
      <c r="J305" s="3" t="str">
        <f>IFERROR(IF(INDEX('04_PRODUCTOS'!$D$2:$D$501,MATCH(F305,'04_PRODUCTOS'!$B$2:$B$501,0))="","",I305-(G305*INDEX('04_PRODUCTOS'!$D$2:$D$501,MATCH(F305,'04_PRODUCTOS'!$B$2:$B$501,0)))),"")</f>
        <v/>
      </c>
      <c r="K305" s="7" t="str">
        <f t="shared" si="28"/>
        <v/>
      </c>
      <c r="O305" t="str">
        <f>IF(D305="","",IFERROR(INDEX('03_CLIENTES'!$A$2:$A$501,MATCH(D305,'03_CLIENTES'!$B$2:$B$501,0)),""))</f>
        <v/>
      </c>
      <c r="P305" t="str">
        <f>IF(F305="","",IFERROR(INDEX('04_PRODUCTOS'!$A$2:$A$501,MATCH(F305,'04_PRODUCTOS'!$B$2:$B$501,0)),""))</f>
        <v/>
      </c>
      <c r="Q305" t="str">
        <f t="shared" si="29"/>
        <v/>
      </c>
    </row>
    <row r="306" spans="1:17" x14ac:dyDescent="0.25">
      <c r="A306" t="str">
        <f t="shared" si="24"/>
        <v/>
      </c>
      <c r="B306" s="4" t="str">
        <f t="shared" ca="1" si="25"/>
        <v/>
      </c>
      <c r="C306" s="5" t="str">
        <f t="shared" ca="1" si="26"/>
        <v/>
      </c>
      <c r="G306" s="6"/>
      <c r="H306" s="3" t="str">
        <f>IFERROR(IF(E306="Mayorista",IF(INDEX('04_PRODUCTOS'!$F$2:$F$501,MATCH(F306,'04_PRODUCTOS'!$B$2:$B$501,0))="",INDEX('04_PRODUCTOS'!$E$2:$E$501,MATCH(F306,'04_PRODUCTOS'!$B$2:$B$501,0)),INDEX('04_PRODUCTOS'!$F$2:$F$501,MATCH(F306,'04_PRODUCTOS'!$B$2:$B$501,0))),IF(E306="Especial",IF(INDEX('04_PRODUCTOS'!$G$2:$G$501,MATCH(F306,'04_PRODUCTOS'!$B$2:$B$501,0))="",INDEX('04_PRODUCTOS'!$E$2:$E$501,MATCH(F306,'04_PRODUCTOS'!$B$2:$B$501,0)),INDEX('04_PRODUCTOS'!$G$2:$G$501,MATCH(F306,'04_PRODUCTOS'!$B$2:$B$501,0))),INDEX('04_PRODUCTOS'!$E$2:$E$501,MATCH(F306,'04_PRODUCTOS'!$B$2:$B$501,0)))),"")</f>
        <v/>
      </c>
      <c r="I306" s="3" t="str">
        <f t="shared" si="27"/>
        <v/>
      </c>
      <c r="J306" s="3" t="str">
        <f>IFERROR(IF(INDEX('04_PRODUCTOS'!$D$2:$D$501,MATCH(F306,'04_PRODUCTOS'!$B$2:$B$501,0))="","",I306-(G306*INDEX('04_PRODUCTOS'!$D$2:$D$501,MATCH(F306,'04_PRODUCTOS'!$B$2:$B$501,0)))),"")</f>
        <v/>
      </c>
      <c r="K306" s="7" t="str">
        <f t="shared" si="28"/>
        <v/>
      </c>
      <c r="O306" t="str">
        <f>IF(D306="","",IFERROR(INDEX('03_CLIENTES'!$A$2:$A$501,MATCH(D306,'03_CLIENTES'!$B$2:$B$501,0)),""))</f>
        <v/>
      </c>
      <c r="P306" t="str">
        <f>IF(F306="","",IFERROR(INDEX('04_PRODUCTOS'!$A$2:$A$501,MATCH(F306,'04_PRODUCTOS'!$B$2:$B$501,0)),""))</f>
        <v/>
      </c>
      <c r="Q306" t="str">
        <f t="shared" si="29"/>
        <v/>
      </c>
    </row>
    <row r="307" spans="1:17" x14ac:dyDescent="0.25">
      <c r="A307" t="str">
        <f t="shared" si="24"/>
        <v/>
      </c>
      <c r="B307" s="4" t="str">
        <f t="shared" ca="1" si="25"/>
        <v/>
      </c>
      <c r="C307" s="5" t="str">
        <f t="shared" ca="1" si="26"/>
        <v/>
      </c>
      <c r="G307" s="6"/>
      <c r="H307" s="3" t="str">
        <f>IFERROR(IF(E307="Mayorista",IF(INDEX('04_PRODUCTOS'!$F$2:$F$501,MATCH(F307,'04_PRODUCTOS'!$B$2:$B$501,0))="",INDEX('04_PRODUCTOS'!$E$2:$E$501,MATCH(F307,'04_PRODUCTOS'!$B$2:$B$501,0)),INDEX('04_PRODUCTOS'!$F$2:$F$501,MATCH(F307,'04_PRODUCTOS'!$B$2:$B$501,0))),IF(E307="Especial",IF(INDEX('04_PRODUCTOS'!$G$2:$G$501,MATCH(F307,'04_PRODUCTOS'!$B$2:$B$501,0))="",INDEX('04_PRODUCTOS'!$E$2:$E$501,MATCH(F307,'04_PRODUCTOS'!$B$2:$B$501,0)),INDEX('04_PRODUCTOS'!$G$2:$G$501,MATCH(F307,'04_PRODUCTOS'!$B$2:$B$501,0))),INDEX('04_PRODUCTOS'!$E$2:$E$501,MATCH(F307,'04_PRODUCTOS'!$B$2:$B$501,0)))),"")</f>
        <v/>
      </c>
      <c r="I307" s="3" t="str">
        <f t="shared" si="27"/>
        <v/>
      </c>
      <c r="J307" s="3" t="str">
        <f>IFERROR(IF(INDEX('04_PRODUCTOS'!$D$2:$D$501,MATCH(F307,'04_PRODUCTOS'!$B$2:$B$501,0))="","",I307-(G307*INDEX('04_PRODUCTOS'!$D$2:$D$501,MATCH(F307,'04_PRODUCTOS'!$B$2:$B$501,0)))),"")</f>
        <v/>
      </c>
      <c r="K307" s="7" t="str">
        <f t="shared" si="28"/>
        <v/>
      </c>
      <c r="O307" t="str">
        <f>IF(D307="","",IFERROR(INDEX('03_CLIENTES'!$A$2:$A$501,MATCH(D307,'03_CLIENTES'!$B$2:$B$501,0)),""))</f>
        <v/>
      </c>
      <c r="P307" t="str">
        <f>IF(F307="","",IFERROR(INDEX('04_PRODUCTOS'!$A$2:$A$501,MATCH(F307,'04_PRODUCTOS'!$B$2:$B$501,0)),""))</f>
        <v/>
      </c>
      <c r="Q307" t="str">
        <f t="shared" si="29"/>
        <v/>
      </c>
    </row>
    <row r="308" spans="1:17" x14ac:dyDescent="0.25">
      <c r="A308" t="str">
        <f t="shared" si="24"/>
        <v/>
      </c>
      <c r="B308" s="4" t="str">
        <f t="shared" ca="1" si="25"/>
        <v/>
      </c>
      <c r="C308" s="5" t="str">
        <f t="shared" ca="1" si="26"/>
        <v/>
      </c>
      <c r="G308" s="6"/>
      <c r="H308" s="3" t="str">
        <f>IFERROR(IF(E308="Mayorista",IF(INDEX('04_PRODUCTOS'!$F$2:$F$501,MATCH(F308,'04_PRODUCTOS'!$B$2:$B$501,0))="",INDEX('04_PRODUCTOS'!$E$2:$E$501,MATCH(F308,'04_PRODUCTOS'!$B$2:$B$501,0)),INDEX('04_PRODUCTOS'!$F$2:$F$501,MATCH(F308,'04_PRODUCTOS'!$B$2:$B$501,0))),IF(E308="Especial",IF(INDEX('04_PRODUCTOS'!$G$2:$G$501,MATCH(F308,'04_PRODUCTOS'!$B$2:$B$501,0))="",INDEX('04_PRODUCTOS'!$E$2:$E$501,MATCH(F308,'04_PRODUCTOS'!$B$2:$B$501,0)),INDEX('04_PRODUCTOS'!$G$2:$G$501,MATCH(F308,'04_PRODUCTOS'!$B$2:$B$501,0))),INDEX('04_PRODUCTOS'!$E$2:$E$501,MATCH(F308,'04_PRODUCTOS'!$B$2:$B$501,0)))),"")</f>
        <v/>
      </c>
      <c r="I308" s="3" t="str">
        <f t="shared" si="27"/>
        <v/>
      </c>
      <c r="J308" s="3" t="str">
        <f>IFERROR(IF(INDEX('04_PRODUCTOS'!$D$2:$D$501,MATCH(F308,'04_PRODUCTOS'!$B$2:$B$501,0))="","",I308-(G308*INDEX('04_PRODUCTOS'!$D$2:$D$501,MATCH(F308,'04_PRODUCTOS'!$B$2:$B$501,0)))),"")</f>
        <v/>
      </c>
      <c r="K308" s="7" t="str">
        <f t="shared" si="28"/>
        <v/>
      </c>
      <c r="O308" t="str">
        <f>IF(D308="","",IFERROR(INDEX('03_CLIENTES'!$A$2:$A$501,MATCH(D308,'03_CLIENTES'!$B$2:$B$501,0)),""))</f>
        <v/>
      </c>
      <c r="P308" t="str">
        <f>IF(F308="","",IFERROR(INDEX('04_PRODUCTOS'!$A$2:$A$501,MATCH(F308,'04_PRODUCTOS'!$B$2:$B$501,0)),""))</f>
        <v/>
      </c>
      <c r="Q308" t="str">
        <f t="shared" si="29"/>
        <v/>
      </c>
    </row>
    <row r="309" spans="1:17" x14ac:dyDescent="0.25">
      <c r="A309" t="str">
        <f t="shared" si="24"/>
        <v/>
      </c>
      <c r="B309" s="4" t="str">
        <f t="shared" ca="1" si="25"/>
        <v/>
      </c>
      <c r="C309" s="5" t="str">
        <f t="shared" ca="1" si="26"/>
        <v/>
      </c>
      <c r="G309" s="6"/>
      <c r="H309" s="3" t="str">
        <f>IFERROR(IF(E309="Mayorista",IF(INDEX('04_PRODUCTOS'!$F$2:$F$501,MATCH(F309,'04_PRODUCTOS'!$B$2:$B$501,0))="",INDEX('04_PRODUCTOS'!$E$2:$E$501,MATCH(F309,'04_PRODUCTOS'!$B$2:$B$501,0)),INDEX('04_PRODUCTOS'!$F$2:$F$501,MATCH(F309,'04_PRODUCTOS'!$B$2:$B$501,0))),IF(E309="Especial",IF(INDEX('04_PRODUCTOS'!$G$2:$G$501,MATCH(F309,'04_PRODUCTOS'!$B$2:$B$501,0))="",INDEX('04_PRODUCTOS'!$E$2:$E$501,MATCH(F309,'04_PRODUCTOS'!$B$2:$B$501,0)),INDEX('04_PRODUCTOS'!$G$2:$G$501,MATCH(F309,'04_PRODUCTOS'!$B$2:$B$501,0))),INDEX('04_PRODUCTOS'!$E$2:$E$501,MATCH(F309,'04_PRODUCTOS'!$B$2:$B$501,0)))),"")</f>
        <v/>
      </c>
      <c r="I309" s="3" t="str">
        <f t="shared" si="27"/>
        <v/>
      </c>
      <c r="J309" s="3" t="str">
        <f>IFERROR(IF(INDEX('04_PRODUCTOS'!$D$2:$D$501,MATCH(F309,'04_PRODUCTOS'!$B$2:$B$501,0))="","",I309-(G309*INDEX('04_PRODUCTOS'!$D$2:$D$501,MATCH(F309,'04_PRODUCTOS'!$B$2:$B$501,0)))),"")</f>
        <v/>
      </c>
      <c r="K309" s="7" t="str">
        <f t="shared" si="28"/>
        <v/>
      </c>
      <c r="O309" t="str">
        <f>IF(D309="","",IFERROR(INDEX('03_CLIENTES'!$A$2:$A$501,MATCH(D309,'03_CLIENTES'!$B$2:$B$501,0)),""))</f>
        <v/>
      </c>
      <c r="P309" t="str">
        <f>IF(F309="","",IFERROR(INDEX('04_PRODUCTOS'!$A$2:$A$501,MATCH(F309,'04_PRODUCTOS'!$B$2:$B$501,0)),""))</f>
        <v/>
      </c>
      <c r="Q309" t="str">
        <f t="shared" si="29"/>
        <v/>
      </c>
    </row>
    <row r="310" spans="1:17" x14ac:dyDescent="0.25">
      <c r="A310" t="str">
        <f t="shared" si="24"/>
        <v/>
      </c>
      <c r="B310" s="4" t="str">
        <f t="shared" ca="1" si="25"/>
        <v/>
      </c>
      <c r="C310" s="5" t="str">
        <f t="shared" ca="1" si="26"/>
        <v/>
      </c>
      <c r="G310" s="6"/>
      <c r="H310" s="3" t="str">
        <f>IFERROR(IF(E310="Mayorista",IF(INDEX('04_PRODUCTOS'!$F$2:$F$501,MATCH(F310,'04_PRODUCTOS'!$B$2:$B$501,0))="",INDEX('04_PRODUCTOS'!$E$2:$E$501,MATCH(F310,'04_PRODUCTOS'!$B$2:$B$501,0)),INDEX('04_PRODUCTOS'!$F$2:$F$501,MATCH(F310,'04_PRODUCTOS'!$B$2:$B$501,0))),IF(E310="Especial",IF(INDEX('04_PRODUCTOS'!$G$2:$G$501,MATCH(F310,'04_PRODUCTOS'!$B$2:$B$501,0))="",INDEX('04_PRODUCTOS'!$E$2:$E$501,MATCH(F310,'04_PRODUCTOS'!$B$2:$B$501,0)),INDEX('04_PRODUCTOS'!$G$2:$G$501,MATCH(F310,'04_PRODUCTOS'!$B$2:$B$501,0))),INDEX('04_PRODUCTOS'!$E$2:$E$501,MATCH(F310,'04_PRODUCTOS'!$B$2:$B$501,0)))),"")</f>
        <v/>
      </c>
      <c r="I310" s="3" t="str">
        <f t="shared" si="27"/>
        <v/>
      </c>
      <c r="J310" s="3" t="str">
        <f>IFERROR(IF(INDEX('04_PRODUCTOS'!$D$2:$D$501,MATCH(F310,'04_PRODUCTOS'!$B$2:$B$501,0))="","",I310-(G310*INDEX('04_PRODUCTOS'!$D$2:$D$501,MATCH(F310,'04_PRODUCTOS'!$B$2:$B$501,0)))),"")</f>
        <v/>
      </c>
      <c r="K310" s="7" t="str">
        <f t="shared" si="28"/>
        <v/>
      </c>
      <c r="O310" t="str">
        <f>IF(D310="","",IFERROR(INDEX('03_CLIENTES'!$A$2:$A$501,MATCH(D310,'03_CLIENTES'!$B$2:$B$501,0)),""))</f>
        <v/>
      </c>
      <c r="P310" t="str">
        <f>IF(F310="","",IFERROR(INDEX('04_PRODUCTOS'!$A$2:$A$501,MATCH(F310,'04_PRODUCTOS'!$B$2:$B$501,0)),""))</f>
        <v/>
      </c>
      <c r="Q310" t="str">
        <f t="shared" si="29"/>
        <v/>
      </c>
    </row>
    <row r="311" spans="1:17" x14ac:dyDescent="0.25">
      <c r="A311" t="str">
        <f t="shared" si="24"/>
        <v/>
      </c>
      <c r="B311" s="4" t="str">
        <f t="shared" ca="1" si="25"/>
        <v/>
      </c>
      <c r="C311" s="5" t="str">
        <f t="shared" ca="1" si="26"/>
        <v/>
      </c>
      <c r="G311" s="6"/>
      <c r="H311" s="3" t="str">
        <f>IFERROR(IF(E311="Mayorista",IF(INDEX('04_PRODUCTOS'!$F$2:$F$501,MATCH(F311,'04_PRODUCTOS'!$B$2:$B$501,0))="",INDEX('04_PRODUCTOS'!$E$2:$E$501,MATCH(F311,'04_PRODUCTOS'!$B$2:$B$501,0)),INDEX('04_PRODUCTOS'!$F$2:$F$501,MATCH(F311,'04_PRODUCTOS'!$B$2:$B$501,0))),IF(E311="Especial",IF(INDEX('04_PRODUCTOS'!$G$2:$G$501,MATCH(F311,'04_PRODUCTOS'!$B$2:$B$501,0))="",INDEX('04_PRODUCTOS'!$E$2:$E$501,MATCH(F311,'04_PRODUCTOS'!$B$2:$B$501,0)),INDEX('04_PRODUCTOS'!$G$2:$G$501,MATCH(F311,'04_PRODUCTOS'!$B$2:$B$501,0))),INDEX('04_PRODUCTOS'!$E$2:$E$501,MATCH(F311,'04_PRODUCTOS'!$B$2:$B$501,0)))),"")</f>
        <v/>
      </c>
      <c r="I311" s="3" t="str">
        <f t="shared" si="27"/>
        <v/>
      </c>
      <c r="J311" s="3" t="str">
        <f>IFERROR(IF(INDEX('04_PRODUCTOS'!$D$2:$D$501,MATCH(F311,'04_PRODUCTOS'!$B$2:$B$501,0))="","",I311-(G311*INDEX('04_PRODUCTOS'!$D$2:$D$501,MATCH(F311,'04_PRODUCTOS'!$B$2:$B$501,0)))),"")</f>
        <v/>
      </c>
      <c r="K311" s="7" t="str">
        <f t="shared" si="28"/>
        <v/>
      </c>
      <c r="O311" t="str">
        <f>IF(D311="","",IFERROR(INDEX('03_CLIENTES'!$A$2:$A$501,MATCH(D311,'03_CLIENTES'!$B$2:$B$501,0)),""))</f>
        <v/>
      </c>
      <c r="P311" t="str">
        <f>IF(F311="","",IFERROR(INDEX('04_PRODUCTOS'!$A$2:$A$501,MATCH(F311,'04_PRODUCTOS'!$B$2:$B$501,0)),""))</f>
        <v/>
      </c>
      <c r="Q311" t="str">
        <f t="shared" si="29"/>
        <v/>
      </c>
    </row>
    <row r="312" spans="1:17" x14ac:dyDescent="0.25">
      <c r="A312" t="str">
        <f t="shared" si="24"/>
        <v/>
      </c>
      <c r="B312" s="4" t="str">
        <f t="shared" ca="1" si="25"/>
        <v/>
      </c>
      <c r="C312" s="5" t="str">
        <f t="shared" ca="1" si="26"/>
        <v/>
      </c>
      <c r="G312" s="6"/>
      <c r="H312" s="3" t="str">
        <f>IFERROR(IF(E312="Mayorista",IF(INDEX('04_PRODUCTOS'!$F$2:$F$501,MATCH(F312,'04_PRODUCTOS'!$B$2:$B$501,0))="",INDEX('04_PRODUCTOS'!$E$2:$E$501,MATCH(F312,'04_PRODUCTOS'!$B$2:$B$501,0)),INDEX('04_PRODUCTOS'!$F$2:$F$501,MATCH(F312,'04_PRODUCTOS'!$B$2:$B$501,0))),IF(E312="Especial",IF(INDEX('04_PRODUCTOS'!$G$2:$G$501,MATCH(F312,'04_PRODUCTOS'!$B$2:$B$501,0))="",INDEX('04_PRODUCTOS'!$E$2:$E$501,MATCH(F312,'04_PRODUCTOS'!$B$2:$B$501,0)),INDEX('04_PRODUCTOS'!$G$2:$G$501,MATCH(F312,'04_PRODUCTOS'!$B$2:$B$501,0))),INDEX('04_PRODUCTOS'!$E$2:$E$501,MATCH(F312,'04_PRODUCTOS'!$B$2:$B$501,0)))),"")</f>
        <v/>
      </c>
      <c r="I312" s="3" t="str">
        <f t="shared" si="27"/>
        <v/>
      </c>
      <c r="J312" s="3" t="str">
        <f>IFERROR(IF(INDEX('04_PRODUCTOS'!$D$2:$D$501,MATCH(F312,'04_PRODUCTOS'!$B$2:$B$501,0))="","",I312-(G312*INDEX('04_PRODUCTOS'!$D$2:$D$501,MATCH(F312,'04_PRODUCTOS'!$B$2:$B$501,0)))),"")</f>
        <v/>
      </c>
      <c r="K312" s="7" t="str">
        <f t="shared" si="28"/>
        <v/>
      </c>
      <c r="O312" t="str">
        <f>IF(D312="","",IFERROR(INDEX('03_CLIENTES'!$A$2:$A$501,MATCH(D312,'03_CLIENTES'!$B$2:$B$501,0)),""))</f>
        <v/>
      </c>
      <c r="P312" t="str">
        <f>IF(F312="","",IFERROR(INDEX('04_PRODUCTOS'!$A$2:$A$501,MATCH(F312,'04_PRODUCTOS'!$B$2:$B$501,0)),""))</f>
        <v/>
      </c>
      <c r="Q312" t="str">
        <f t="shared" si="29"/>
        <v/>
      </c>
    </row>
    <row r="313" spans="1:17" x14ac:dyDescent="0.25">
      <c r="A313" t="str">
        <f t="shared" si="24"/>
        <v/>
      </c>
      <c r="B313" s="4" t="str">
        <f t="shared" ca="1" si="25"/>
        <v/>
      </c>
      <c r="C313" s="5" t="str">
        <f t="shared" ca="1" si="26"/>
        <v/>
      </c>
      <c r="G313" s="6"/>
      <c r="H313" s="3" t="str">
        <f>IFERROR(IF(E313="Mayorista",IF(INDEX('04_PRODUCTOS'!$F$2:$F$501,MATCH(F313,'04_PRODUCTOS'!$B$2:$B$501,0))="",INDEX('04_PRODUCTOS'!$E$2:$E$501,MATCH(F313,'04_PRODUCTOS'!$B$2:$B$501,0)),INDEX('04_PRODUCTOS'!$F$2:$F$501,MATCH(F313,'04_PRODUCTOS'!$B$2:$B$501,0))),IF(E313="Especial",IF(INDEX('04_PRODUCTOS'!$G$2:$G$501,MATCH(F313,'04_PRODUCTOS'!$B$2:$B$501,0))="",INDEX('04_PRODUCTOS'!$E$2:$E$501,MATCH(F313,'04_PRODUCTOS'!$B$2:$B$501,0)),INDEX('04_PRODUCTOS'!$G$2:$G$501,MATCH(F313,'04_PRODUCTOS'!$B$2:$B$501,0))),INDEX('04_PRODUCTOS'!$E$2:$E$501,MATCH(F313,'04_PRODUCTOS'!$B$2:$B$501,0)))),"")</f>
        <v/>
      </c>
      <c r="I313" s="3" t="str">
        <f t="shared" si="27"/>
        <v/>
      </c>
      <c r="J313" s="3" t="str">
        <f>IFERROR(IF(INDEX('04_PRODUCTOS'!$D$2:$D$501,MATCH(F313,'04_PRODUCTOS'!$B$2:$B$501,0))="","",I313-(G313*INDEX('04_PRODUCTOS'!$D$2:$D$501,MATCH(F313,'04_PRODUCTOS'!$B$2:$B$501,0)))),"")</f>
        <v/>
      </c>
      <c r="K313" s="7" t="str">
        <f t="shared" si="28"/>
        <v/>
      </c>
      <c r="O313" t="str">
        <f>IF(D313="","",IFERROR(INDEX('03_CLIENTES'!$A$2:$A$501,MATCH(D313,'03_CLIENTES'!$B$2:$B$501,0)),""))</f>
        <v/>
      </c>
      <c r="P313" t="str">
        <f>IF(F313="","",IFERROR(INDEX('04_PRODUCTOS'!$A$2:$A$501,MATCH(F313,'04_PRODUCTOS'!$B$2:$B$501,0)),""))</f>
        <v/>
      </c>
      <c r="Q313" t="str">
        <f t="shared" si="29"/>
        <v/>
      </c>
    </row>
    <row r="314" spans="1:17" x14ac:dyDescent="0.25">
      <c r="A314" t="str">
        <f t="shared" si="24"/>
        <v/>
      </c>
      <c r="B314" s="4" t="str">
        <f t="shared" ca="1" si="25"/>
        <v/>
      </c>
      <c r="C314" s="5" t="str">
        <f t="shared" ca="1" si="26"/>
        <v/>
      </c>
      <c r="G314" s="6"/>
      <c r="H314" s="3" t="str">
        <f>IFERROR(IF(E314="Mayorista",IF(INDEX('04_PRODUCTOS'!$F$2:$F$501,MATCH(F314,'04_PRODUCTOS'!$B$2:$B$501,0))="",INDEX('04_PRODUCTOS'!$E$2:$E$501,MATCH(F314,'04_PRODUCTOS'!$B$2:$B$501,0)),INDEX('04_PRODUCTOS'!$F$2:$F$501,MATCH(F314,'04_PRODUCTOS'!$B$2:$B$501,0))),IF(E314="Especial",IF(INDEX('04_PRODUCTOS'!$G$2:$G$501,MATCH(F314,'04_PRODUCTOS'!$B$2:$B$501,0))="",INDEX('04_PRODUCTOS'!$E$2:$E$501,MATCH(F314,'04_PRODUCTOS'!$B$2:$B$501,0)),INDEX('04_PRODUCTOS'!$G$2:$G$501,MATCH(F314,'04_PRODUCTOS'!$B$2:$B$501,0))),INDEX('04_PRODUCTOS'!$E$2:$E$501,MATCH(F314,'04_PRODUCTOS'!$B$2:$B$501,0)))),"")</f>
        <v/>
      </c>
      <c r="I314" s="3" t="str">
        <f t="shared" si="27"/>
        <v/>
      </c>
      <c r="J314" s="3" t="str">
        <f>IFERROR(IF(INDEX('04_PRODUCTOS'!$D$2:$D$501,MATCH(F314,'04_PRODUCTOS'!$B$2:$B$501,0))="","",I314-(G314*INDEX('04_PRODUCTOS'!$D$2:$D$501,MATCH(F314,'04_PRODUCTOS'!$B$2:$B$501,0)))),"")</f>
        <v/>
      </c>
      <c r="K314" s="7" t="str">
        <f t="shared" si="28"/>
        <v/>
      </c>
      <c r="O314" t="str">
        <f>IF(D314="","",IFERROR(INDEX('03_CLIENTES'!$A$2:$A$501,MATCH(D314,'03_CLIENTES'!$B$2:$B$501,0)),""))</f>
        <v/>
      </c>
      <c r="P314" t="str">
        <f>IF(F314="","",IFERROR(INDEX('04_PRODUCTOS'!$A$2:$A$501,MATCH(F314,'04_PRODUCTOS'!$B$2:$B$501,0)),""))</f>
        <v/>
      </c>
      <c r="Q314" t="str">
        <f t="shared" si="29"/>
        <v/>
      </c>
    </row>
    <row r="315" spans="1:17" x14ac:dyDescent="0.25">
      <c r="A315" t="str">
        <f t="shared" si="24"/>
        <v/>
      </c>
      <c r="B315" s="4" t="str">
        <f t="shared" ca="1" si="25"/>
        <v/>
      </c>
      <c r="C315" s="5" t="str">
        <f t="shared" ca="1" si="26"/>
        <v/>
      </c>
      <c r="G315" s="6"/>
      <c r="H315" s="3" t="str">
        <f>IFERROR(IF(E315="Mayorista",IF(INDEX('04_PRODUCTOS'!$F$2:$F$501,MATCH(F315,'04_PRODUCTOS'!$B$2:$B$501,0))="",INDEX('04_PRODUCTOS'!$E$2:$E$501,MATCH(F315,'04_PRODUCTOS'!$B$2:$B$501,0)),INDEX('04_PRODUCTOS'!$F$2:$F$501,MATCH(F315,'04_PRODUCTOS'!$B$2:$B$501,0))),IF(E315="Especial",IF(INDEX('04_PRODUCTOS'!$G$2:$G$501,MATCH(F315,'04_PRODUCTOS'!$B$2:$B$501,0))="",INDEX('04_PRODUCTOS'!$E$2:$E$501,MATCH(F315,'04_PRODUCTOS'!$B$2:$B$501,0)),INDEX('04_PRODUCTOS'!$G$2:$G$501,MATCH(F315,'04_PRODUCTOS'!$B$2:$B$501,0))),INDEX('04_PRODUCTOS'!$E$2:$E$501,MATCH(F315,'04_PRODUCTOS'!$B$2:$B$501,0)))),"")</f>
        <v/>
      </c>
      <c r="I315" s="3" t="str">
        <f t="shared" si="27"/>
        <v/>
      </c>
      <c r="J315" s="3" t="str">
        <f>IFERROR(IF(INDEX('04_PRODUCTOS'!$D$2:$D$501,MATCH(F315,'04_PRODUCTOS'!$B$2:$B$501,0))="","",I315-(G315*INDEX('04_PRODUCTOS'!$D$2:$D$501,MATCH(F315,'04_PRODUCTOS'!$B$2:$B$501,0)))),"")</f>
        <v/>
      </c>
      <c r="K315" s="7" t="str">
        <f t="shared" si="28"/>
        <v/>
      </c>
      <c r="O315" t="str">
        <f>IF(D315="","",IFERROR(INDEX('03_CLIENTES'!$A$2:$A$501,MATCH(D315,'03_CLIENTES'!$B$2:$B$501,0)),""))</f>
        <v/>
      </c>
      <c r="P315" t="str">
        <f>IF(F315="","",IFERROR(INDEX('04_PRODUCTOS'!$A$2:$A$501,MATCH(F315,'04_PRODUCTOS'!$B$2:$B$501,0)),""))</f>
        <v/>
      </c>
      <c r="Q315" t="str">
        <f t="shared" si="29"/>
        <v/>
      </c>
    </row>
    <row r="316" spans="1:17" x14ac:dyDescent="0.25">
      <c r="A316" t="str">
        <f t="shared" si="24"/>
        <v/>
      </c>
      <c r="B316" s="4" t="str">
        <f t="shared" ca="1" si="25"/>
        <v/>
      </c>
      <c r="C316" s="5" t="str">
        <f t="shared" ca="1" si="26"/>
        <v/>
      </c>
      <c r="G316" s="6"/>
      <c r="H316" s="3" t="str">
        <f>IFERROR(IF(E316="Mayorista",IF(INDEX('04_PRODUCTOS'!$F$2:$F$501,MATCH(F316,'04_PRODUCTOS'!$B$2:$B$501,0))="",INDEX('04_PRODUCTOS'!$E$2:$E$501,MATCH(F316,'04_PRODUCTOS'!$B$2:$B$501,0)),INDEX('04_PRODUCTOS'!$F$2:$F$501,MATCH(F316,'04_PRODUCTOS'!$B$2:$B$501,0))),IF(E316="Especial",IF(INDEX('04_PRODUCTOS'!$G$2:$G$501,MATCH(F316,'04_PRODUCTOS'!$B$2:$B$501,0))="",INDEX('04_PRODUCTOS'!$E$2:$E$501,MATCH(F316,'04_PRODUCTOS'!$B$2:$B$501,0)),INDEX('04_PRODUCTOS'!$G$2:$G$501,MATCH(F316,'04_PRODUCTOS'!$B$2:$B$501,0))),INDEX('04_PRODUCTOS'!$E$2:$E$501,MATCH(F316,'04_PRODUCTOS'!$B$2:$B$501,0)))),"")</f>
        <v/>
      </c>
      <c r="I316" s="3" t="str">
        <f t="shared" si="27"/>
        <v/>
      </c>
      <c r="J316" s="3" t="str">
        <f>IFERROR(IF(INDEX('04_PRODUCTOS'!$D$2:$D$501,MATCH(F316,'04_PRODUCTOS'!$B$2:$B$501,0))="","",I316-(G316*INDEX('04_PRODUCTOS'!$D$2:$D$501,MATCH(F316,'04_PRODUCTOS'!$B$2:$B$501,0)))),"")</f>
        <v/>
      </c>
      <c r="K316" s="7" t="str">
        <f t="shared" si="28"/>
        <v/>
      </c>
      <c r="O316" t="str">
        <f>IF(D316="","",IFERROR(INDEX('03_CLIENTES'!$A$2:$A$501,MATCH(D316,'03_CLIENTES'!$B$2:$B$501,0)),""))</f>
        <v/>
      </c>
      <c r="P316" t="str">
        <f>IF(F316="","",IFERROR(INDEX('04_PRODUCTOS'!$A$2:$A$501,MATCH(F316,'04_PRODUCTOS'!$B$2:$B$501,0)),""))</f>
        <v/>
      </c>
      <c r="Q316" t="str">
        <f t="shared" si="29"/>
        <v/>
      </c>
    </row>
    <row r="317" spans="1:17" x14ac:dyDescent="0.25">
      <c r="A317" t="str">
        <f t="shared" si="24"/>
        <v/>
      </c>
      <c r="B317" s="4" t="str">
        <f t="shared" ca="1" si="25"/>
        <v/>
      </c>
      <c r="C317" s="5" t="str">
        <f t="shared" ca="1" si="26"/>
        <v/>
      </c>
      <c r="G317" s="6"/>
      <c r="H317" s="3" t="str">
        <f>IFERROR(IF(E317="Mayorista",IF(INDEX('04_PRODUCTOS'!$F$2:$F$501,MATCH(F317,'04_PRODUCTOS'!$B$2:$B$501,0))="",INDEX('04_PRODUCTOS'!$E$2:$E$501,MATCH(F317,'04_PRODUCTOS'!$B$2:$B$501,0)),INDEX('04_PRODUCTOS'!$F$2:$F$501,MATCH(F317,'04_PRODUCTOS'!$B$2:$B$501,0))),IF(E317="Especial",IF(INDEX('04_PRODUCTOS'!$G$2:$G$501,MATCH(F317,'04_PRODUCTOS'!$B$2:$B$501,0))="",INDEX('04_PRODUCTOS'!$E$2:$E$501,MATCH(F317,'04_PRODUCTOS'!$B$2:$B$501,0)),INDEX('04_PRODUCTOS'!$G$2:$G$501,MATCH(F317,'04_PRODUCTOS'!$B$2:$B$501,0))),INDEX('04_PRODUCTOS'!$E$2:$E$501,MATCH(F317,'04_PRODUCTOS'!$B$2:$B$501,0)))),"")</f>
        <v/>
      </c>
      <c r="I317" s="3" t="str">
        <f t="shared" si="27"/>
        <v/>
      </c>
      <c r="J317" s="3" t="str">
        <f>IFERROR(IF(INDEX('04_PRODUCTOS'!$D$2:$D$501,MATCH(F317,'04_PRODUCTOS'!$B$2:$B$501,0))="","",I317-(G317*INDEX('04_PRODUCTOS'!$D$2:$D$501,MATCH(F317,'04_PRODUCTOS'!$B$2:$B$501,0)))),"")</f>
        <v/>
      </c>
      <c r="K317" s="7" t="str">
        <f t="shared" si="28"/>
        <v/>
      </c>
      <c r="O317" t="str">
        <f>IF(D317="","",IFERROR(INDEX('03_CLIENTES'!$A$2:$A$501,MATCH(D317,'03_CLIENTES'!$B$2:$B$501,0)),""))</f>
        <v/>
      </c>
      <c r="P317" t="str">
        <f>IF(F317="","",IFERROR(INDEX('04_PRODUCTOS'!$A$2:$A$501,MATCH(F317,'04_PRODUCTOS'!$B$2:$B$501,0)),""))</f>
        <v/>
      </c>
      <c r="Q317" t="str">
        <f t="shared" si="29"/>
        <v/>
      </c>
    </row>
    <row r="318" spans="1:17" x14ac:dyDescent="0.25">
      <c r="A318" t="str">
        <f t="shared" si="24"/>
        <v/>
      </c>
      <c r="B318" s="4" t="str">
        <f t="shared" ca="1" si="25"/>
        <v/>
      </c>
      <c r="C318" s="5" t="str">
        <f t="shared" ca="1" si="26"/>
        <v/>
      </c>
      <c r="G318" s="6"/>
      <c r="H318" s="3" t="str">
        <f>IFERROR(IF(E318="Mayorista",IF(INDEX('04_PRODUCTOS'!$F$2:$F$501,MATCH(F318,'04_PRODUCTOS'!$B$2:$B$501,0))="",INDEX('04_PRODUCTOS'!$E$2:$E$501,MATCH(F318,'04_PRODUCTOS'!$B$2:$B$501,0)),INDEX('04_PRODUCTOS'!$F$2:$F$501,MATCH(F318,'04_PRODUCTOS'!$B$2:$B$501,0))),IF(E318="Especial",IF(INDEX('04_PRODUCTOS'!$G$2:$G$501,MATCH(F318,'04_PRODUCTOS'!$B$2:$B$501,0))="",INDEX('04_PRODUCTOS'!$E$2:$E$501,MATCH(F318,'04_PRODUCTOS'!$B$2:$B$501,0)),INDEX('04_PRODUCTOS'!$G$2:$G$501,MATCH(F318,'04_PRODUCTOS'!$B$2:$B$501,0))),INDEX('04_PRODUCTOS'!$E$2:$E$501,MATCH(F318,'04_PRODUCTOS'!$B$2:$B$501,0)))),"")</f>
        <v/>
      </c>
      <c r="I318" s="3" t="str">
        <f t="shared" si="27"/>
        <v/>
      </c>
      <c r="J318" s="3" t="str">
        <f>IFERROR(IF(INDEX('04_PRODUCTOS'!$D$2:$D$501,MATCH(F318,'04_PRODUCTOS'!$B$2:$B$501,0))="","",I318-(G318*INDEX('04_PRODUCTOS'!$D$2:$D$501,MATCH(F318,'04_PRODUCTOS'!$B$2:$B$501,0)))),"")</f>
        <v/>
      </c>
      <c r="K318" s="7" t="str">
        <f t="shared" si="28"/>
        <v/>
      </c>
      <c r="O318" t="str">
        <f>IF(D318="","",IFERROR(INDEX('03_CLIENTES'!$A$2:$A$501,MATCH(D318,'03_CLIENTES'!$B$2:$B$501,0)),""))</f>
        <v/>
      </c>
      <c r="P318" t="str">
        <f>IF(F318="","",IFERROR(INDEX('04_PRODUCTOS'!$A$2:$A$501,MATCH(F318,'04_PRODUCTOS'!$B$2:$B$501,0)),""))</f>
        <v/>
      </c>
      <c r="Q318" t="str">
        <f t="shared" si="29"/>
        <v/>
      </c>
    </row>
    <row r="319" spans="1:17" x14ac:dyDescent="0.25">
      <c r="A319" t="str">
        <f t="shared" si="24"/>
        <v/>
      </c>
      <c r="B319" s="4" t="str">
        <f t="shared" ca="1" si="25"/>
        <v/>
      </c>
      <c r="C319" s="5" t="str">
        <f t="shared" ca="1" si="26"/>
        <v/>
      </c>
      <c r="G319" s="6"/>
      <c r="H319" s="3" t="str">
        <f>IFERROR(IF(E319="Mayorista",IF(INDEX('04_PRODUCTOS'!$F$2:$F$501,MATCH(F319,'04_PRODUCTOS'!$B$2:$B$501,0))="",INDEX('04_PRODUCTOS'!$E$2:$E$501,MATCH(F319,'04_PRODUCTOS'!$B$2:$B$501,0)),INDEX('04_PRODUCTOS'!$F$2:$F$501,MATCH(F319,'04_PRODUCTOS'!$B$2:$B$501,0))),IF(E319="Especial",IF(INDEX('04_PRODUCTOS'!$G$2:$G$501,MATCH(F319,'04_PRODUCTOS'!$B$2:$B$501,0))="",INDEX('04_PRODUCTOS'!$E$2:$E$501,MATCH(F319,'04_PRODUCTOS'!$B$2:$B$501,0)),INDEX('04_PRODUCTOS'!$G$2:$G$501,MATCH(F319,'04_PRODUCTOS'!$B$2:$B$501,0))),INDEX('04_PRODUCTOS'!$E$2:$E$501,MATCH(F319,'04_PRODUCTOS'!$B$2:$B$501,0)))),"")</f>
        <v/>
      </c>
      <c r="I319" s="3" t="str">
        <f t="shared" si="27"/>
        <v/>
      </c>
      <c r="J319" s="3" t="str">
        <f>IFERROR(IF(INDEX('04_PRODUCTOS'!$D$2:$D$501,MATCH(F319,'04_PRODUCTOS'!$B$2:$B$501,0))="","",I319-(G319*INDEX('04_PRODUCTOS'!$D$2:$D$501,MATCH(F319,'04_PRODUCTOS'!$B$2:$B$501,0)))),"")</f>
        <v/>
      </c>
      <c r="K319" s="7" t="str">
        <f t="shared" si="28"/>
        <v/>
      </c>
      <c r="O319" t="str">
        <f>IF(D319="","",IFERROR(INDEX('03_CLIENTES'!$A$2:$A$501,MATCH(D319,'03_CLIENTES'!$B$2:$B$501,0)),""))</f>
        <v/>
      </c>
      <c r="P319" t="str">
        <f>IF(F319="","",IFERROR(INDEX('04_PRODUCTOS'!$A$2:$A$501,MATCH(F319,'04_PRODUCTOS'!$B$2:$B$501,0)),""))</f>
        <v/>
      </c>
      <c r="Q319" t="str">
        <f t="shared" si="29"/>
        <v/>
      </c>
    </row>
    <row r="320" spans="1:17" x14ac:dyDescent="0.25">
      <c r="A320" t="str">
        <f t="shared" si="24"/>
        <v/>
      </c>
      <c r="B320" s="4" t="str">
        <f t="shared" ca="1" si="25"/>
        <v/>
      </c>
      <c r="C320" s="5" t="str">
        <f t="shared" ca="1" si="26"/>
        <v/>
      </c>
      <c r="G320" s="6"/>
      <c r="H320" s="3" t="str">
        <f>IFERROR(IF(E320="Mayorista",IF(INDEX('04_PRODUCTOS'!$F$2:$F$501,MATCH(F320,'04_PRODUCTOS'!$B$2:$B$501,0))="",INDEX('04_PRODUCTOS'!$E$2:$E$501,MATCH(F320,'04_PRODUCTOS'!$B$2:$B$501,0)),INDEX('04_PRODUCTOS'!$F$2:$F$501,MATCH(F320,'04_PRODUCTOS'!$B$2:$B$501,0))),IF(E320="Especial",IF(INDEX('04_PRODUCTOS'!$G$2:$G$501,MATCH(F320,'04_PRODUCTOS'!$B$2:$B$501,0))="",INDEX('04_PRODUCTOS'!$E$2:$E$501,MATCH(F320,'04_PRODUCTOS'!$B$2:$B$501,0)),INDEX('04_PRODUCTOS'!$G$2:$G$501,MATCH(F320,'04_PRODUCTOS'!$B$2:$B$501,0))),INDEX('04_PRODUCTOS'!$E$2:$E$501,MATCH(F320,'04_PRODUCTOS'!$B$2:$B$501,0)))),"")</f>
        <v/>
      </c>
      <c r="I320" s="3" t="str">
        <f t="shared" si="27"/>
        <v/>
      </c>
      <c r="J320" s="3" t="str">
        <f>IFERROR(IF(INDEX('04_PRODUCTOS'!$D$2:$D$501,MATCH(F320,'04_PRODUCTOS'!$B$2:$B$501,0))="","",I320-(G320*INDEX('04_PRODUCTOS'!$D$2:$D$501,MATCH(F320,'04_PRODUCTOS'!$B$2:$B$501,0)))),"")</f>
        <v/>
      </c>
      <c r="K320" s="7" t="str">
        <f t="shared" si="28"/>
        <v/>
      </c>
      <c r="O320" t="str">
        <f>IF(D320="","",IFERROR(INDEX('03_CLIENTES'!$A$2:$A$501,MATCH(D320,'03_CLIENTES'!$B$2:$B$501,0)),""))</f>
        <v/>
      </c>
      <c r="P320" t="str">
        <f>IF(F320="","",IFERROR(INDEX('04_PRODUCTOS'!$A$2:$A$501,MATCH(F320,'04_PRODUCTOS'!$B$2:$B$501,0)),""))</f>
        <v/>
      </c>
      <c r="Q320" t="str">
        <f t="shared" si="29"/>
        <v/>
      </c>
    </row>
    <row r="321" spans="1:17" x14ac:dyDescent="0.25">
      <c r="A321" t="str">
        <f t="shared" si="24"/>
        <v/>
      </c>
      <c r="B321" s="4" t="str">
        <f t="shared" ca="1" si="25"/>
        <v/>
      </c>
      <c r="C321" s="5" t="str">
        <f t="shared" ca="1" si="26"/>
        <v/>
      </c>
      <c r="G321" s="6"/>
      <c r="H321" s="3" t="str">
        <f>IFERROR(IF(E321="Mayorista",IF(INDEX('04_PRODUCTOS'!$F$2:$F$501,MATCH(F321,'04_PRODUCTOS'!$B$2:$B$501,0))="",INDEX('04_PRODUCTOS'!$E$2:$E$501,MATCH(F321,'04_PRODUCTOS'!$B$2:$B$501,0)),INDEX('04_PRODUCTOS'!$F$2:$F$501,MATCH(F321,'04_PRODUCTOS'!$B$2:$B$501,0))),IF(E321="Especial",IF(INDEX('04_PRODUCTOS'!$G$2:$G$501,MATCH(F321,'04_PRODUCTOS'!$B$2:$B$501,0))="",INDEX('04_PRODUCTOS'!$E$2:$E$501,MATCH(F321,'04_PRODUCTOS'!$B$2:$B$501,0)),INDEX('04_PRODUCTOS'!$G$2:$G$501,MATCH(F321,'04_PRODUCTOS'!$B$2:$B$501,0))),INDEX('04_PRODUCTOS'!$E$2:$E$501,MATCH(F321,'04_PRODUCTOS'!$B$2:$B$501,0)))),"")</f>
        <v/>
      </c>
      <c r="I321" s="3" t="str">
        <f t="shared" si="27"/>
        <v/>
      </c>
      <c r="J321" s="3" t="str">
        <f>IFERROR(IF(INDEX('04_PRODUCTOS'!$D$2:$D$501,MATCH(F321,'04_PRODUCTOS'!$B$2:$B$501,0))="","",I321-(G321*INDEX('04_PRODUCTOS'!$D$2:$D$501,MATCH(F321,'04_PRODUCTOS'!$B$2:$B$501,0)))),"")</f>
        <v/>
      </c>
      <c r="K321" s="7" t="str">
        <f t="shared" si="28"/>
        <v/>
      </c>
      <c r="O321" t="str">
        <f>IF(D321="","",IFERROR(INDEX('03_CLIENTES'!$A$2:$A$501,MATCH(D321,'03_CLIENTES'!$B$2:$B$501,0)),""))</f>
        <v/>
      </c>
      <c r="P321" t="str">
        <f>IF(F321="","",IFERROR(INDEX('04_PRODUCTOS'!$A$2:$A$501,MATCH(F321,'04_PRODUCTOS'!$B$2:$B$501,0)),""))</f>
        <v/>
      </c>
      <c r="Q321" t="str">
        <f t="shared" si="29"/>
        <v/>
      </c>
    </row>
    <row r="322" spans="1:17" x14ac:dyDescent="0.25">
      <c r="A322" t="str">
        <f t="shared" ref="A322:A385" si="30">IF(OR(D322="",F322=""),"","VEN"&amp;TEXT(ROW()-1,"000000"))</f>
        <v/>
      </c>
      <c r="B322" s="4" t="str">
        <f t="shared" ref="B322:B385" ca="1" si="31">IF(A322="","",TODAY())</f>
        <v/>
      </c>
      <c r="C322" s="5" t="str">
        <f t="shared" ref="C322:C385" ca="1" si="32">IF(A322="","",NOW())</f>
        <v/>
      </c>
      <c r="G322" s="6"/>
      <c r="H322" s="3" t="str">
        <f>IFERROR(IF(E322="Mayorista",IF(INDEX('04_PRODUCTOS'!$F$2:$F$501,MATCH(F322,'04_PRODUCTOS'!$B$2:$B$501,0))="",INDEX('04_PRODUCTOS'!$E$2:$E$501,MATCH(F322,'04_PRODUCTOS'!$B$2:$B$501,0)),INDEX('04_PRODUCTOS'!$F$2:$F$501,MATCH(F322,'04_PRODUCTOS'!$B$2:$B$501,0))),IF(E322="Especial",IF(INDEX('04_PRODUCTOS'!$G$2:$G$501,MATCH(F322,'04_PRODUCTOS'!$B$2:$B$501,0))="",INDEX('04_PRODUCTOS'!$E$2:$E$501,MATCH(F322,'04_PRODUCTOS'!$B$2:$B$501,0)),INDEX('04_PRODUCTOS'!$G$2:$G$501,MATCH(F322,'04_PRODUCTOS'!$B$2:$B$501,0))),INDEX('04_PRODUCTOS'!$E$2:$E$501,MATCH(F322,'04_PRODUCTOS'!$B$2:$B$501,0)))),"")</f>
        <v/>
      </c>
      <c r="I322" s="3" t="str">
        <f t="shared" ref="I322:I385" si="33">IF(AND(G322&lt;&gt;"",H322&lt;&gt;""),G322*H322,"")</f>
        <v/>
      </c>
      <c r="J322" s="3" t="str">
        <f>IFERROR(IF(INDEX('04_PRODUCTOS'!$D$2:$D$501,MATCH(F322,'04_PRODUCTOS'!$B$2:$B$501,0))="","",I322-(G322*INDEX('04_PRODUCTOS'!$D$2:$D$501,MATCH(F322,'04_PRODUCTOS'!$B$2:$B$501,0)))),"")</f>
        <v/>
      </c>
      <c r="K322" s="7" t="str">
        <f t="shared" ref="K322:K385" si="34">IF(OR(I322="",J322=""),"",IFERROR(J322/I322,""))</f>
        <v/>
      </c>
      <c r="O322" t="str">
        <f>IF(D322="","",IFERROR(INDEX('03_CLIENTES'!$A$2:$A$501,MATCH(D322,'03_CLIENTES'!$B$2:$B$501,0)),""))</f>
        <v/>
      </c>
      <c r="P322" t="str">
        <f>IF(F322="","",IFERROR(INDEX('04_PRODUCTOS'!$A$2:$A$501,MATCH(F322,'04_PRODUCTOS'!$B$2:$B$501,0)),""))</f>
        <v/>
      </c>
      <c r="Q322" t="str">
        <f t="shared" ref="Q322:Q385" si="35">IF(AND(D322&lt;&gt;"",F322&lt;&gt;"",G322&gt;0,H322&lt;&gt;""),IF(O322="","CLIENTE NO ENCONTRADO",IF(P322="","PRODUCTO NO ENCONTRADO","OK")),"")</f>
        <v/>
      </c>
    </row>
    <row r="323" spans="1:17" x14ac:dyDescent="0.25">
      <c r="A323" t="str">
        <f t="shared" si="30"/>
        <v/>
      </c>
      <c r="B323" s="4" t="str">
        <f t="shared" ca="1" si="31"/>
        <v/>
      </c>
      <c r="C323" s="5" t="str">
        <f t="shared" ca="1" si="32"/>
        <v/>
      </c>
      <c r="G323" s="6"/>
      <c r="H323" s="3" t="str">
        <f>IFERROR(IF(E323="Mayorista",IF(INDEX('04_PRODUCTOS'!$F$2:$F$501,MATCH(F323,'04_PRODUCTOS'!$B$2:$B$501,0))="",INDEX('04_PRODUCTOS'!$E$2:$E$501,MATCH(F323,'04_PRODUCTOS'!$B$2:$B$501,0)),INDEX('04_PRODUCTOS'!$F$2:$F$501,MATCH(F323,'04_PRODUCTOS'!$B$2:$B$501,0))),IF(E323="Especial",IF(INDEX('04_PRODUCTOS'!$G$2:$G$501,MATCH(F323,'04_PRODUCTOS'!$B$2:$B$501,0))="",INDEX('04_PRODUCTOS'!$E$2:$E$501,MATCH(F323,'04_PRODUCTOS'!$B$2:$B$501,0)),INDEX('04_PRODUCTOS'!$G$2:$G$501,MATCH(F323,'04_PRODUCTOS'!$B$2:$B$501,0))),INDEX('04_PRODUCTOS'!$E$2:$E$501,MATCH(F323,'04_PRODUCTOS'!$B$2:$B$501,0)))),"")</f>
        <v/>
      </c>
      <c r="I323" s="3" t="str">
        <f t="shared" si="33"/>
        <v/>
      </c>
      <c r="J323" s="3" t="str">
        <f>IFERROR(IF(INDEX('04_PRODUCTOS'!$D$2:$D$501,MATCH(F323,'04_PRODUCTOS'!$B$2:$B$501,0))="","",I323-(G323*INDEX('04_PRODUCTOS'!$D$2:$D$501,MATCH(F323,'04_PRODUCTOS'!$B$2:$B$501,0)))),"")</f>
        <v/>
      </c>
      <c r="K323" s="7" t="str">
        <f t="shared" si="34"/>
        <v/>
      </c>
      <c r="O323" t="str">
        <f>IF(D323="","",IFERROR(INDEX('03_CLIENTES'!$A$2:$A$501,MATCH(D323,'03_CLIENTES'!$B$2:$B$501,0)),""))</f>
        <v/>
      </c>
      <c r="P323" t="str">
        <f>IF(F323="","",IFERROR(INDEX('04_PRODUCTOS'!$A$2:$A$501,MATCH(F323,'04_PRODUCTOS'!$B$2:$B$501,0)),""))</f>
        <v/>
      </c>
      <c r="Q323" t="str">
        <f t="shared" si="35"/>
        <v/>
      </c>
    </row>
    <row r="324" spans="1:17" x14ac:dyDescent="0.25">
      <c r="A324" t="str">
        <f t="shared" si="30"/>
        <v/>
      </c>
      <c r="B324" s="4" t="str">
        <f t="shared" ca="1" si="31"/>
        <v/>
      </c>
      <c r="C324" s="5" t="str">
        <f t="shared" ca="1" si="32"/>
        <v/>
      </c>
      <c r="G324" s="6"/>
      <c r="H324" s="3" t="str">
        <f>IFERROR(IF(E324="Mayorista",IF(INDEX('04_PRODUCTOS'!$F$2:$F$501,MATCH(F324,'04_PRODUCTOS'!$B$2:$B$501,0))="",INDEX('04_PRODUCTOS'!$E$2:$E$501,MATCH(F324,'04_PRODUCTOS'!$B$2:$B$501,0)),INDEX('04_PRODUCTOS'!$F$2:$F$501,MATCH(F324,'04_PRODUCTOS'!$B$2:$B$501,0))),IF(E324="Especial",IF(INDEX('04_PRODUCTOS'!$G$2:$G$501,MATCH(F324,'04_PRODUCTOS'!$B$2:$B$501,0))="",INDEX('04_PRODUCTOS'!$E$2:$E$501,MATCH(F324,'04_PRODUCTOS'!$B$2:$B$501,0)),INDEX('04_PRODUCTOS'!$G$2:$G$501,MATCH(F324,'04_PRODUCTOS'!$B$2:$B$501,0))),INDEX('04_PRODUCTOS'!$E$2:$E$501,MATCH(F324,'04_PRODUCTOS'!$B$2:$B$501,0)))),"")</f>
        <v/>
      </c>
      <c r="I324" s="3" t="str">
        <f t="shared" si="33"/>
        <v/>
      </c>
      <c r="J324" s="3" t="str">
        <f>IFERROR(IF(INDEX('04_PRODUCTOS'!$D$2:$D$501,MATCH(F324,'04_PRODUCTOS'!$B$2:$B$501,0))="","",I324-(G324*INDEX('04_PRODUCTOS'!$D$2:$D$501,MATCH(F324,'04_PRODUCTOS'!$B$2:$B$501,0)))),"")</f>
        <v/>
      </c>
      <c r="K324" s="7" t="str">
        <f t="shared" si="34"/>
        <v/>
      </c>
      <c r="O324" t="str">
        <f>IF(D324="","",IFERROR(INDEX('03_CLIENTES'!$A$2:$A$501,MATCH(D324,'03_CLIENTES'!$B$2:$B$501,0)),""))</f>
        <v/>
      </c>
      <c r="P324" t="str">
        <f>IF(F324="","",IFERROR(INDEX('04_PRODUCTOS'!$A$2:$A$501,MATCH(F324,'04_PRODUCTOS'!$B$2:$B$501,0)),""))</f>
        <v/>
      </c>
      <c r="Q324" t="str">
        <f t="shared" si="35"/>
        <v/>
      </c>
    </row>
    <row r="325" spans="1:17" x14ac:dyDescent="0.25">
      <c r="A325" t="str">
        <f t="shared" si="30"/>
        <v/>
      </c>
      <c r="B325" s="4" t="str">
        <f t="shared" ca="1" si="31"/>
        <v/>
      </c>
      <c r="C325" s="5" t="str">
        <f t="shared" ca="1" si="32"/>
        <v/>
      </c>
      <c r="G325" s="6"/>
      <c r="H325" s="3" t="str">
        <f>IFERROR(IF(E325="Mayorista",IF(INDEX('04_PRODUCTOS'!$F$2:$F$501,MATCH(F325,'04_PRODUCTOS'!$B$2:$B$501,0))="",INDEX('04_PRODUCTOS'!$E$2:$E$501,MATCH(F325,'04_PRODUCTOS'!$B$2:$B$501,0)),INDEX('04_PRODUCTOS'!$F$2:$F$501,MATCH(F325,'04_PRODUCTOS'!$B$2:$B$501,0))),IF(E325="Especial",IF(INDEX('04_PRODUCTOS'!$G$2:$G$501,MATCH(F325,'04_PRODUCTOS'!$B$2:$B$501,0))="",INDEX('04_PRODUCTOS'!$E$2:$E$501,MATCH(F325,'04_PRODUCTOS'!$B$2:$B$501,0)),INDEX('04_PRODUCTOS'!$G$2:$G$501,MATCH(F325,'04_PRODUCTOS'!$B$2:$B$501,0))),INDEX('04_PRODUCTOS'!$E$2:$E$501,MATCH(F325,'04_PRODUCTOS'!$B$2:$B$501,0)))),"")</f>
        <v/>
      </c>
      <c r="I325" s="3" t="str">
        <f t="shared" si="33"/>
        <v/>
      </c>
      <c r="J325" s="3" t="str">
        <f>IFERROR(IF(INDEX('04_PRODUCTOS'!$D$2:$D$501,MATCH(F325,'04_PRODUCTOS'!$B$2:$B$501,0))="","",I325-(G325*INDEX('04_PRODUCTOS'!$D$2:$D$501,MATCH(F325,'04_PRODUCTOS'!$B$2:$B$501,0)))),"")</f>
        <v/>
      </c>
      <c r="K325" s="7" t="str">
        <f t="shared" si="34"/>
        <v/>
      </c>
      <c r="O325" t="str">
        <f>IF(D325="","",IFERROR(INDEX('03_CLIENTES'!$A$2:$A$501,MATCH(D325,'03_CLIENTES'!$B$2:$B$501,0)),""))</f>
        <v/>
      </c>
      <c r="P325" t="str">
        <f>IF(F325="","",IFERROR(INDEX('04_PRODUCTOS'!$A$2:$A$501,MATCH(F325,'04_PRODUCTOS'!$B$2:$B$501,0)),""))</f>
        <v/>
      </c>
      <c r="Q325" t="str">
        <f t="shared" si="35"/>
        <v/>
      </c>
    </row>
    <row r="326" spans="1:17" x14ac:dyDescent="0.25">
      <c r="A326" t="str">
        <f t="shared" si="30"/>
        <v/>
      </c>
      <c r="B326" s="4" t="str">
        <f t="shared" ca="1" si="31"/>
        <v/>
      </c>
      <c r="C326" s="5" t="str">
        <f t="shared" ca="1" si="32"/>
        <v/>
      </c>
      <c r="G326" s="6"/>
      <c r="H326" s="3" t="str">
        <f>IFERROR(IF(E326="Mayorista",IF(INDEX('04_PRODUCTOS'!$F$2:$F$501,MATCH(F326,'04_PRODUCTOS'!$B$2:$B$501,0))="",INDEX('04_PRODUCTOS'!$E$2:$E$501,MATCH(F326,'04_PRODUCTOS'!$B$2:$B$501,0)),INDEX('04_PRODUCTOS'!$F$2:$F$501,MATCH(F326,'04_PRODUCTOS'!$B$2:$B$501,0))),IF(E326="Especial",IF(INDEX('04_PRODUCTOS'!$G$2:$G$501,MATCH(F326,'04_PRODUCTOS'!$B$2:$B$501,0))="",INDEX('04_PRODUCTOS'!$E$2:$E$501,MATCH(F326,'04_PRODUCTOS'!$B$2:$B$501,0)),INDEX('04_PRODUCTOS'!$G$2:$G$501,MATCH(F326,'04_PRODUCTOS'!$B$2:$B$501,0))),INDEX('04_PRODUCTOS'!$E$2:$E$501,MATCH(F326,'04_PRODUCTOS'!$B$2:$B$501,0)))),"")</f>
        <v/>
      </c>
      <c r="I326" s="3" t="str">
        <f t="shared" si="33"/>
        <v/>
      </c>
      <c r="J326" s="3" t="str">
        <f>IFERROR(IF(INDEX('04_PRODUCTOS'!$D$2:$D$501,MATCH(F326,'04_PRODUCTOS'!$B$2:$B$501,0))="","",I326-(G326*INDEX('04_PRODUCTOS'!$D$2:$D$501,MATCH(F326,'04_PRODUCTOS'!$B$2:$B$501,0)))),"")</f>
        <v/>
      </c>
      <c r="K326" s="7" t="str">
        <f t="shared" si="34"/>
        <v/>
      </c>
      <c r="O326" t="str">
        <f>IF(D326="","",IFERROR(INDEX('03_CLIENTES'!$A$2:$A$501,MATCH(D326,'03_CLIENTES'!$B$2:$B$501,0)),""))</f>
        <v/>
      </c>
      <c r="P326" t="str">
        <f>IF(F326="","",IFERROR(INDEX('04_PRODUCTOS'!$A$2:$A$501,MATCH(F326,'04_PRODUCTOS'!$B$2:$B$501,0)),""))</f>
        <v/>
      </c>
      <c r="Q326" t="str">
        <f t="shared" si="35"/>
        <v/>
      </c>
    </row>
    <row r="327" spans="1:17" x14ac:dyDescent="0.25">
      <c r="A327" t="str">
        <f t="shared" si="30"/>
        <v/>
      </c>
      <c r="B327" s="4" t="str">
        <f t="shared" ca="1" si="31"/>
        <v/>
      </c>
      <c r="C327" s="5" t="str">
        <f t="shared" ca="1" si="32"/>
        <v/>
      </c>
      <c r="G327" s="6"/>
      <c r="H327" s="3" t="str">
        <f>IFERROR(IF(E327="Mayorista",IF(INDEX('04_PRODUCTOS'!$F$2:$F$501,MATCH(F327,'04_PRODUCTOS'!$B$2:$B$501,0))="",INDEX('04_PRODUCTOS'!$E$2:$E$501,MATCH(F327,'04_PRODUCTOS'!$B$2:$B$501,0)),INDEX('04_PRODUCTOS'!$F$2:$F$501,MATCH(F327,'04_PRODUCTOS'!$B$2:$B$501,0))),IF(E327="Especial",IF(INDEX('04_PRODUCTOS'!$G$2:$G$501,MATCH(F327,'04_PRODUCTOS'!$B$2:$B$501,0))="",INDEX('04_PRODUCTOS'!$E$2:$E$501,MATCH(F327,'04_PRODUCTOS'!$B$2:$B$501,0)),INDEX('04_PRODUCTOS'!$G$2:$G$501,MATCH(F327,'04_PRODUCTOS'!$B$2:$B$501,0))),INDEX('04_PRODUCTOS'!$E$2:$E$501,MATCH(F327,'04_PRODUCTOS'!$B$2:$B$501,0)))),"")</f>
        <v/>
      </c>
      <c r="I327" s="3" t="str">
        <f t="shared" si="33"/>
        <v/>
      </c>
      <c r="J327" s="3" t="str">
        <f>IFERROR(IF(INDEX('04_PRODUCTOS'!$D$2:$D$501,MATCH(F327,'04_PRODUCTOS'!$B$2:$B$501,0))="","",I327-(G327*INDEX('04_PRODUCTOS'!$D$2:$D$501,MATCH(F327,'04_PRODUCTOS'!$B$2:$B$501,0)))),"")</f>
        <v/>
      </c>
      <c r="K327" s="7" t="str">
        <f t="shared" si="34"/>
        <v/>
      </c>
      <c r="O327" t="str">
        <f>IF(D327="","",IFERROR(INDEX('03_CLIENTES'!$A$2:$A$501,MATCH(D327,'03_CLIENTES'!$B$2:$B$501,0)),""))</f>
        <v/>
      </c>
      <c r="P327" t="str">
        <f>IF(F327="","",IFERROR(INDEX('04_PRODUCTOS'!$A$2:$A$501,MATCH(F327,'04_PRODUCTOS'!$B$2:$B$501,0)),""))</f>
        <v/>
      </c>
      <c r="Q327" t="str">
        <f t="shared" si="35"/>
        <v/>
      </c>
    </row>
    <row r="328" spans="1:17" x14ac:dyDescent="0.25">
      <c r="A328" t="str">
        <f t="shared" si="30"/>
        <v/>
      </c>
      <c r="B328" s="4" t="str">
        <f t="shared" ca="1" si="31"/>
        <v/>
      </c>
      <c r="C328" s="5" t="str">
        <f t="shared" ca="1" si="32"/>
        <v/>
      </c>
      <c r="G328" s="6"/>
      <c r="H328" s="3" t="str">
        <f>IFERROR(IF(E328="Mayorista",IF(INDEX('04_PRODUCTOS'!$F$2:$F$501,MATCH(F328,'04_PRODUCTOS'!$B$2:$B$501,0))="",INDEX('04_PRODUCTOS'!$E$2:$E$501,MATCH(F328,'04_PRODUCTOS'!$B$2:$B$501,0)),INDEX('04_PRODUCTOS'!$F$2:$F$501,MATCH(F328,'04_PRODUCTOS'!$B$2:$B$501,0))),IF(E328="Especial",IF(INDEX('04_PRODUCTOS'!$G$2:$G$501,MATCH(F328,'04_PRODUCTOS'!$B$2:$B$501,0))="",INDEX('04_PRODUCTOS'!$E$2:$E$501,MATCH(F328,'04_PRODUCTOS'!$B$2:$B$501,0)),INDEX('04_PRODUCTOS'!$G$2:$G$501,MATCH(F328,'04_PRODUCTOS'!$B$2:$B$501,0))),INDEX('04_PRODUCTOS'!$E$2:$E$501,MATCH(F328,'04_PRODUCTOS'!$B$2:$B$501,0)))),"")</f>
        <v/>
      </c>
      <c r="I328" s="3" t="str">
        <f t="shared" si="33"/>
        <v/>
      </c>
      <c r="J328" s="3" t="str">
        <f>IFERROR(IF(INDEX('04_PRODUCTOS'!$D$2:$D$501,MATCH(F328,'04_PRODUCTOS'!$B$2:$B$501,0))="","",I328-(G328*INDEX('04_PRODUCTOS'!$D$2:$D$501,MATCH(F328,'04_PRODUCTOS'!$B$2:$B$501,0)))),"")</f>
        <v/>
      </c>
      <c r="K328" s="7" t="str">
        <f t="shared" si="34"/>
        <v/>
      </c>
      <c r="O328" t="str">
        <f>IF(D328="","",IFERROR(INDEX('03_CLIENTES'!$A$2:$A$501,MATCH(D328,'03_CLIENTES'!$B$2:$B$501,0)),""))</f>
        <v/>
      </c>
      <c r="P328" t="str">
        <f>IF(F328="","",IFERROR(INDEX('04_PRODUCTOS'!$A$2:$A$501,MATCH(F328,'04_PRODUCTOS'!$B$2:$B$501,0)),""))</f>
        <v/>
      </c>
      <c r="Q328" t="str">
        <f t="shared" si="35"/>
        <v/>
      </c>
    </row>
    <row r="329" spans="1:17" x14ac:dyDescent="0.25">
      <c r="A329" t="str">
        <f t="shared" si="30"/>
        <v/>
      </c>
      <c r="B329" s="4" t="str">
        <f t="shared" ca="1" si="31"/>
        <v/>
      </c>
      <c r="C329" s="5" t="str">
        <f t="shared" ca="1" si="32"/>
        <v/>
      </c>
      <c r="G329" s="6"/>
      <c r="H329" s="3" t="str">
        <f>IFERROR(IF(E329="Mayorista",IF(INDEX('04_PRODUCTOS'!$F$2:$F$501,MATCH(F329,'04_PRODUCTOS'!$B$2:$B$501,0))="",INDEX('04_PRODUCTOS'!$E$2:$E$501,MATCH(F329,'04_PRODUCTOS'!$B$2:$B$501,0)),INDEX('04_PRODUCTOS'!$F$2:$F$501,MATCH(F329,'04_PRODUCTOS'!$B$2:$B$501,0))),IF(E329="Especial",IF(INDEX('04_PRODUCTOS'!$G$2:$G$501,MATCH(F329,'04_PRODUCTOS'!$B$2:$B$501,0))="",INDEX('04_PRODUCTOS'!$E$2:$E$501,MATCH(F329,'04_PRODUCTOS'!$B$2:$B$501,0)),INDEX('04_PRODUCTOS'!$G$2:$G$501,MATCH(F329,'04_PRODUCTOS'!$B$2:$B$501,0))),INDEX('04_PRODUCTOS'!$E$2:$E$501,MATCH(F329,'04_PRODUCTOS'!$B$2:$B$501,0)))),"")</f>
        <v/>
      </c>
      <c r="I329" s="3" t="str">
        <f t="shared" si="33"/>
        <v/>
      </c>
      <c r="J329" s="3" t="str">
        <f>IFERROR(IF(INDEX('04_PRODUCTOS'!$D$2:$D$501,MATCH(F329,'04_PRODUCTOS'!$B$2:$B$501,0))="","",I329-(G329*INDEX('04_PRODUCTOS'!$D$2:$D$501,MATCH(F329,'04_PRODUCTOS'!$B$2:$B$501,0)))),"")</f>
        <v/>
      </c>
      <c r="K329" s="7" t="str">
        <f t="shared" si="34"/>
        <v/>
      </c>
      <c r="O329" t="str">
        <f>IF(D329="","",IFERROR(INDEX('03_CLIENTES'!$A$2:$A$501,MATCH(D329,'03_CLIENTES'!$B$2:$B$501,0)),""))</f>
        <v/>
      </c>
      <c r="P329" t="str">
        <f>IF(F329="","",IFERROR(INDEX('04_PRODUCTOS'!$A$2:$A$501,MATCH(F329,'04_PRODUCTOS'!$B$2:$B$501,0)),""))</f>
        <v/>
      </c>
      <c r="Q329" t="str">
        <f t="shared" si="35"/>
        <v/>
      </c>
    </row>
    <row r="330" spans="1:17" x14ac:dyDescent="0.25">
      <c r="A330" t="str">
        <f t="shared" si="30"/>
        <v/>
      </c>
      <c r="B330" s="4" t="str">
        <f t="shared" ca="1" si="31"/>
        <v/>
      </c>
      <c r="C330" s="5" t="str">
        <f t="shared" ca="1" si="32"/>
        <v/>
      </c>
      <c r="G330" s="6"/>
      <c r="H330" s="3" t="str">
        <f>IFERROR(IF(E330="Mayorista",IF(INDEX('04_PRODUCTOS'!$F$2:$F$501,MATCH(F330,'04_PRODUCTOS'!$B$2:$B$501,0))="",INDEX('04_PRODUCTOS'!$E$2:$E$501,MATCH(F330,'04_PRODUCTOS'!$B$2:$B$501,0)),INDEX('04_PRODUCTOS'!$F$2:$F$501,MATCH(F330,'04_PRODUCTOS'!$B$2:$B$501,0))),IF(E330="Especial",IF(INDEX('04_PRODUCTOS'!$G$2:$G$501,MATCH(F330,'04_PRODUCTOS'!$B$2:$B$501,0))="",INDEX('04_PRODUCTOS'!$E$2:$E$501,MATCH(F330,'04_PRODUCTOS'!$B$2:$B$501,0)),INDEX('04_PRODUCTOS'!$G$2:$G$501,MATCH(F330,'04_PRODUCTOS'!$B$2:$B$501,0))),INDEX('04_PRODUCTOS'!$E$2:$E$501,MATCH(F330,'04_PRODUCTOS'!$B$2:$B$501,0)))),"")</f>
        <v/>
      </c>
      <c r="I330" s="3" t="str">
        <f t="shared" si="33"/>
        <v/>
      </c>
      <c r="J330" s="3" t="str">
        <f>IFERROR(IF(INDEX('04_PRODUCTOS'!$D$2:$D$501,MATCH(F330,'04_PRODUCTOS'!$B$2:$B$501,0))="","",I330-(G330*INDEX('04_PRODUCTOS'!$D$2:$D$501,MATCH(F330,'04_PRODUCTOS'!$B$2:$B$501,0)))),"")</f>
        <v/>
      </c>
      <c r="K330" s="7" t="str">
        <f t="shared" si="34"/>
        <v/>
      </c>
      <c r="O330" t="str">
        <f>IF(D330="","",IFERROR(INDEX('03_CLIENTES'!$A$2:$A$501,MATCH(D330,'03_CLIENTES'!$B$2:$B$501,0)),""))</f>
        <v/>
      </c>
      <c r="P330" t="str">
        <f>IF(F330="","",IFERROR(INDEX('04_PRODUCTOS'!$A$2:$A$501,MATCH(F330,'04_PRODUCTOS'!$B$2:$B$501,0)),""))</f>
        <v/>
      </c>
      <c r="Q330" t="str">
        <f t="shared" si="35"/>
        <v/>
      </c>
    </row>
    <row r="331" spans="1:17" x14ac:dyDescent="0.25">
      <c r="A331" t="str">
        <f t="shared" si="30"/>
        <v/>
      </c>
      <c r="B331" s="4" t="str">
        <f t="shared" ca="1" si="31"/>
        <v/>
      </c>
      <c r="C331" s="5" t="str">
        <f t="shared" ca="1" si="32"/>
        <v/>
      </c>
      <c r="G331" s="6"/>
      <c r="H331" s="3" t="str">
        <f>IFERROR(IF(E331="Mayorista",IF(INDEX('04_PRODUCTOS'!$F$2:$F$501,MATCH(F331,'04_PRODUCTOS'!$B$2:$B$501,0))="",INDEX('04_PRODUCTOS'!$E$2:$E$501,MATCH(F331,'04_PRODUCTOS'!$B$2:$B$501,0)),INDEX('04_PRODUCTOS'!$F$2:$F$501,MATCH(F331,'04_PRODUCTOS'!$B$2:$B$501,0))),IF(E331="Especial",IF(INDEX('04_PRODUCTOS'!$G$2:$G$501,MATCH(F331,'04_PRODUCTOS'!$B$2:$B$501,0))="",INDEX('04_PRODUCTOS'!$E$2:$E$501,MATCH(F331,'04_PRODUCTOS'!$B$2:$B$501,0)),INDEX('04_PRODUCTOS'!$G$2:$G$501,MATCH(F331,'04_PRODUCTOS'!$B$2:$B$501,0))),INDEX('04_PRODUCTOS'!$E$2:$E$501,MATCH(F331,'04_PRODUCTOS'!$B$2:$B$501,0)))),"")</f>
        <v/>
      </c>
      <c r="I331" s="3" t="str">
        <f t="shared" si="33"/>
        <v/>
      </c>
      <c r="J331" s="3" t="str">
        <f>IFERROR(IF(INDEX('04_PRODUCTOS'!$D$2:$D$501,MATCH(F331,'04_PRODUCTOS'!$B$2:$B$501,0))="","",I331-(G331*INDEX('04_PRODUCTOS'!$D$2:$D$501,MATCH(F331,'04_PRODUCTOS'!$B$2:$B$501,0)))),"")</f>
        <v/>
      </c>
      <c r="K331" s="7" t="str">
        <f t="shared" si="34"/>
        <v/>
      </c>
      <c r="O331" t="str">
        <f>IF(D331="","",IFERROR(INDEX('03_CLIENTES'!$A$2:$A$501,MATCH(D331,'03_CLIENTES'!$B$2:$B$501,0)),""))</f>
        <v/>
      </c>
      <c r="P331" t="str">
        <f>IF(F331="","",IFERROR(INDEX('04_PRODUCTOS'!$A$2:$A$501,MATCH(F331,'04_PRODUCTOS'!$B$2:$B$501,0)),""))</f>
        <v/>
      </c>
      <c r="Q331" t="str">
        <f t="shared" si="35"/>
        <v/>
      </c>
    </row>
    <row r="332" spans="1:17" x14ac:dyDescent="0.25">
      <c r="A332" t="str">
        <f t="shared" si="30"/>
        <v/>
      </c>
      <c r="B332" s="4" t="str">
        <f t="shared" ca="1" si="31"/>
        <v/>
      </c>
      <c r="C332" s="5" t="str">
        <f t="shared" ca="1" si="32"/>
        <v/>
      </c>
      <c r="G332" s="6"/>
      <c r="H332" s="3" t="str">
        <f>IFERROR(IF(E332="Mayorista",IF(INDEX('04_PRODUCTOS'!$F$2:$F$501,MATCH(F332,'04_PRODUCTOS'!$B$2:$B$501,0))="",INDEX('04_PRODUCTOS'!$E$2:$E$501,MATCH(F332,'04_PRODUCTOS'!$B$2:$B$501,0)),INDEX('04_PRODUCTOS'!$F$2:$F$501,MATCH(F332,'04_PRODUCTOS'!$B$2:$B$501,0))),IF(E332="Especial",IF(INDEX('04_PRODUCTOS'!$G$2:$G$501,MATCH(F332,'04_PRODUCTOS'!$B$2:$B$501,0))="",INDEX('04_PRODUCTOS'!$E$2:$E$501,MATCH(F332,'04_PRODUCTOS'!$B$2:$B$501,0)),INDEX('04_PRODUCTOS'!$G$2:$G$501,MATCH(F332,'04_PRODUCTOS'!$B$2:$B$501,0))),INDEX('04_PRODUCTOS'!$E$2:$E$501,MATCH(F332,'04_PRODUCTOS'!$B$2:$B$501,0)))),"")</f>
        <v/>
      </c>
      <c r="I332" s="3" t="str">
        <f t="shared" si="33"/>
        <v/>
      </c>
      <c r="J332" s="3" t="str">
        <f>IFERROR(IF(INDEX('04_PRODUCTOS'!$D$2:$D$501,MATCH(F332,'04_PRODUCTOS'!$B$2:$B$501,0))="","",I332-(G332*INDEX('04_PRODUCTOS'!$D$2:$D$501,MATCH(F332,'04_PRODUCTOS'!$B$2:$B$501,0)))),"")</f>
        <v/>
      </c>
      <c r="K332" s="7" t="str">
        <f t="shared" si="34"/>
        <v/>
      </c>
      <c r="O332" t="str">
        <f>IF(D332="","",IFERROR(INDEX('03_CLIENTES'!$A$2:$A$501,MATCH(D332,'03_CLIENTES'!$B$2:$B$501,0)),""))</f>
        <v/>
      </c>
      <c r="P332" t="str">
        <f>IF(F332="","",IFERROR(INDEX('04_PRODUCTOS'!$A$2:$A$501,MATCH(F332,'04_PRODUCTOS'!$B$2:$B$501,0)),""))</f>
        <v/>
      </c>
      <c r="Q332" t="str">
        <f t="shared" si="35"/>
        <v/>
      </c>
    </row>
    <row r="333" spans="1:17" x14ac:dyDescent="0.25">
      <c r="A333" t="str">
        <f t="shared" si="30"/>
        <v/>
      </c>
      <c r="B333" s="4" t="str">
        <f t="shared" ca="1" si="31"/>
        <v/>
      </c>
      <c r="C333" s="5" t="str">
        <f t="shared" ca="1" si="32"/>
        <v/>
      </c>
      <c r="G333" s="6"/>
      <c r="H333" s="3" t="str">
        <f>IFERROR(IF(E333="Mayorista",IF(INDEX('04_PRODUCTOS'!$F$2:$F$501,MATCH(F333,'04_PRODUCTOS'!$B$2:$B$501,0))="",INDEX('04_PRODUCTOS'!$E$2:$E$501,MATCH(F333,'04_PRODUCTOS'!$B$2:$B$501,0)),INDEX('04_PRODUCTOS'!$F$2:$F$501,MATCH(F333,'04_PRODUCTOS'!$B$2:$B$501,0))),IF(E333="Especial",IF(INDEX('04_PRODUCTOS'!$G$2:$G$501,MATCH(F333,'04_PRODUCTOS'!$B$2:$B$501,0))="",INDEX('04_PRODUCTOS'!$E$2:$E$501,MATCH(F333,'04_PRODUCTOS'!$B$2:$B$501,0)),INDEX('04_PRODUCTOS'!$G$2:$G$501,MATCH(F333,'04_PRODUCTOS'!$B$2:$B$501,0))),INDEX('04_PRODUCTOS'!$E$2:$E$501,MATCH(F333,'04_PRODUCTOS'!$B$2:$B$501,0)))),"")</f>
        <v/>
      </c>
      <c r="I333" s="3" t="str">
        <f t="shared" si="33"/>
        <v/>
      </c>
      <c r="J333" s="3" t="str">
        <f>IFERROR(IF(INDEX('04_PRODUCTOS'!$D$2:$D$501,MATCH(F333,'04_PRODUCTOS'!$B$2:$B$501,0))="","",I333-(G333*INDEX('04_PRODUCTOS'!$D$2:$D$501,MATCH(F333,'04_PRODUCTOS'!$B$2:$B$501,0)))),"")</f>
        <v/>
      </c>
      <c r="K333" s="7" t="str">
        <f t="shared" si="34"/>
        <v/>
      </c>
      <c r="O333" t="str">
        <f>IF(D333="","",IFERROR(INDEX('03_CLIENTES'!$A$2:$A$501,MATCH(D333,'03_CLIENTES'!$B$2:$B$501,0)),""))</f>
        <v/>
      </c>
      <c r="P333" t="str">
        <f>IF(F333="","",IFERROR(INDEX('04_PRODUCTOS'!$A$2:$A$501,MATCH(F333,'04_PRODUCTOS'!$B$2:$B$501,0)),""))</f>
        <v/>
      </c>
      <c r="Q333" t="str">
        <f t="shared" si="35"/>
        <v/>
      </c>
    </row>
    <row r="334" spans="1:17" x14ac:dyDescent="0.25">
      <c r="A334" t="str">
        <f t="shared" si="30"/>
        <v/>
      </c>
      <c r="B334" s="4" t="str">
        <f t="shared" ca="1" si="31"/>
        <v/>
      </c>
      <c r="C334" s="5" t="str">
        <f t="shared" ca="1" si="32"/>
        <v/>
      </c>
      <c r="G334" s="6"/>
      <c r="H334" s="3" t="str">
        <f>IFERROR(IF(E334="Mayorista",IF(INDEX('04_PRODUCTOS'!$F$2:$F$501,MATCH(F334,'04_PRODUCTOS'!$B$2:$B$501,0))="",INDEX('04_PRODUCTOS'!$E$2:$E$501,MATCH(F334,'04_PRODUCTOS'!$B$2:$B$501,0)),INDEX('04_PRODUCTOS'!$F$2:$F$501,MATCH(F334,'04_PRODUCTOS'!$B$2:$B$501,0))),IF(E334="Especial",IF(INDEX('04_PRODUCTOS'!$G$2:$G$501,MATCH(F334,'04_PRODUCTOS'!$B$2:$B$501,0))="",INDEX('04_PRODUCTOS'!$E$2:$E$501,MATCH(F334,'04_PRODUCTOS'!$B$2:$B$501,0)),INDEX('04_PRODUCTOS'!$G$2:$G$501,MATCH(F334,'04_PRODUCTOS'!$B$2:$B$501,0))),INDEX('04_PRODUCTOS'!$E$2:$E$501,MATCH(F334,'04_PRODUCTOS'!$B$2:$B$501,0)))),"")</f>
        <v/>
      </c>
      <c r="I334" s="3" t="str">
        <f t="shared" si="33"/>
        <v/>
      </c>
      <c r="J334" s="3" t="str">
        <f>IFERROR(IF(INDEX('04_PRODUCTOS'!$D$2:$D$501,MATCH(F334,'04_PRODUCTOS'!$B$2:$B$501,0))="","",I334-(G334*INDEX('04_PRODUCTOS'!$D$2:$D$501,MATCH(F334,'04_PRODUCTOS'!$B$2:$B$501,0)))),"")</f>
        <v/>
      </c>
      <c r="K334" s="7" t="str">
        <f t="shared" si="34"/>
        <v/>
      </c>
      <c r="O334" t="str">
        <f>IF(D334="","",IFERROR(INDEX('03_CLIENTES'!$A$2:$A$501,MATCH(D334,'03_CLIENTES'!$B$2:$B$501,0)),""))</f>
        <v/>
      </c>
      <c r="P334" t="str">
        <f>IF(F334="","",IFERROR(INDEX('04_PRODUCTOS'!$A$2:$A$501,MATCH(F334,'04_PRODUCTOS'!$B$2:$B$501,0)),""))</f>
        <v/>
      </c>
      <c r="Q334" t="str">
        <f t="shared" si="35"/>
        <v/>
      </c>
    </row>
    <row r="335" spans="1:17" x14ac:dyDescent="0.25">
      <c r="A335" t="str">
        <f t="shared" si="30"/>
        <v/>
      </c>
      <c r="B335" s="4" t="str">
        <f t="shared" ca="1" si="31"/>
        <v/>
      </c>
      <c r="C335" s="5" t="str">
        <f t="shared" ca="1" si="32"/>
        <v/>
      </c>
      <c r="G335" s="6"/>
      <c r="H335" s="3" t="str">
        <f>IFERROR(IF(E335="Mayorista",IF(INDEX('04_PRODUCTOS'!$F$2:$F$501,MATCH(F335,'04_PRODUCTOS'!$B$2:$B$501,0))="",INDEX('04_PRODUCTOS'!$E$2:$E$501,MATCH(F335,'04_PRODUCTOS'!$B$2:$B$501,0)),INDEX('04_PRODUCTOS'!$F$2:$F$501,MATCH(F335,'04_PRODUCTOS'!$B$2:$B$501,0))),IF(E335="Especial",IF(INDEX('04_PRODUCTOS'!$G$2:$G$501,MATCH(F335,'04_PRODUCTOS'!$B$2:$B$501,0))="",INDEX('04_PRODUCTOS'!$E$2:$E$501,MATCH(F335,'04_PRODUCTOS'!$B$2:$B$501,0)),INDEX('04_PRODUCTOS'!$G$2:$G$501,MATCH(F335,'04_PRODUCTOS'!$B$2:$B$501,0))),INDEX('04_PRODUCTOS'!$E$2:$E$501,MATCH(F335,'04_PRODUCTOS'!$B$2:$B$501,0)))),"")</f>
        <v/>
      </c>
      <c r="I335" s="3" t="str">
        <f t="shared" si="33"/>
        <v/>
      </c>
      <c r="J335" s="3" t="str">
        <f>IFERROR(IF(INDEX('04_PRODUCTOS'!$D$2:$D$501,MATCH(F335,'04_PRODUCTOS'!$B$2:$B$501,0))="","",I335-(G335*INDEX('04_PRODUCTOS'!$D$2:$D$501,MATCH(F335,'04_PRODUCTOS'!$B$2:$B$501,0)))),"")</f>
        <v/>
      </c>
      <c r="K335" s="7" t="str">
        <f t="shared" si="34"/>
        <v/>
      </c>
      <c r="O335" t="str">
        <f>IF(D335="","",IFERROR(INDEX('03_CLIENTES'!$A$2:$A$501,MATCH(D335,'03_CLIENTES'!$B$2:$B$501,0)),""))</f>
        <v/>
      </c>
      <c r="P335" t="str">
        <f>IF(F335="","",IFERROR(INDEX('04_PRODUCTOS'!$A$2:$A$501,MATCH(F335,'04_PRODUCTOS'!$B$2:$B$501,0)),""))</f>
        <v/>
      </c>
      <c r="Q335" t="str">
        <f t="shared" si="35"/>
        <v/>
      </c>
    </row>
    <row r="336" spans="1:17" x14ac:dyDescent="0.25">
      <c r="A336" t="str">
        <f t="shared" si="30"/>
        <v/>
      </c>
      <c r="B336" s="4" t="str">
        <f t="shared" ca="1" si="31"/>
        <v/>
      </c>
      <c r="C336" s="5" t="str">
        <f t="shared" ca="1" si="32"/>
        <v/>
      </c>
      <c r="G336" s="6"/>
      <c r="H336" s="3" t="str">
        <f>IFERROR(IF(E336="Mayorista",IF(INDEX('04_PRODUCTOS'!$F$2:$F$501,MATCH(F336,'04_PRODUCTOS'!$B$2:$B$501,0))="",INDEX('04_PRODUCTOS'!$E$2:$E$501,MATCH(F336,'04_PRODUCTOS'!$B$2:$B$501,0)),INDEX('04_PRODUCTOS'!$F$2:$F$501,MATCH(F336,'04_PRODUCTOS'!$B$2:$B$501,0))),IF(E336="Especial",IF(INDEX('04_PRODUCTOS'!$G$2:$G$501,MATCH(F336,'04_PRODUCTOS'!$B$2:$B$501,0))="",INDEX('04_PRODUCTOS'!$E$2:$E$501,MATCH(F336,'04_PRODUCTOS'!$B$2:$B$501,0)),INDEX('04_PRODUCTOS'!$G$2:$G$501,MATCH(F336,'04_PRODUCTOS'!$B$2:$B$501,0))),INDEX('04_PRODUCTOS'!$E$2:$E$501,MATCH(F336,'04_PRODUCTOS'!$B$2:$B$501,0)))),"")</f>
        <v/>
      </c>
      <c r="I336" s="3" t="str">
        <f t="shared" si="33"/>
        <v/>
      </c>
      <c r="J336" s="3" t="str">
        <f>IFERROR(IF(INDEX('04_PRODUCTOS'!$D$2:$D$501,MATCH(F336,'04_PRODUCTOS'!$B$2:$B$501,0))="","",I336-(G336*INDEX('04_PRODUCTOS'!$D$2:$D$501,MATCH(F336,'04_PRODUCTOS'!$B$2:$B$501,0)))),"")</f>
        <v/>
      </c>
      <c r="K336" s="7" t="str">
        <f t="shared" si="34"/>
        <v/>
      </c>
      <c r="O336" t="str">
        <f>IF(D336="","",IFERROR(INDEX('03_CLIENTES'!$A$2:$A$501,MATCH(D336,'03_CLIENTES'!$B$2:$B$501,0)),""))</f>
        <v/>
      </c>
      <c r="P336" t="str">
        <f>IF(F336="","",IFERROR(INDEX('04_PRODUCTOS'!$A$2:$A$501,MATCH(F336,'04_PRODUCTOS'!$B$2:$B$501,0)),""))</f>
        <v/>
      </c>
      <c r="Q336" t="str">
        <f t="shared" si="35"/>
        <v/>
      </c>
    </row>
    <row r="337" spans="1:17" x14ac:dyDescent="0.25">
      <c r="A337" t="str">
        <f t="shared" si="30"/>
        <v/>
      </c>
      <c r="B337" s="4" t="str">
        <f t="shared" ca="1" si="31"/>
        <v/>
      </c>
      <c r="C337" s="5" t="str">
        <f t="shared" ca="1" si="32"/>
        <v/>
      </c>
      <c r="G337" s="6"/>
      <c r="H337" s="3" t="str">
        <f>IFERROR(IF(E337="Mayorista",IF(INDEX('04_PRODUCTOS'!$F$2:$F$501,MATCH(F337,'04_PRODUCTOS'!$B$2:$B$501,0))="",INDEX('04_PRODUCTOS'!$E$2:$E$501,MATCH(F337,'04_PRODUCTOS'!$B$2:$B$501,0)),INDEX('04_PRODUCTOS'!$F$2:$F$501,MATCH(F337,'04_PRODUCTOS'!$B$2:$B$501,0))),IF(E337="Especial",IF(INDEX('04_PRODUCTOS'!$G$2:$G$501,MATCH(F337,'04_PRODUCTOS'!$B$2:$B$501,0))="",INDEX('04_PRODUCTOS'!$E$2:$E$501,MATCH(F337,'04_PRODUCTOS'!$B$2:$B$501,0)),INDEX('04_PRODUCTOS'!$G$2:$G$501,MATCH(F337,'04_PRODUCTOS'!$B$2:$B$501,0))),INDEX('04_PRODUCTOS'!$E$2:$E$501,MATCH(F337,'04_PRODUCTOS'!$B$2:$B$501,0)))),"")</f>
        <v/>
      </c>
      <c r="I337" s="3" t="str">
        <f t="shared" si="33"/>
        <v/>
      </c>
      <c r="J337" s="3" t="str">
        <f>IFERROR(IF(INDEX('04_PRODUCTOS'!$D$2:$D$501,MATCH(F337,'04_PRODUCTOS'!$B$2:$B$501,0))="","",I337-(G337*INDEX('04_PRODUCTOS'!$D$2:$D$501,MATCH(F337,'04_PRODUCTOS'!$B$2:$B$501,0)))),"")</f>
        <v/>
      </c>
      <c r="K337" s="7" t="str">
        <f t="shared" si="34"/>
        <v/>
      </c>
      <c r="O337" t="str">
        <f>IF(D337="","",IFERROR(INDEX('03_CLIENTES'!$A$2:$A$501,MATCH(D337,'03_CLIENTES'!$B$2:$B$501,0)),""))</f>
        <v/>
      </c>
      <c r="P337" t="str">
        <f>IF(F337="","",IFERROR(INDEX('04_PRODUCTOS'!$A$2:$A$501,MATCH(F337,'04_PRODUCTOS'!$B$2:$B$501,0)),""))</f>
        <v/>
      </c>
      <c r="Q337" t="str">
        <f t="shared" si="35"/>
        <v/>
      </c>
    </row>
    <row r="338" spans="1:17" x14ac:dyDescent="0.25">
      <c r="A338" t="str">
        <f t="shared" si="30"/>
        <v/>
      </c>
      <c r="B338" s="4" t="str">
        <f t="shared" ca="1" si="31"/>
        <v/>
      </c>
      <c r="C338" s="5" t="str">
        <f t="shared" ca="1" si="32"/>
        <v/>
      </c>
      <c r="G338" s="6"/>
      <c r="H338" s="3" t="str">
        <f>IFERROR(IF(E338="Mayorista",IF(INDEX('04_PRODUCTOS'!$F$2:$F$501,MATCH(F338,'04_PRODUCTOS'!$B$2:$B$501,0))="",INDEX('04_PRODUCTOS'!$E$2:$E$501,MATCH(F338,'04_PRODUCTOS'!$B$2:$B$501,0)),INDEX('04_PRODUCTOS'!$F$2:$F$501,MATCH(F338,'04_PRODUCTOS'!$B$2:$B$501,0))),IF(E338="Especial",IF(INDEX('04_PRODUCTOS'!$G$2:$G$501,MATCH(F338,'04_PRODUCTOS'!$B$2:$B$501,0))="",INDEX('04_PRODUCTOS'!$E$2:$E$501,MATCH(F338,'04_PRODUCTOS'!$B$2:$B$501,0)),INDEX('04_PRODUCTOS'!$G$2:$G$501,MATCH(F338,'04_PRODUCTOS'!$B$2:$B$501,0))),INDEX('04_PRODUCTOS'!$E$2:$E$501,MATCH(F338,'04_PRODUCTOS'!$B$2:$B$501,0)))),"")</f>
        <v/>
      </c>
      <c r="I338" s="3" t="str">
        <f t="shared" si="33"/>
        <v/>
      </c>
      <c r="J338" s="3" t="str">
        <f>IFERROR(IF(INDEX('04_PRODUCTOS'!$D$2:$D$501,MATCH(F338,'04_PRODUCTOS'!$B$2:$B$501,0))="","",I338-(G338*INDEX('04_PRODUCTOS'!$D$2:$D$501,MATCH(F338,'04_PRODUCTOS'!$B$2:$B$501,0)))),"")</f>
        <v/>
      </c>
      <c r="K338" s="7" t="str">
        <f t="shared" si="34"/>
        <v/>
      </c>
      <c r="O338" t="str">
        <f>IF(D338="","",IFERROR(INDEX('03_CLIENTES'!$A$2:$A$501,MATCH(D338,'03_CLIENTES'!$B$2:$B$501,0)),""))</f>
        <v/>
      </c>
      <c r="P338" t="str">
        <f>IF(F338="","",IFERROR(INDEX('04_PRODUCTOS'!$A$2:$A$501,MATCH(F338,'04_PRODUCTOS'!$B$2:$B$501,0)),""))</f>
        <v/>
      </c>
      <c r="Q338" t="str">
        <f t="shared" si="35"/>
        <v/>
      </c>
    </row>
    <row r="339" spans="1:17" x14ac:dyDescent="0.25">
      <c r="A339" t="str">
        <f t="shared" si="30"/>
        <v/>
      </c>
      <c r="B339" s="4" t="str">
        <f t="shared" ca="1" si="31"/>
        <v/>
      </c>
      <c r="C339" s="5" t="str">
        <f t="shared" ca="1" si="32"/>
        <v/>
      </c>
      <c r="G339" s="6"/>
      <c r="H339" s="3" t="str">
        <f>IFERROR(IF(E339="Mayorista",IF(INDEX('04_PRODUCTOS'!$F$2:$F$501,MATCH(F339,'04_PRODUCTOS'!$B$2:$B$501,0))="",INDEX('04_PRODUCTOS'!$E$2:$E$501,MATCH(F339,'04_PRODUCTOS'!$B$2:$B$501,0)),INDEX('04_PRODUCTOS'!$F$2:$F$501,MATCH(F339,'04_PRODUCTOS'!$B$2:$B$501,0))),IF(E339="Especial",IF(INDEX('04_PRODUCTOS'!$G$2:$G$501,MATCH(F339,'04_PRODUCTOS'!$B$2:$B$501,0))="",INDEX('04_PRODUCTOS'!$E$2:$E$501,MATCH(F339,'04_PRODUCTOS'!$B$2:$B$501,0)),INDEX('04_PRODUCTOS'!$G$2:$G$501,MATCH(F339,'04_PRODUCTOS'!$B$2:$B$501,0))),INDEX('04_PRODUCTOS'!$E$2:$E$501,MATCH(F339,'04_PRODUCTOS'!$B$2:$B$501,0)))),"")</f>
        <v/>
      </c>
      <c r="I339" s="3" t="str">
        <f t="shared" si="33"/>
        <v/>
      </c>
      <c r="J339" s="3" t="str">
        <f>IFERROR(IF(INDEX('04_PRODUCTOS'!$D$2:$D$501,MATCH(F339,'04_PRODUCTOS'!$B$2:$B$501,0))="","",I339-(G339*INDEX('04_PRODUCTOS'!$D$2:$D$501,MATCH(F339,'04_PRODUCTOS'!$B$2:$B$501,0)))),"")</f>
        <v/>
      </c>
      <c r="K339" s="7" t="str">
        <f t="shared" si="34"/>
        <v/>
      </c>
      <c r="O339" t="str">
        <f>IF(D339="","",IFERROR(INDEX('03_CLIENTES'!$A$2:$A$501,MATCH(D339,'03_CLIENTES'!$B$2:$B$501,0)),""))</f>
        <v/>
      </c>
      <c r="P339" t="str">
        <f>IF(F339="","",IFERROR(INDEX('04_PRODUCTOS'!$A$2:$A$501,MATCH(F339,'04_PRODUCTOS'!$B$2:$B$501,0)),""))</f>
        <v/>
      </c>
      <c r="Q339" t="str">
        <f t="shared" si="35"/>
        <v/>
      </c>
    </row>
    <row r="340" spans="1:17" x14ac:dyDescent="0.25">
      <c r="A340" t="str">
        <f t="shared" si="30"/>
        <v/>
      </c>
      <c r="B340" s="4" t="str">
        <f t="shared" ca="1" si="31"/>
        <v/>
      </c>
      <c r="C340" s="5" t="str">
        <f t="shared" ca="1" si="32"/>
        <v/>
      </c>
      <c r="G340" s="6"/>
      <c r="H340" s="3" t="str">
        <f>IFERROR(IF(E340="Mayorista",IF(INDEX('04_PRODUCTOS'!$F$2:$F$501,MATCH(F340,'04_PRODUCTOS'!$B$2:$B$501,0))="",INDEX('04_PRODUCTOS'!$E$2:$E$501,MATCH(F340,'04_PRODUCTOS'!$B$2:$B$501,0)),INDEX('04_PRODUCTOS'!$F$2:$F$501,MATCH(F340,'04_PRODUCTOS'!$B$2:$B$501,0))),IF(E340="Especial",IF(INDEX('04_PRODUCTOS'!$G$2:$G$501,MATCH(F340,'04_PRODUCTOS'!$B$2:$B$501,0))="",INDEX('04_PRODUCTOS'!$E$2:$E$501,MATCH(F340,'04_PRODUCTOS'!$B$2:$B$501,0)),INDEX('04_PRODUCTOS'!$G$2:$G$501,MATCH(F340,'04_PRODUCTOS'!$B$2:$B$501,0))),INDEX('04_PRODUCTOS'!$E$2:$E$501,MATCH(F340,'04_PRODUCTOS'!$B$2:$B$501,0)))),"")</f>
        <v/>
      </c>
      <c r="I340" s="3" t="str">
        <f t="shared" si="33"/>
        <v/>
      </c>
      <c r="J340" s="3" t="str">
        <f>IFERROR(IF(INDEX('04_PRODUCTOS'!$D$2:$D$501,MATCH(F340,'04_PRODUCTOS'!$B$2:$B$501,0))="","",I340-(G340*INDEX('04_PRODUCTOS'!$D$2:$D$501,MATCH(F340,'04_PRODUCTOS'!$B$2:$B$501,0)))),"")</f>
        <v/>
      </c>
      <c r="K340" s="7" t="str">
        <f t="shared" si="34"/>
        <v/>
      </c>
      <c r="O340" t="str">
        <f>IF(D340="","",IFERROR(INDEX('03_CLIENTES'!$A$2:$A$501,MATCH(D340,'03_CLIENTES'!$B$2:$B$501,0)),""))</f>
        <v/>
      </c>
      <c r="P340" t="str">
        <f>IF(F340="","",IFERROR(INDEX('04_PRODUCTOS'!$A$2:$A$501,MATCH(F340,'04_PRODUCTOS'!$B$2:$B$501,0)),""))</f>
        <v/>
      </c>
      <c r="Q340" t="str">
        <f t="shared" si="35"/>
        <v/>
      </c>
    </row>
    <row r="341" spans="1:17" x14ac:dyDescent="0.25">
      <c r="A341" t="str">
        <f t="shared" si="30"/>
        <v/>
      </c>
      <c r="B341" s="4" t="str">
        <f t="shared" ca="1" si="31"/>
        <v/>
      </c>
      <c r="C341" s="5" t="str">
        <f t="shared" ca="1" si="32"/>
        <v/>
      </c>
      <c r="G341" s="6"/>
      <c r="H341" s="3" t="str">
        <f>IFERROR(IF(E341="Mayorista",IF(INDEX('04_PRODUCTOS'!$F$2:$F$501,MATCH(F341,'04_PRODUCTOS'!$B$2:$B$501,0))="",INDEX('04_PRODUCTOS'!$E$2:$E$501,MATCH(F341,'04_PRODUCTOS'!$B$2:$B$501,0)),INDEX('04_PRODUCTOS'!$F$2:$F$501,MATCH(F341,'04_PRODUCTOS'!$B$2:$B$501,0))),IF(E341="Especial",IF(INDEX('04_PRODUCTOS'!$G$2:$G$501,MATCH(F341,'04_PRODUCTOS'!$B$2:$B$501,0))="",INDEX('04_PRODUCTOS'!$E$2:$E$501,MATCH(F341,'04_PRODUCTOS'!$B$2:$B$501,0)),INDEX('04_PRODUCTOS'!$G$2:$G$501,MATCH(F341,'04_PRODUCTOS'!$B$2:$B$501,0))),INDEX('04_PRODUCTOS'!$E$2:$E$501,MATCH(F341,'04_PRODUCTOS'!$B$2:$B$501,0)))),"")</f>
        <v/>
      </c>
      <c r="I341" s="3" t="str">
        <f t="shared" si="33"/>
        <v/>
      </c>
      <c r="J341" s="3" t="str">
        <f>IFERROR(IF(INDEX('04_PRODUCTOS'!$D$2:$D$501,MATCH(F341,'04_PRODUCTOS'!$B$2:$B$501,0))="","",I341-(G341*INDEX('04_PRODUCTOS'!$D$2:$D$501,MATCH(F341,'04_PRODUCTOS'!$B$2:$B$501,0)))),"")</f>
        <v/>
      </c>
      <c r="K341" s="7" t="str">
        <f t="shared" si="34"/>
        <v/>
      </c>
      <c r="O341" t="str">
        <f>IF(D341="","",IFERROR(INDEX('03_CLIENTES'!$A$2:$A$501,MATCH(D341,'03_CLIENTES'!$B$2:$B$501,0)),""))</f>
        <v/>
      </c>
      <c r="P341" t="str">
        <f>IF(F341="","",IFERROR(INDEX('04_PRODUCTOS'!$A$2:$A$501,MATCH(F341,'04_PRODUCTOS'!$B$2:$B$501,0)),""))</f>
        <v/>
      </c>
      <c r="Q341" t="str">
        <f t="shared" si="35"/>
        <v/>
      </c>
    </row>
    <row r="342" spans="1:17" x14ac:dyDescent="0.25">
      <c r="A342" t="str">
        <f t="shared" si="30"/>
        <v/>
      </c>
      <c r="B342" s="4" t="str">
        <f t="shared" ca="1" si="31"/>
        <v/>
      </c>
      <c r="C342" s="5" t="str">
        <f t="shared" ca="1" si="32"/>
        <v/>
      </c>
      <c r="G342" s="6"/>
      <c r="H342" s="3" t="str">
        <f>IFERROR(IF(E342="Mayorista",IF(INDEX('04_PRODUCTOS'!$F$2:$F$501,MATCH(F342,'04_PRODUCTOS'!$B$2:$B$501,0))="",INDEX('04_PRODUCTOS'!$E$2:$E$501,MATCH(F342,'04_PRODUCTOS'!$B$2:$B$501,0)),INDEX('04_PRODUCTOS'!$F$2:$F$501,MATCH(F342,'04_PRODUCTOS'!$B$2:$B$501,0))),IF(E342="Especial",IF(INDEX('04_PRODUCTOS'!$G$2:$G$501,MATCH(F342,'04_PRODUCTOS'!$B$2:$B$501,0))="",INDEX('04_PRODUCTOS'!$E$2:$E$501,MATCH(F342,'04_PRODUCTOS'!$B$2:$B$501,0)),INDEX('04_PRODUCTOS'!$G$2:$G$501,MATCH(F342,'04_PRODUCTOS'!$B$2:$B$501,0))),INDEX('04_PRODUCTOS'!$E$2:$E$501,MATCH(F342,'04_PRODUCTOS'!$B$2:$B$501,0)))),"")</f>
        <v/>
      </c>
      <c r="I342" s="3" t="str">
        <f t="shared" si="33"/>
        <v/>
      </c>
      <c r="J342" s="3" t="str">
        <f>IFERROR(IF(INDEX('04_PRODUCTOS'!$D$2:$D$501,MATCH(F342,'04_PRODUCTOS'!$B$2:$B$501,0))="","",I342-(G342*INDEX('04_PRODUCTOS'!$D$2:$D$501,MATCH(F342,'04_PRODUCTOS'!$B$2:$B$501,0)))),"")</f>
        <v/>
      </c>
      <c r="K342" s="7" t="str">
        <f t="shared" si="34"/>
        <v/>
      </c>
      <c r="O342" t="str">
        <f>IF(D342="","",IFERROR(INDEX('03_CLIENTES'!$A$2:$A$501,MATCH(D342,'03_CLIENTES'!$B$2:$B$501,0)),""))</f>
        <v/>
      </c>
      <c r="P342" t="str">
        <f>IF(F342="","",IFERROR(INDEX('04_PRODUCTOS'!$A$2:$A$501,MATCH(F342,'04_PRODUCTOS'!$B$2:$B$501,0)),""))</f>
        <v/>
      </c>
      <c r="Q342" t="str">
        <f t="shared" si="35"/>
        <v/>
      </c>
    </row>
    <row r="343" spans="1:17" x14ac:dyDescent="0.25">
      <c r="A343" t="str">
        <f t="shared" si="30"/>
        <v/>
      </c>
      <c r="B343" s="4" t="str">
        <f t="shared" ca="1" si="31"/>
        <v/>
      </c>
      <c r="C343" s="5" t="str">
        <f t="shared" ca="1" si="32"/>
        <v/>
      </c>
      <c r="G343" s="6"/>
      <c r="H343" s="3" t="str">
        <f>IFERROR(IF(E343="Mayorista",IF(INDEX('04_PRODUCTOS'!$F$2:$F$501,MATCH(F343,'04_PRODUCTOS'!$B$2:$B$501,0))="",INDEX('04_PRODUCTOS'!$E$2:$E$501,MATCH(F343,'04_PRODUCTOS'!$B$2:$B$501,0)),INDEX('04_PRODUCTOS'!$F$2:$F$501,MATCH(F343,'04_PRODUCTOS'!$B$2:$B$501,0))),IF(E343="Especial",IF(INDEX('04_PRODUCTOS'!$G$2:$G$501,MATCH(F343,'04_PRODUCTOS'!$B$2:$B$501,0))="",INDEX('04_PRODUCTOS'!$E$2:$E$501,MATCH(F343,'04_PRODUCTOS'!$B$2:$B$501,0)),INDEX('04_PRODUCTOS'!$G$2:$G$501,MATCH(F343,'04_PRODUCTOS'!$B$2:$B$501,0))),INDEX('04_PRODUCTOS'!$E$2:$E$501,MATCH(F343,'04_PRODUCTOS'!$B$2:$B$501,0)))),"")</f>
        <v/>
      </c>
      <c r="I343" s="3" t="str">
        <f t="shared" si="33"/>
        <v/>
      </c>
      <c r="J343" s="3" t="str">
        <f>IFERROR(IF(INDEX('04_PRODUCTOS'!$D$2:$D$501,MATCH(F343,'04_PRODUCTOS'!$B$2:$B$501,0))="","",I343-(G343*INDEX('04_PRODUCTOS'!$D$2:$D$501,MATCH(F343,'04_PRODUCTOS'!$B$2:$B$501,0)))),"")</f>
        <v/>
      </c>
      <c r="K343" s="7" t="str">
        <f t="shared" si="34"/>
        <v/>
      </c>
      <c r="O343" t="str">
        <f>IF(D343="","",IFERROR(INDEX('03_CLIENTES'!$A$2:$A$501,MATCH(D343,'03_CLIENTES'!$B$2:$B$501,0)),""))</f>
        <v/>
      </c>
      <c r="P343" t="str">
        <f>IF(F343="","",IFERROR(INDEX('04_PRODUCTOS'!$A$2:$A$501,MATCH(F343,'04_PRODUCTOS'!$B$2:$B$501,0)),""))</f>
        <v/>
      </c>
      <c r="Q343" t="str">
        <f t="shared" si="35"/>
        <v/>
      </c>
    </row>
    <row r="344" spans="1:17" x14ac:dyDescent="0.25">
      <c r="A344" t="str">
        <f t="shared" si="30"/>
        <v/>
      </c>
      <c r="B344" s="4" t="str">
        <f t="shared" ca="1" si="31"/>
        <v/>
      </c>
      <c r="C344" s="5" t="str">
        <f t="shared" ca="1" si="32"/>
        <v/>
      </c>
      <c r="G344" s="6"/>
      <c r="H344" s="3" t="str">
        <f>IFERROR(IF(E344="Mayorista",IF(INDEX('04_PRODUCTOS'!$F$2:$F$501,MATCH(F344,'04_PRODUCTOS'!$B$2:$B$501,0))="",INDEX('04_PRODUCTOS'!$E$2:$E$501,MATCH(F344,'04_PRODUCTOS'!$B$2:$B$501,0)),INDEX('04_PRODUCTOS'!$F$2:$F$501,MATCH(F344,'04_PRODUCTOS'!$B$2:$B$501,0))),IF(E344="Especial",IF(INDEX('04_PRODUCTOS'!$G$2:$G$501,MATCH(F344,'04_PRODUCTOS'!$B$2:$B$501,0))="",INDEX('04_PRODUCTOS'!$E$2:$E$501,MATCH(F344,'04_PRODUCTOS'!$B$2:$B$501,0)),INDEX('04_PRODUCTOS'!$G$2:$G$501,MATCH(F344,'04_PRODUCTOS'!$B$2:$B$501,0))),INDEX('04_PRODUCTOS'!$E$2:$E$501,MATCH(F344,'04_PRODUCTOS'!$B$2:$B$501,0)))),"")</f>
        <v/>
      </c>
      <c r="I344" s="3" t="str">
        <f t="shared" si="33"/>
        <v/>
      </c>
      <c r="J344" s="3" t="str">
        <f>IFERROR(IF(INDEX('04_PRODUCTOS'!$D$2:$D$501,MATCH(F344,'04_PRODUCTOS'!$B$2:$B$501,0))="","",I344-(G344*INDEX('04_PRODUCTOS'!$D$2:$D$501,MATCH(F344,'04_PRODUCTOS'!$B$2:$B$501,0)))),"")</f>
        <v/>
      </c>
      <c r="K344" s="7" t="str">
        <f t="shared" si="34"/>
        <v/>
      </c>
      <c r="O344" t="str">
        <f>IF(D344="","",IFERROR(INDEX('03_CLIENTES'!$A$2:$A$501,MATCH(D344,'03_CLIENTES'!$B$2:$B$501,0)),""))</f>
        <v/>
      </c>
      <c r="P344" t="str">
        <f>IF(F344="","",IFERROR(INDEX('04_PRODUCTOS'!$A$2:$A$501,MATCH(F344,'04_PRODUCTOS'!$B$2:$B$501,0)),""))</f>
        <v/>
      </c>
      <c r="Q344" t="str">
        <f t="shared" si="35"/>
        <v/>
      </c>
    </row>
    <row r="345" spans="1:17" x14ac:dyDescent="0.25">
      <c r="A345" t="str">
        <f t="shared" si="30"/>
        <v/>
      </c>
      <c r="B345" s="4" t="str">
        <f t="shared" ca="1" si="31"/>
        <v/>
      </c>
      <c r="C345" s="5" t="str">
        <f t="shared" ca="1" si="32"/>
        <v/>
      </c>
      <c r="G345" s="6"/>
      <c r="H345" s="3" t="str">
        <f>IFERROR(IF(E345="Mayorista",IF(INDEX('04_PRODUCTOS'!$F$2:$F$501,MATCH(F345,'04_PRODUCTOS'!$B$2:$B$501,0))="",INDEX('04_PRODUCTOS'!$E$2:$E$501,MATCH(F345,'04_PRODUCTOS'!$B$2:$B$501,0)),INDEX('04_PRODUCTOS'!$F$2:$F$501,MATCH(F345,'04_PRODUCTOS'!$B$2:$B$501,0))),IF(E345="Especial",IF(INDEX('04_PRODUCTOS'!$G$2:$G$501,MATCH(F345,'04_PRODUCTOS'!$B$2:$B$501,0))="",INDEX('04_PRODUCTOS'!$E$2:$E$501,MATCH(F345,'04_PRODUCTOS'!$B$2:$B$501,0)),INDEX('04_PRODUCTOS'!$G$2:$G$501,MATCH(F345,'04_PRODUCTOS'!$B$2:$B$501,0))),INDEX('04_PRODUCTOS'!$E$2:$E$501,MATCH(F345,'04_PRODUCTOS'!$B$2:$B$501,0)))),"")</f>
        <v/>
      </c>
      <c r="I345" s="3" t="str">
        <f t="shared" si="33"/>
        <v/>
      </c>
      <c r="J345" s="3" t="str">
        <f>IFERROR(IF(INDEX('04_PRODUCTOS'!$D$2:$D$501,MATCH(F345,'04_PRODUCTOS'!$B$2:$B$501,0))="","",I345-(G345*INDEX('04_PRODUCTOS'!$D$2:$D$501,MATCH(F345,'04_PRODUCTOS'!$B$2:$B$501,0)))),"")</f>
        <v/>
      </c>
      <c r="K345" s="7" t="str">
        <f t="shared" si="34"/>
        <v/>
      </c>
      <c r="O345" t="str">
        <f>IF(D345="","",IFERROR(INDEX('03_CLIENTES'!$A$2:$A$501,MATCH(D345,'03_CLIENTES'!$B$2:$B$501,0)),""))</f>
        <v/>
      </c>
      <c r="P345" t="str">
        <f>IF(F345="","",IFERROR(INDEX('04_PRODUCTOS'!$A$2:$A$501,MATCH(F345,'04_PRODUCTOS'!$B$2:$B$501,0)),""))</f>
        <v/>
      </c>
      <c r="Q345" t="str">
        <f t="shared" si="35"/>
        <v/>
      </c>
    </row>
    <row r="346" spans="1:17" x14ac:dyDescent="0.25">
      <c r="A346" t="str">
        <f t="shared" si="30"/>
        <v/>
      </c>
      <c r="B346" s="4" t="str">
        <f t="shared" ca="1" si="31"/>
        <v/>
      </c>
      <c r="C346" s="5" t="str">
        <f t="shared" ca="1" si="32"/>
        <v/>
      </c>
      <c r="G346" s="6"/>
      <c r="H346" s="3" t="str">
        <f>IFERROR(IF(E346="Mayorista",IF(INDEX('04_PRODUCTOS'!$F$2:$F$501,MATCH(F346,'04_PRODUCTOS'!$B$2:$B$501,0))="",INDEX('04_PRODUCTOS'!$E$2:$E$501,MATCH(F346,'04_PRODUCTOS'!$B$2:$B$501,0)),INDEX('04_PRODUCTOS'!$F$2:$F$501,MATCH(F346,'04_PRODUCTOS'!$B$2:$B$501,0))),IF(E346="Especial",IF(INDEX('04_PRODUCTOS'!$G$2:$G$501,MATCH(F346,'04_PRODUCTOS'!$B$2:$B$501,0))="",INDEX('04_PRODUCTOS'!$E$2:$E$501,MATCH(F346,'04_PRODUCTOS'!$B$2:$B$501,0)),INDEX('04_PRODUCTOS'!$G$2:$G$501,MATCH(F346,'04_PRODUCTOS'!$B$2:$B$501,0))),INDEX('04_PRODUCTOS'!$E$2:$E$501,MATCH(F346,'04_PRODUCTOS'!$B$2:$B$501,0)))),"")</f>
        <v/>
      </c>
      <c r="I346" s="3" t="str">
        <f t="shared" si="33"/>
        <v/>
      </c>
      <c r="J346" s="3" t="str">
        <f>IFERROR(IF(INDEX('04_PRODUCTOS'!$D$2:$D$501,MATCH(F346,'04_PRODUCTOS'!$B$2:$B$501,0))="","",I346-(G346*INDEX('04_PRODUCTOS'!$D$2:$D$501,MATCH(F346,'04_PRODUCTOS'!$B$2:$B$501,0)))),"")</f>
        <v/>
      </c>
      <c r="K346" s="7" t="str">
        <f t="shared" si="34"/>
        <v/>
      </c>
      <c r="O346" t="str">
        <f>IF(D346="","",IFERROR(INDEX('03_CLIENTES'!$A$2:$A$501,MATCH(D346,'03_CLIENTES'!$B$2:$B$501,0)),""))</f>
        <v/>
      </c>
      <c r="P346" t="str">
        <f>IF(F346="","",IFERROR(INDEX('04_PRODUCTOS'!$A$2:$A$501,MATCH(F346,'04_PRODUCTOS'!$B$2:$B$501,0)),""))</f>
        <v/>
      </c>
      <c r="Q346" t="str">
        <f t="shared" si="35"/>
        <v/>
      </c>
    </row>
    <row r="347" spans="1:17" x14ac:dyDescent="0.25">
      <c r="A347" t="str">
        <f t="shared" si="30"/>
        <v/>
      </c>
      <c r="B347" s="4" t="str">
        <f t="shared" ca="1" si="31"/>
        <v/>
      </c>
      <c r="C347" s="5" t="str">
        <f t="shared" ca="1" si="32"/>
        <v/>
      </c>
      <c r="G347" s="6"/>
      <c r="H347" s="3" t="str">
        <f>IFERROR(IF(E347="Mayorista",IF(INDEX('04_PRODUCTOS'!$F$2:$F$501,MATCH(F347,'04_PRODUCTOS'!$B$2:$B$501,0))="",INDEX('04_PRODUCTOS'!$E$2:$E$501,MATCH(F347,'04_PRODUCTOS'!$B$2:$B$501,0)),INDEX('04_PRODUCTOS'!$F$2:$F$501,MATCH(F347,'04_PRODUCTOS'!$B$2:$B$501,0))),IF(E347="Especial",IF(INDEX('04_PRODUCTOS'!$G$2:$G$501,MATCH(F347,'04_PRODUCTOS'!$B$2:$B$501,0))="",INDEX('04_PRODUCTOS'!$E$2:$E$501,MATCH(F347,'04_PRODUCTOS'!$B$2:$B$501,0)),INDEX('04_PRODUCTOS'!$G$2:$G$501,MATCH(F347,'04_PRODUCTOS'!$B$2:$B$501,0))),INDEX('04_PRODUCTOS'!$E$2:$E$501,MATCH(F347,'04_PRODUCTOS'!$B$2:$B$501,0)))),"")</f>
        <v/>
      </c>
      <c r="I347" s="3" t="str">
        <f t="shared" si="33"/>
        <v/>
      </c>
      <c r="J347" s="3" t="str">
        <f>IFERROR(IF(INDEX('04_PRODUCTOS'!$D$2:$D$501,MATCH(F347,'04_PRODUCTOS'!$B$2:$B$501,0))="","",I347-(G347*INDEX('04_PRODUCTOS'!$D$2:$D$501,MATCH(F347,'04_PRODUCTOS'!$B$2:$B$501,0)))),"")</f>
        <v/>
      </c>
      <c r="K347" s="7" t="str">
        <f t="shared" si="34"/>
        <v/>
      </c>
      <c r="O347" t="str">
        <f>IF(D347="","",IFERROR(INDEX('03_CLIENTES'!$A$2:$A$501,MATCH(D347,'03_CLIENTES'!$B$2:$B$501,0)),""))</f>
        <v/>
      </c>
      <c r="P347" t="str">
        <f>IF(F347="","",IFERROR(INDEX('04_PRODUCTOS'!$A$2:$A$501,MATCH(F347,'04_PRODUCTOS'!$B$2:$B$501,0)),""))</f>
        <v/>
      </c>
      <c r="Q347" t="str">
        <f t="shared" si="35"/>
        <v/>
      </c>
    </row>
    <row r="348" spans="1:17" x14ac:dyDescent="0.25">
      <c r="A348" t="str">
        <f t="shared" si="30"/>
        <v/>
      </c>
      <c r="B348" s="4" t="str">
        <f t="shared" ca="1" si="31"/>
        <v/>
      </c>
      <c r="C348" s="5" t="str">
        <f t="shared" ca="1" si="32"/>
        <v/>
      </c>
      <c r="G348" s="6"/>
      <c r="H348" s="3" t="str">
        <f>IFERROR(IF(E348="Mayorista",IF(INDEX('04_PRODUCTOS'!$F$2:$F$501,MATCH(F348,'04_PRODUCTOS'!$B$2:$B$501,0))="",INDEX('04_PRODUCTOS'!$E$2:$E$501,MATCH(F348,'04_PRODUCTOS'!$B$2:$B$501,0)),INDEX('04_PRODUCTOS'!$F$2:$F$501,MATCH(F348,'04_PRODUCTOS'!$B$2:$B$501,0))),IF(E348="Especial",IF(INDEX('04_PRODUCTOS'!$G$2:$G$501,MATCH(F348,'04_PRODUCTOS'!$B$2:$B$501,0))="",INDEX('04_PRODUCTOS'!$E$2:$E$501,MATCH(F348,'04_PRODUCTOS'!$B$2:$B$501,0)),INDEX('04_PRODUCTOS'!$G$2:$G$501,MATCH(F348,'04_PRODUCTOS'!$B$2:$B$501,0))),INDEX('04_PRODUCTOS'!$E$2:$E$501,MATCH(F348,'04_PRODUCTOS'!$B$2:$B$501,0)))),"")</f>
        <v/>
      </c>
      <c r="I348" s="3" t="str">
        <f t="shared" si="33"/>
        <v/>
      </c>
      <c r="J348" s="3" t="str">
        <f>IFERROR(IF(INDEX('04_PRODUCTOS'!$D$2:$D$501,MATCH(F348,'04_PRODUCTOS'!$B$2:$B$501,0))="","",I348-(G348*INDEX('04_PRODUCTOS'!$D$2:$D$501,MATCH(F348,'04_PRODUCTOS'!$B$2:$B$501,0)))),"")</f>
        <v/>
      </c>
      <c r="K348" s="7" t="str">
        <f t="shared" si="34"/>
        <v/>
      </c>
      <c r="O348" t="str">
        <f>IF(D348="","",IFERROR(INDEX('03_CLIENTES'!$A$2:$A$501,MATCH(D348,'03_CLIENTES'!$B$2:$B$501,0)),""))</f>
        <v/>
      </c>
      <c r="P348" t="str">
        <f>IF(F348="","",IFERROR(INDEX('04_PRODUCTOS'!$A$2:$A$501,MATCH(F348,'04_PRODUCTOS'!$B$2:$B$501,0)),""))</f>
        <v/>
      </c>
      <c r="Q348" t="str">
        <f t="shared" si="35"/>
        <v/>
      </c>
    </row>
    <row r="349" spans="1:17" x14ac:dyDescent="0.25">
      <c r="A349" t="str">
        <f t="shared" si="30"/>
        <v/>
      </c>
      <c r="B349" s="4" t="str">
        <f t="shared" ca="1" si="31"/>
        <v/>
      </c>
      <c r="C349" s="5" t="str">
        <f t="shared" ca="1" si="32"/>
        <v/>
      </c>
      <c r="G349" s="6"/>
      <c r="H349" s="3" t="str">
        <f>IFERROR(IF(E349="Mayorista",IF(INDEX('04_PRODUCTOS'!$F$2:$F$501,MATCH(F349,'04_PRODUCTOS'!$B$2:$B$501,0))="",INDEX('04_PRODUCTOS'!$E$2:$E$501,MATCH(F349,'04_PRODUCTOS'!$B$2:$B$501,0)),INDEX('04_PRODUCTOS'!$F$2:$F$501,MATCH(F349,'04_PRODUCTOS'!$B$2:$B$501,0))),IF(E349="Especial",IF(INDEX('04_PRODUCTOS'!$G$2:$G$501,MATCH(F349,'04_PRODUCTOS'!$B$2:$B$501,0))="",INDEX('04_PRODUCTOS'!$E$2:$E$501,MATCH(F349,'04_PRODUCTOS'!$B$2:$B$501,0)),INDEX('04_PRODUCTOS'!$G$2:$G$501,MATCH(F349,'04_PRODUCTOS'!$B$2:$B$501,0))),INDEX('04_PRODUCTOS'!$E$2:$E$501,MATCH(F349,'04_PRODUCTOS'!$B$2:$B$501,0)))),"")</f>
        <v/>
      </c>
      <c r="I349" s="3" t="str">
        <f t="shared" si="33"/>
        <v/>
      </c>
      <c r="J349" s="3" t="str">
        <f>IFERROR(IF(INDEX('04_PRODUCTOS'!$D$2:$D$501,MATCH(F349,'04_PRODUCTOS'!$B$2:$B$501,0))="","",I349-(G349*INDEX('04_PRODUCTOS'!$D$2:$D$501,MATCH(F349,'04_PRODUCTOS'!$B$2:$B$501,0)))),"")</f>
        <v/>
      </c>
      <c r="K349" s="7" t="str">
        <f t="shared" si="34"/>
        <v/>
      </c>
      <c r="O349" t="str">
        <f>IF(D349="","",IFERROR(INDEX('03_CLIENTES'!$A$2:$A$501,MATCH(D349,'03_CLIENTES'!$B$2:$B$501,0)),""))</f>
        <v/>
      </c>
      <c r="P349" t="str">
        <f>IF(F349="","",IFERROR(INDEX('04_PRODUCTOS'!$A$2:$A$501,MATCH(F349,'04_PRODUCTOS'!$B$2:$B$501,0)),""))</f>
        <v/>
      </c>
      <c r="Q349" t="str">
        <f t="shared" si="35"/>
        <v/>
      </c>
    </row>
    <row r="350" spans="1:17" x14ac:dyDescent="0.25">
      <c r="A350" t="str">
        <f t="shared" si="30"/>
        <v/>
      </c>
      <c r="B350" s="4" t="str">
        <f t="shared" ca="1" si="31"/>
        <v/>
      </c>
      <c r="C350" s="5" t="str">
        <f t="shared" ca="1" si="32"/>
        <v/>
      </c>
      <c r="G350" s="6"/>
      <c r="H350" s="3" t="str">
        <f>IFERROR(IF(E350="Mayorista",IF(INDEX('04_PRODUCTOS'!$F$2:$F$501,MATCH(F350,'04_PRODUCTOS'!$B$2:$B$501,0))="",INDEX('04_PRODUCTOS'!$E$2:$E$501,MATCH(F350,'04_PRODUCTOS'!$B$2:$B$501,0)),INDEX('04_PRODUCTOS'!$F$2:$F$501,MATCH(F350,'04_PRODUCTOS'!$B$2:$B$501,0))),IF(E350="Especial",IF(INDEX('04_PRODUCTOS'!$G$2:$G$501,MATCH(F350,'04_PRODUCTOS'!$B$2:$B$501,0))="",INDEX('04_PRODUCTOS'!$E$2:$E$501,MATCH(F350,'04_PRODUCTOS'!$B$2:$B$501,0)),INDEX('04_PRODUCTOS'!$G$2:$G$501,MATCH(F350,'04_PRODUCTOS'!$B$2:$B$501,0))),INDEX('04_PRODUCTOS'!$E$2:$E$501,MATCH(F350,'04_PRODUCTOS'!$B$2:$B$501,0)))),"")</f>
        <v/>
      </c>
      <c r="I350" s="3" t="str">
        <f t="shared" si="33"/>
        <v/>
      </c>
      <c r="J350" s="3" t="str">
        <f>IFERROR(IF(INDEX('04_PRODUCTOS'!$D$2:$D$501,MATCH(F350,'04_PRODUCTOS'!$B$2:$B$501,0))="","",I350-(G350*INDEX('04_PRODUCTOS'!$D$2:$D$501,MATCH(F350,'04_PRODUCTOS'!$B$2:$B$501,0)))),"")</f>
        <v/>
      </c>
      <c r="K350" s="7" t="str">
        <f t="shared" si="34"/>
        <v/>
      </c>
      <c r="O350" t="str">
        <f>IF(D350="","",IFERROR(INDEX('03_CLIENTES'!$A$2:$A$501,MATCH(D350,'03_CLIENTES'!$B$2:$B$501,0)),""))</f>
        <v/>
      </c>
      <c r="P350" t="str">
        <f>IF(F350="","",IFERROR(INDEX('04_PRODUCTOS'!$A$2:$A$501,MATCH(F350,'04_PRODUCTOS'!$B$2:$B$501,0)),""))</f>
        <v/>
      </c>
      <c r="Q350" t="str">
        <f t="shared" si="35"/>
        <v/>
      </c>
    </row>
    <row r="351" spans="1:17" x14ac:dyDescent="0.25">
      <c r="A351" t="str">
        <f t="shared" si="30"/>
        <v/>
      </c>
      <c r="B351" s="4" t="str">
        <f t="shared" ca="1" si="31"/>
        <v/>
      </c>
      <c r="C351" s="5" t="str">
        <f t="shared" ca="1" si="32"/>
        <v/>
      </c>
      <c r="G351" s="6"/>
      <c r="H351" s="3" t="str">
        <f>IFERROR(IF(E351="Mayorista",IF(INDEX('04_PRODUCTOS'!$F$2:$F$501,MATCH(F351,'04_PRODUCTOS'!$B$2:$B$501,0))="",INDEX('04_PRODUCTOS'!$E$2:$E$501,MATCH(F351,'04_PRODUCTOS'!$B$2:$B$501,0)),INDEX('04_PRODUCTOS'!$F$2:$F$501,MATCH(F351,'04_PRODUCTOS'!$B$2:$B$501,0))),IF(E351="Especial",IF(INDEX('04_PRODUCTOS'!$G$2:$G$501,MATCH(F351,'04_PRODUCTOS'!$B$2:$B$501,0))="",INDEX('04_PRODUCTOS'!$E$2:$E$501,MATCH(F351,'04_PRODUCTOS'!$B$2:$B$501,0)),INDEX('04_PRODUCTOS'!$G$2:$G$501,MATCH(F351,'04_PRODUCTOS'!$B$2:$B$501,0))),INDEX('04_PRODUCTOS'!$E$2:$E$501,MATCH(F351,'04_PRODUCTOS'!$B$2:$B$501,0)))),"")</f>
        <v/>
      </c>
      <c r="I351" s="3" t="str">
        <f t="shared" si="33"/>
        <v/>
      </c>
      <c r="J351" s="3" t="str">
        <f>IFERROR(IF(INDEX('04_PRODUCTOS'!$D$2:$D$501,MATCH(F351,'04_PRODUCTOS'!$B$2:$B$501,0))="","",I351-(G351*INDEX('04_PRODUCTOS'!$D$2:$D$501,MATCH(F351,'04_PRODUCTOS'!$B$2:$B$501,0)))),"")</f>
        <v/>
      </c>
      <c r="K351" s="7" t="str">
        <f t="shared" si="34"/>
        <v/>
      </c>
      <c r="O351" t="str">
        <f>IF(D351="","",IFERROR(INDEX('03_CLIENTES'!$A$2:$A$501,MATCH(D351,'03_CLIENTES'!$B$2:$B$501,0)),""))</f>
        <v/>
      </c>
      <c r="P351" t="str">
        <f>IF(F351="","",IFERROR(INDEX('04_PRODUCTOS'!$A$2:$A$501,MATCH(F351,'04_PRODUCTOS'!$B$2:$B$501,0)),""))</f>
        <v/>
      </c>
      <c r="Q351" t="str">
        <f t="shared" si="35"/>
        <v/>
      </c>
    </row>
    <row r="352" spans="1:17" x14ac:dyDescent="0.25">
      <c r="A352" t="str">
        <f t="shared" si="30"/>
        <v/>
      </c>
      <c r="B352" s="4" t="str">
        <f t="shared" ca="1" si="31"/>
        <v/>
      </c>
      <c r="C352" s="5" t="str">
        <f t="shared" ca="1" si="32"/>
        <v/>
      </c>
      <c r="G352" s="6"/>
      <c r="H352" s="3" t="str">
        <f>IFERROR(IF(E352="Mayorista",IF(INDEX('04_PRODUCTOS'!$F$2:$F$501,MATCH(F352,'04_PRODUCTOS'!$B$2:$B$501,0))="",INDEX('04_PRODUCTOS'!$E$2:$E$501,MATCH(F352,'04_PRODUCTOS'!$B$2:$B$501,0)),INDEX('04_PRODUCTOS'!$F$2:$F$501,MATCH(F352,'04_PRODUCTOS'!$B$2:$B$501,0))),IF(E352="Especial",IF(INDEX('04_PRODUCTOS'!$G$2:$G$501,MATCH(F352,'04_PRODUCTOS'!$B$2:$B$501,0))="",INDEX('04_PRODUCTOS'!$E$2:$E$501,MATCH(F352,'04_PRODUCTOS'!$B$2:$B$501,0)),INDEX('04_PRODUCTOS'!$G$2:$G$501,MATCH(F352,'04_PRODUCTOS'!$B$2:$B$501,0))),INDEX('04_PRODUCTOS'!$E$2:$E$501,MATCH(F352,'04_PRODUCTOS'!$B$2:$B$501,0)))),"")</f>
        <v/>
      </c>
      <c r="I352" s="3" t="str">
        <f t="shared" si="33"/>
        <v/>
      </c>
      <c r="J352" s="3" t="str">
        <f>IFERROR(IF(INDEX('04_PRODUCTOS'!$D$2:$D$501,MATCH(F352,'04_PRODUCTOS'!$B$2:$B$501,0))="","",I352-(G352*INDEX('04_PRODUCTOS'!$D$2:$D$501,MATCH(F352,'04_PRODUCTOS'!$B$2:$B$501,0)))),"")</f>
        <v/>
      </c>
      <c r="K352" s="7" t="str">
        <f t="shared" si="34"/>
        <v/>
      </c>
      <c r="O352" t="str">
        <f>IF(D352="","",IFERROR(INDEX('03_CLIENTES'!$A$2:$A$501,MATCH(D352,'03_CLIENTES'!$B$2:$B$501,0)),""))</f>
        <v/>
      </c>
      <c r="P352" t="str">
        <f>IF(F352="","",IFERROR(INDEX('04_PRODUCTOS'!$A$2:$A$501,MATCH(F352,'04_PRODUCTOS'!$B$2:$B$501,0)),""))</f>
        <v/>
      </c>
      <c r="Q352" t="str">
        <f t="shared" si="35"/>
        <v/>
      </c>
    </row>
    <row r="353" spans="1:17" x14ac:dyDescent="0.25">
      <c r="A353" t="str">
        <f t="shared" si="30"/>
        <v/>
      </c>
      <c r="B353" s="4" t="str">
        <f t="shared" ca="1" si="31"/>
        <v/>
      </c>
      <c r="C353" s="5" t="str">
        <f t="shared" ca="1" si="32"/>
        <v/>
      </c>
      <c r="G353" s="6"/>
      <c r="H353" s="3" t="str">
        <f>IFERROR(IF(E353="Mayorista",IF(INDEX('04_PRODUCTOS'!$F$2:$F$501,MATCH(F353,'04_PRODUCTOS'!$B$2:$B$501,0))="",INDEX('04_PRODUCTOS'!$E$2:$E$501,MATCH(F353,'04_PRODUCTOS'!$B$2:$B$501,0)),INDEX('04_PRODUCTOS'!$F$2:$F$501,MATCH(F353,'04_PRODUCTOS'!$B$2:$B$501,0))),IF(E353="Especial",IF(INDEX('04_PRODUCTOS'!$G$2:$G$501,MATCH(F353,'04_PRODUCTOS'!$B$2:$B$501,0))="",INDEX('04_PRODUCTOS'!$E$2:$E$501,MATCH(F353,'04_PRODUCTOS'!$B$2:$B$501,0)),INDEX('04_PRODUCTOS'!$G$2:$G$501,MATCH(F353,'04_PRODUCTOS'!$B$2:$B$501,0))),INDEX('04_PRODUCTOS'!$E$2:$E$501,MATCH(F353,'04_PRODUCTOS'!$B$2:$B$501,0)))),"")</f>
        <v/>
      </c>
      <c r="I353" s="3" t="str">
        <f t="shared" si="33"/>
        <v/>
      </c>
      <c r="J353" s="3" t="str">
        <f>IFERROR(IF(INDEX('04_PRODUCTOS'!$D$2:$D$501,MATCH(F353,'04_PRODUCTOS'!$B$2:$B$501,0))="","",I353-(G353*INDEX('04_PRODUCTOS'!$D$2:$D$501,MATCH(F353,'04_PRODUCTOS'!$B$2:$B$501,0)))),"")</f>
        <v/>
      </c>
      <c r="K353" s="7" t="str">
        <f t="shared" si="34"/>
        <v/>
      </c>
      <c r="O353" t="str">
        <f>IF(D353="","",IFERROR(INDEX('03_CLIENTES'!$A$2:$A$501,MATCH(D353,'03_CLIENTES'!$B$2:$B$501,0)),""))</f>
        <v/>
      </c>
      <c r="P353" t="str">
        <f>IF(F353="","",IFERROR(INDEX('04_PRODUCTOS'!$A$2:$A$501,MATCH(F353,'04_PRODUCTOS'!$B$2:$B$501,0)),""))</f>
        <v/>
      </c>
      <c r="Q353" t="str">
        <f t="shared" si="35"/>
        <v/>
      </c>
    </row>
    <row r="354" spans="1:17" x14ac:dyDescent="0.25">
      <c r="A354" t="str">
        <f t="shared" si="30"/>
        <v/>
      </c>
      <c r="B354" s="4" t="str">
        <f t="shared" ca="1" si="31"/>
        <v/>
      </c>
      <c r="C354" s="5" t="str">
        <f t="shared" ca="1" si="32"/>
        <v/>
      </c>
      <c r="G354" s="6"/>
      <c r="H354" s="3" t="str">
        <f>IFERROR(IF(E354="Mayorista",IF(INDEX('04_PRODUCTOS'!$F$2:$F$501,MATCH(F354,'04_PRODUCTOS'!$B$2:$B$501,0))="",INDEX('04_PRODUCTOS'!$E$2:$E$501,MATCH(F354,'04_PRODUCTOS'!$B$2:$B$501,0)),INDEX('04_PRODUCTOS'!$F$2:$F$501,MATCH(F354,'04_PRODUCTOS'!$B$2:$B$501,0))),IF(E354="Especial",IF(INDEX('04_PRODUCTOS'!$G$2:$G$501,MATCH(F354,'04_PRODUCTOS'!$B$2:$B$501,0))="",INDEX('04_PRODUCTOS'!$E$2:$E$501,MATCH(F354,'04_PRODUCTOS'!$B$2:$B$501,0)),INDEX('04_PRODUCTOS'!$G$2:$G$501,MATCH(F354,'04_PRODUCTOS'!$B$2:$B$501,0))),INDEX('04_PRODUCTOS'!$E$2:$E$501,MATCH(F354,'04_PRODUCTOS'!$B$2:$B$501,0)))),"")</f>
        <v/>
      </c>
      <c r="I354" s="3" t="str">
        <f t="shared" si="33"/>
        <v/>
      </c>
      <c r="J354" s="3" t="str">
        <f>IFERROR(IF(INDEX('04_PRODUCTOS'!$D$2:$D$501,MATCH(F354,'04_PRODUCTOS'!$B$2:$B$501,0))="","",I354-(G354*INDEX('04_PRODUCTOS'!$D$2:$D$501,MATCH(F354,'04_PRODUCTOS'!$B$2:$B$501,0)))),"")</f>
        <v/>
      </c>
      <c r="K354" s="7" t="str">
        <f t="shared" si="34"/>
        <v/>
      </c>
      <c r="O354" t="str">
        <f>IF(D354="","",IFERROR(INDEX('03_CLIENTES'!$A$2:$A$501,MATCH(D354,'03_CLIENTES'!$B$2:$B$501,0)),""))</f>
        <v/>
      </c>
      <c r="P354" t="str">
        <f>IF(F354="","",IFERROR(INDEX('04_PRODUCTOS'!$A$2:$A$501,MATCH(F354,'04_PRODUCTOS'!$B$2:$B$501,0)),""))</f>
        <v/>
      </c>
      <c r="Q354" t="str">
        <f t="shared" si="35"/>
        <v/>
      </c>
    </row>
    <row r="355" spans="1:17" x14ac:dyDescent="0.25">
      <c r="A355" t="str">
        <f t="shared" si="30"/>
        <v/>
      </c>
      <c r="B355" s="4" t="str">
        <f t="shared" ca="1" si="31"/>
        <v/>
      </c>
      <c r="C355" s="5" t="str">
        <f t="shared" ca="1" si="32"/>
        <v/>
      </c>
      <c r="G355" s="6"/>
      <c r="H355" s="3" t="str">
        <f>IFERROR(IF(E355="Mayorista",IF(INDEX('04_PRODUCTOS'!$F$2:$F$501,MATCH(F355,'04_PRODUCTOS'!$B$2:$B$501,0))="",INDEX('04_PRODUCTOS'!$E$2:$E$501,MATCH(F355,'04_PRODUCTOS'!$B$2:$B$501,0)),INDEX('04_PRODUCTOS'!$F$2:$F$501,MATCH(F355,'04_PRODUCTOS'!$B$2:$B$501,0))),IF(E355="Especial",IF(INDEX('04_PRODUCTOS'!$G$2:$G$501,MATCH(F355,'04_PRODUCTOS'!$B$2:$B$501,0))="",INDEX('04_PRODUCTOS'!$E$2:$E$501,MATCH(F355,'04_PRODUCTOS'!$B$2:$B$501,0)),INDEX('04_PRODUCTOS'!$G$2:$G$501,MATCH(F355,'04_PRODUCTOS'!$B$2:$B$501,0))),INDEX('04_PRODUCTOS'!$E$2:$E$501,MATCH(F355,'04_PRODUCTOS'!$B$2:$B$501,0)))),"")</f>
        <v/>
      </c>
      <c r="I355" s="3" t="str">
        <f t="shared" si="33"/>
        <v/>
      </c>
      <c r="J355" s="3" t="str">
        <f>IFERROR(IF(INDEX('04_PRODUCTOS'!$D$2:$D$501,MATCH(F355,'04_PRODUCTOS'!$B$2:$B$501,0))="","",I355-(G355*INDEX('04_PRODUCTOS'!$D$2:$D$501,MATCH(F355,'04_PRODUCTOS'!$B$2:$B$501,0)))),"")</f>
        <v/>
      </c>
      <c r="K355" s="7" t="str">
        <f t="shared" si="34"/>
        <v/>
      </c>
      <c r="O355" t="str">
        <f>IF(D355="","",IFERROR(INDEX('03_CLIENTES'!$A$2:$A$501,MATCH(D355,'03_CLIENTES'!$B$2:$B$501,0)),""))</f>
        <v/>
      </c>
      <c r="P355" t="str">
        <f>IF(F355="","",IFERROR(INDEX('04_PRODUCTOS'!$A$2:$A$501,MATCH(F355,'04_PRODUCTOS'!$B$2:$B$501,0)),""))</f>
        <v/>
      </c>
      <c r="Q355" t="str">
        <f t="shared" si="35"/>
        <v/>
      </c>
    </row>
    <row r="356" spans="1:17" x14ac:dyDescent="0.25">
      <c r="A356" t="str">
        <f t="shared" si="30"/>
        <v/>
      </c>
      <c r="B356" s="4" t="str">
        <f t="shared" ca="1" si="31"/>
        <v/>
      </c>
      <c r="C356" s="5" t="str">
        <f t="shared" ca="1" si="32"/>
        <v/>
      </c>
      <c r="G356" s="6"/>
      <c r="H356" s="3" t="str">
        <f>IFERROR(IF(E356="Mayorista",IF(INDEX('04_PRODUCTOS'!$F$2:$F$501,MATCH(F356,'04_PRODUCTOS'!$B$2:$B$501,0))="",INDEX('04_PRODUCTOS'!$E$2:$E$501,MATCH(F356,'04_PRODUCTOS'!$B$2:$B$501,0)),INDEX('04_PRODUCTOS'!$F$2:$F$501,MATCH(F356,'04_PRODUCTOS'!$B$2:$B$501,0))),IF(E356="Especial",IF(INDEX('04_PRODUCTOS'!$G$2:$G$501,MATCH(F356,'04_PRODUCTOS'!$B$2:$B$501,0))="",INDEX('04_PRODUCTOS'!$E$2:$E$501,MATCH(F356,'04_PRODUCTOS'!$B$2:$B$501,0)),INDEX('04_PRODUCTOS'!$G$2:$G$501,MATCH(F356,'04_PRODUCTOS'!$B$2:$B$501,0))),INDEX('04_PRODUCTOS'!$E$2:$E$501,MATCH(F356,'04_PRODUCTOS'!$B$2:$B$501,0)))),"")</f>
        <v/>
      </c>
      <c r="I356" s="3" t="str">
        <f t="shared" si="33"/>
        <v/>
      </c>
      <c r="J356" s="3" t="str">
        <f>IFERROR(IF(INDEX('04_PRODUCTOS'!$D$2:$D$501,MATCH(F356,'04_PRODUCTOS'!$B$2:$B$501,0))="","",I356-(G356*INDEX('04_PRODUCTOS'!$D$2:$D$501,MATCH(F356,'04_PRODUCTOS'!$B$2:$B$501,0)))),"")</f>
        <v/>
      </c>
      <c r="K356" s="7" t="str">
        <f t="shared" si="34"/>
        <v/>
      </c>
      <c r="O356" t="str">
        <f>IF(D356="","",IFERROR(INDEX('03_CLIENTES'!$A$2:$A$501,MATCH(D356,'03_CLIENTES'!$B$2:$B$501,0)),""))</f>
        <v/>
      </c>
      <c r="P356" t="str">
        <f>IF(F356="","",IFERROR(INDEX('04_PRODUCTOS'!$A$2:$A$501,MATCH(F356,'04_PRODUCTOS'!$B$2:$B$501,0)),""))</f>
        <v/>
      </c>
      <c r="Q356" t="str">
        <f t="shared" si="35"/>
        <v/>
      </c>
    </row>
    <row r="357" spans="1:17" x14ac:dyDescent="0.25">
      <c r="A357" t="str">
        <f t="shared" si="30"/>
        <v/>
      </c>
      <c r="B357" s="4" t="str">
        <f t="shared" ca="1" si="31"/>
        <v/>
      </c>
      <c r="C357" s="5" t="str">
        <f t="shared" ca="1" si="32"/>
        <v/>
      </c>
      <c r="G357" s="6"/>
      <c r="H357" s="3" t="str">
        <f>IFERROR(IF(E357="Mayorista",IF(INDEX('04_PRODUCTOS'!$F$2:$F$501,MATCH(F357,'04_PRODUCTOS'!$B$2:$B$501,0))="",INDEX('04_PRODUCTOS'!$E$2:$E$501,MATCH(F357,'04_PRODUCTOS'!$B$2:$B$501,0)),INDEX('04_PRODUCTOS'!$F$2:$F$501,MATCH(F357,'04_PRODUCTOS'!$B$2:$B$501,0))),IF(E357="Especial",IF(INDEX('04_PRODUCTOS'!$G$2:$G$501,MATCH(F357,'04_PRODUCTOS'!$B$2:$B$501,0))="",INDEX('04_PRODUCTOS'!$E$2:$E$501,MATCH(F357,'04_PRODUCTOS'!$B$2:$B$501,0)),INDEX('04_PRODUCTOS'!$G$2:$G$501,MATCH(F357,'04_PRODUCTOS'!$B$2:$B$501,0))),INDEX('04_PRODUCTOS'!$E$2:$E$501,MATCH(F357,'04_PRODUCTOS'!$B$2:$B$501,0)))),"")</f>
        <v/>
      </c>
      <c r="I357" s="3" t="str">
        <f t="shared" si="33"/>
        <v/>
      </c>
      <c r="J357" s="3" t="str">
        <f>IFERROR(IF(INDEX('04_PRODUCTOS'!$D$2:$D$501,MATCH(F357,'04_PRODUCTOS'!$B$2:$B$501,0))="","",I357-(G357*INDEX('04_PRODUCTOS'!$D$2:$D$501,MATCH(F357,'04_PRODUCTOS'!$B$2:$B$501,0)))),"")</f>
        <v/>
      </c>
      <c r="K357" s="7" t="str">
        <f t="shared" si="34"/>
        <v/>
      </c>
      <c r="O357" t="str">
        <f>IF(D357="","",IFERROR(INDEX('03_CLIENTES'!$A$2:$A$501,MATCH(D357,'03_CLIENTES'!$B$2:$B$501,0)),""))</f>
        <v/>
      </c>
      <c r="P357" t="str">
        <f>IF(F357="","",IFERROR(INDEX('04_PRODUCTOS'!$A$2:$A$501,MATCH(F357,'04_PRODUCTOS'!$B$2:$B$501,0)),""))</f>
        <v/>
      </c>
      <c r="Q357" t="str">
        <f t="shared" si="35"/>
        <v/>
      </c>
    </row>
    <row r="358" spans="1:17" x14ac:dyDescent="0.25">
      <c r="A358" t="str">
        <f t="shared" si="30"/>
        <v/>
      </c>
      <c r="B358" s="4" t="str">
        <f t="shared" ca="1" si="31"/>
        <v/>
      </c>
      <c r="C358" s="5" t="str">
        <f t="shared" ca="1" si="32"/>
        <v/>
      </c>
      <c r="G358" s="6"/>
      <c r="H358" s="3" t="str">
        <f>IFERROR(IF(E358="Mayorista",IF(INDEX('04_PRODUCTOS'!$F$2:$F$501,MATCH(F358,'04_PRODUCTOS'!$B$2:$B$501,0))="",INDEX('04_PRODUCTOS'!$E$2:$E$501,MATCH(F358,'04_PRODUCTOS'!$B$2:$B$501,0)),INDEX('04_PRODUCTOS'!$F$2:$F$501,MATCH(F358,'04_PRODUCTOS'!$B$2:$B$501,0))),IF(E358="Especial",IF(INDEX('04_PRODUCTOS'!$G$2:$G$501,MATCH(F358,'04_PRODUCTOS'!$B$2:$B$501,0))="",INDEX('04_PRODUCTOS'!$E$2:$E$501,MATCH(F358,'04_PRODUCTOS'!$B$2:$B$501,0)),INDEX('04_PRODUCTOS'!$G$2:$G$501,MATCH(F358,'04_PRODUCTOS'!$B$2:$B$501,0))),INDEX('04_PRODUCTOS'!$E$2:$E$501,MATCH(F358,'04_PRODUCTOS'!$B$2:$B$501,0)))),"")</f>
        <v/>
      </c>
      <c r="I358" s="3" t="str">
        <f t="shared" si="33"/>
        <v/>
      </c>
      <c r="J358" s="3" t="str">
        <f>IFERROR(IF(INDEX('04_PRODUCTOS'!$D$2:$D$501,MATCH(F358,'04_PRODUCTOS'!$B$2:$B$501,0))="","",I358-(G358*INDEX('04_PRODUCTOS'!$D$2:$D$501,MATCH(F358,'04_PRODUCTOS'!$B$2:$B$501,0)))),"")</f>
        <v/>
      </c>
      <c r="K358" s="7" t="str">
        <f t="shared" si="34"/>
        <v/>
      </c>
      <c r="O358" t="str">
        <f>IF(D358="","",IFERROR(INDEX('03_CLIENTES'!$A$2:$A$501,MATCH(D358,'03_CLIENTES'!$B$2:$B$501,0)),""))</f>
        <v/>
      </c>
      <c r="P358" t="str">
        <f>IF(F358="","",IFERROR(INDEX('04_PRODUCTOS'!$A$2:$A$501,MATCH(F358,'04_PRODUCTOS'!$B$2:$B$501,0)),""))</f>
        <v/>
      </c>
      <c r="Q358" t="str">
        <f t="shared" si="35"/>
        <v/>
      </c>
    </row>
    <row r="359" spans="1:17" x14ac:dyDescent="0.25">
      <c r="A359" t="str">
        <f t="shared" si="30"/>
        <v/>
      </c>
      <c r="B359" s="4" t="str">
        <f t="shared" ca="1" si="31"/>
        <v/>
      </c>
      <c r="C359" s="5" t="str">
        <f t="shared" ca="1" si="32"/>
        <v/>
      </c>
      <c r="G359" s="6"/>
      <c r="H359" s="3" t="str">
        <f>IFERROR(IF(E359="Mayorista",IF(INDEX('04_PRODUCTOS'!$F$2:$F$501,MATCH(F359,'04_PRODUCTOS'!$B$2:$B$501,0))="",INDEX('04_PRODUCTOS'!$E$2:$E$501,MATCH(F359,'04_PRODUCTOS'!$B$2:$B$501,0)),INDEX('04_PRODUCTOS'!$F$2:$F$501,MATCH(F359,'04_PRODUCTOS'!$B$2:$B$501,0))),IF(E359="Especial",IF(INDEX('04_PRODUCTOS'!$G$2:$G$501,MATCH(F359,'04_PRODUCTOS'!$B$2:$B$501,0))="",INDEX('04_PRODUCTOS'!$E$2:$E$501,MATCH(F359,'04_PRODUCTOS'!$B$2:$B$501,0)),INDEX('04_PRODUCTOS'!$G$2:$G$501,MATCH(F359,'04_PRODUCTOS'!$B$2:$B$501,0))),INDEX('04_PRODUCTOS'!$E$2:$E$501,MATCH(F359,'04_PRODUCTOS'!$B$2:$B$501,0)))),"")</f>
        <v/>
      </c>
      <c r="I359" s="3" t="str">
        <f t="shared" si="33"/>
        <v/>
      </c>
      <c r="J359" s="3" t="str">
        <f>IFERROR(IF(INDEX('04_PRODUCTOS'!$D$2:$D$501,MATCH(F359,'04_PRODUCTOS'!$B$2:$B$501,0))="","",I359-(G359*INDEX('04_PRODUCTOS'!$D$2:$D$501,MATCH(F359,'04_PRODUCTOS'!$B$2:$B$501,0)))),"")</f>
        <v/>
      </c>
      <c r="K359" s="7" t="str">
        <f t="shared" si="34"/>
        <v/>
      </c>
      <c r="O359" t="str">
        <f>IF(D359="","",IFERROR(INDEX('03_CLIENTES'!$A$2:$A$501,MATCH(D359,'03_CLIENTES'!$B$2:$B$501,0)),""))</f>
        <v/>
      </c>
      <c r="P359" t="str">
        <f>IF(F359="","",IFERROR(INDEX('04_PRODUCTOS'!$A$2:$A$501,MATCH(F359,'04_PRODUCTOS'!$B$2:$B$501,0)),""))</f>
        <v/>
      </c>
      <c r="Q359" t="str">
        <f t="shared" si="35"/>
        <v/>
      </c>
    </row>
    <row r="360" spans="1:17" x14ac:dyDescent="0.25">
      <c r="A360" t="str">
        <f t="shared" si="30"/>
        <v/>
      </c>
      <c r="B360" s="4" t="str">
        <f t="shared" ca="1" si="31"/>
        <v/>
      </c>
      <c r="C360" s="5" t="str">
        <f t="shared" ca="1" si="32"/>
        <v/>
      </c>
      <c r="G360" s="6"/>
      <c r="H360" s="3" t="str">
        <f>IFERROR(IF(E360="Mayorista",IF(INDEX('04_PRODUCTOS'!$F$2:$F$501,MATCH(F360,'04_PRODUCTOS'!$B$2:$B$501,0))="",INDEX('04_PRODUCTOS'!$E$2:$E$501,MATCH(F360,'04_PRODUCTOS'!$B$2:$B$501,0)),INDEX('04_PRODUCTOS'!$F$2:$F$501,MATCH(F360,'04_PRODUCTOS'!$B$2:$B$501,0))),IF(E360="Especial",IF(INDEX('04_PRODUCTOS'!$G$2:$G$501,MATCH(F360,'04_PRODUCTOS'!$B$2:$B$501,0))="",INDEX('04_PRODUCTOS'!$E$2:$E$501,MATCH(F360,'04_PRODUCTOS'!$B$2:$B$501,0)),INDEX('04_PRODUCTOS'!$G$2:$G$501,MATCH(F360,'04_PRODUCTOS'!$B$2:$B$501,0))),INDEX('04_PRODUCTOS'!$E$2:$E$501,MATCH(F360,'04_PRODUCTOS'!$B$2:$B$501,0)))),"")</f>
        <v/>
      </c>
      <c r="I360" s="3" t="str">
        <f t="shared" si="33"/>
        <v/>
      </c>
      <c r="J360" s="3" t="str">
        <f>IFERROR(IF(INDEX('04_PRODUCTOS'!$D$2:$D$501,MATCH(F360,'04_PRODUCTOS'!$B$2:$B$501,0))="","",I360-(G360*INDEX('04_PRODUCTOS'!$D$2:$D$501,MATCH(F360,'04_PRODUCTOS'!$B$2:$B$501,0)))),"")</f>
        <v/>
      </c>
      <c r="K360" s="7" t="str">
        <f t="shared" si="34"/>
        <v/>
      </c>
      <c r="O360" t="str">
        <f>IF(D360="","",IFERROR(INDEX('03_CLIENTES'!$A$2:$A$501,MATCH(D360,'03_CLIENTES'!$B$2:$B$501,0)),""))</f>
        <v/>
      </c>
      <c r="P360" t="str">
        <f>IF(F360="","",IFERROR(INDEX('04_PRODUCTOS'!$A$2:$A$501,MATCH(F360,'04_PRODUCTOS'!$B$2:$B$501,0)),""))</f>
        <v/>
      </c>
      <c r="Q360" t="str">
        <f t="shared" si="35"/>
        <v/>
      </c>
    </row>
    <row r="361" spans="1:17" x14ac:dyDescent="0.25">
      <c r="A361" t="str">
        <f t="shared" si="30"/>
        <v/>
      </c>
      <c r="B361" s="4" t="str">
        <f t="shared" ca="1" si="31"/>
        <v/>
      </c>
      <c r="C361" s="5" t="str">
        <f t="shared" ca="1" si="32"/>
        <v/>
      </c>
      <c r="G361" s="6"/>
      <c r="H361" s="3" t="str">
        <f>IFERROR(IF(E361="Mayorista",IF(INDEX('04_PRODUCTOS'!$F$2:$F$501,MATCH(F361,'04_PRODUCTOS'!$B$2:$B$501,0))="",INDEX('04_PRODUCTOS'!$E$2:$E$501,MATCH(F361,'04_PRODUCTOS'!$B$2:$B$501,0)),INDEX('04_PRODUCTOS'!$F$2:$F$501,MATCH(F361,'04_PRODUCTOS'!$B$2:$B$501,0))),IF(E361="Especial",IF(INDEX('04_PRODUCTOS'!$G$2:$G$501,MATCH(F361,'04_PRODUCTOS'!$B$2:$B$501,0))="",INDEX('04_PRODUCTOS'!$E$2:$E$501,MATCH(F361,'04_PRODUCTOS'!$B$2:$B$501,0)),INDEX('04_PRODUCTOS'!$G$2:$G$501,MATCH(F361,'04_PRODUCTOS'!$B$2:$B$501,0))),INDEX('04_PRODUCTOS'!$E$2:$E$501,MATCH(F361,'04_PRODUCTOS'!$B$2:$B$501,0)))),"")</f>
        <v/>
      </c>
      <c r="I361" s="3" t="str">
        <f t="shared" si="33"/>
        <v/>
      </c>
      <c r="J361" s="3" t="str">
        <f>IFERROR(IF(INDEX('04_PRODUCTOS'!$D$2:$D$501,MATCH(F361,'04_PRODUCTOS'!$B$2:$B$501,0))="","",I361-(G361*INDEX('04_PRODUCTOS'!$D$2:$D$501,MATCH(F361,'04_PRODUCTOS'!$B$2:$B$501,0)))),"")</f>
        <v/>
      </c>
      <c r="K361" s="7" t="str">
        <f t="shared" si="34"/>
        <v/>
      </c>
      <c r="O361" t="str">
        <f>IF(D361="","",IFERROR(INDEX('03_CLIENTES'!$A$2:$A$501,MATCH(D361,'03_CLIENTES'!$B$2:$B$501,0)),""))</f>
        <v/>
      </c>
      <c r="P361" t="str">
        <f>IF(F361="","",IFERROR(INDEX('04_PRODUCTOS'!$A$2:$A$501,MATCH(F361,'04_PRODUCTOS'!$B$2:$B$501,0)),""))</f>
        <v/>
      </c>
      <c r="Q361" t="str">
        <f t="shared" si="35"/>
        <v/>
      </c>
    </row>
    <row r="362" spans="1:17" x14ac:dyDescent="0.25">
      <c r="A362" t="str">
        <f t="shared" si="30"/>
        <v/>
      </c>
      <c r="B362" s="4" t="str">
        <f t="shared" ca="1" si="31"/>
        <v/>
      </c>
      <c r="C362" s="5" t="str">
        <f t="shared" ca="1" si="32"/>
        <v/>
      </c>
      <c r="G362" s="6"/>
      <c r="H362" s="3" t="str">
        <f>IFERROR(IF(E362="Mayorista",IF(INDEX('04_PRODUCTOS'!$F$2:$F$501,MATCH(F362,'04_PRODUCTOS'!$B$2:$B$501,0))="",INDEX('04_PRODUCTOS'!$E$2:$E$501,MATCH(F362,'04_PRODUCTOS'!$B$2:$B$501,0)),INDEX('04_PRODUCTOS'!$F$2:$F$501,MATCH(F362,'04_PRODUCTOS'!$B$2:$B$501,0))),IF(E362="Especial",IF(INDEX('04_PRODUCTOS'!$G$2:$G$501,MATCH(F362,'04_PRODUCTOS'!$B$2:$B$501,0))="",INDEX('04_PRODUCTOS'!$E$2:$E$501,MATCH(F362,'04_PRODUCTOS'!$B$2:$B$501,0)),INDEX('04_PRODUCTOS'!$G$2:$G$501,MATCH(F362,'04_PRODUCTOS'!$B$2:$B$501,0))),INDEX('04_PRODUCTOS'!$E$2:$E$501,MATCH(F362,'04_PRODUCTOS'!$B$2:$B$501,0)))),"")</f>
        <v/>
      </c>
      <c r="I362" s="3" t="str">
        <f t="shared" si="33"/>
        <v/>
      </c>
      <c r="J362" s="3" t="str">
        <f>IFERROR(IF(INDEX('04_PRODUCTOS'!$D$2:$D$501,MATCH(F362,'04_PRODUCTOS'!$B$2:$B$501,0))="","",I362-(G362*INDEX('04_PRODUCTOS'!$D$2:$D$501,MATCH(F362,'04_PRODUCTOS'!$B$2:$B$501,0)))),"")</f>
        <v/>
      </c>
      <c r="K362" s="7" t="str">
        <f t="shared" si="34"/>
        <v/>
      </c>
      <c r="O362" t="str">
        <f>IF(D362="","",IFERROR(INDEX('03_CLIENTES'!$A$2:$A$501,MATCH(D362,'03_CLIENTES'!$B$2:$B$501,0)),""))</f>
        <v/>
      </c>
      <c r="P362" t="str">
        <f>IF(F362="","",IFERROR(INDEX('04_PRODUCTOS'!$A$2:$A$501,MATCH(F362,'04_PRODUCTOS'!$B$2:$B$501,0)),""))</f>
        <v/>
      </c>
      <c r="Q362" t="str">
        <f t="shared" si="35"/>
        <v/>
      </c>
    </row>
    <row r="363" spans="1:17" x14ac:dyDescent="0.25">
      <c r="A363" t="str">
        <f t="shared" si="30"/>
        <v/>
      </c>
      <c r="B363" s="4" t="str">
        <f t="shared" ca="1" si="31"/>
        <v/>
      </c>
      <c r="C363" s="5" t="str">
        <f t="shared" ca="1" si="32"/>
        <v/>
      </c>
      <c r="G363" s="6"/>
      <c r="H363" s="3" t="str">
        <f>IFERROR(IF(E363="Mayorista",IF(INDEX('04_PRODUCTOS'!$F$2:$F$501,MATCH(F363,'04_PRODUCTOS'!$B$2:$B$501,0))="",INDEX('04_PRODUCTOS'!$E$2:$E$501,MATCH(F363,'04_PRODUCTOS'!$B$2:$B$501,0)),INDEX('04_PRODUCTOS'!$F$2:$F$501,MATCH(F363,'04_PRODUCTOS'!$B$2:$B$501,0))),IF(E363="Especial",IF(INDEX('04_PRODUCTOS'!$G$2:$G$501,MATCH(F363,'04_PRODUCTOS'!$B$2:$B$501,0))="",INDEX('04_PRODUCTOS'!$E$2:$E$501,MATCH(F363,'04_PRODUCTOS'!$B$2:$B$501,0)),INDEX('04_PRODUCTOS'!$G$2:$G$501,MATCH(F363,'04_PRODUCTOS'!$B$2:$B$501,0))),INDEX('04_PRODUCTOS'!$E$2:$E$501,MATCH(F363,'04_PRODUCTOS'!$B$2:$B$501,0)))),"")</f>
        <v/>
      </c>
      <c r="I363" s="3" t="str">
        <f t="shared" si="33"/>
        <v/>
      </c>
      <c r="J363" s="3" t="str">
        <f>IFERROR(IF(INDEX('04_PRODUCTOS'!$D$2:$D$501,MATCH(F363,'04_PRODUCTOS'!$B$2:$B$501,0))="","",I363-(G363*INDEX('04_PRODUCTOS'!$D$2:$D$501,MATCH(F363,'04_PRODUCTOS'!$B$2:$B$501,0)))),"")</f>
        <v/>
      </c>
      <c r="K363" s="7" t="str">
        <f t="shared" si="34"/>
        <v/>
      </c>
      <c r="O363" t="str">
        <f>IF(D363="","",IFERROR(INDEX('03_CLIENTES'!$A$2:$A$501,MATCH(D363,'03_CLIENTES'!$B$2:$B$501,0)),""))</f>
        <v/>
      </c>
      <c r="P363" t="str">
        <f>IF(F363="","",IFERROR(INDEX('04_PRODUCTOS'!$A$2:$A$501,MATCH(F363,'04_PRODUCTOS'!$B$2:$B$501,0)),""))</f>
        <v/>
      </c>
      <c r="Q363" t="str">
        <f t="shared" si="35"/>
        <v/>
      </c>
    </row>
    <row r="364" spans="1:17" x14ac:dyDescent="0.25">
      <c r="A364" t="str">
        <f t="shared" si="30"/>
        <v/>
      </c>
      <c r="B364" s="4" t="str">
        <f t="shared" ca="1" si="31"/>
        <v/>
      </c>
      <c r="C364" s="5" t="str">
        <f t="shared" ca="1" si="32"/>
        <v/>
      </c>
      <c r="G364" s="6"/>
      <c r="H364" s="3" t="str">
        <f>IFERROR(IF(E364="Mayorista",IF(INDEX('04_PRODUCTOS'!$F$2:$F$501,MATCH(F364,'04_PRODUCTOS'!$B$2:$B$501,0))="",INDEX('04_PRODUCTOS'!$E$2:$E$501,MATCH(F364,'04_PRODUCTOS'!$B$2:$B$501,0)),INDEX('04_PRODUCTOS'!$F$2:$F$501,MATCH(F364,'04_PRODUCTOS'!$B$2:$B$501,0))),IF(E364="Especial",IF(INDEX('04_PRODUCTOS'!$G$2:$G$501,MATCH(F364,'04_PRODUCTOS'!$B$2:$B$501,0))="",INDEX('04_PRODUCTOS'!$E$2:$E$501,MATCH(F364,'04_PRODUCTOS'!$B$2:$B$501,0)),INDEX('04_PRODUCTOS'!$G$2:$G$501,MATCH(F364,'04_PRODUCTOS'!$B$2:$B$501,0))),INDEX('04_PRODUCTOS'!$E$2:$E$501,MATCH(F364,'04_PRODUCTOS'!$B$2:$B$501,0)))),"")</f>
        <v/>
      </c>
      <c r="I364" s="3" t="str">
        <f t="shared" si="33"/>
        <v/>
      </c>
      <c r="J364" s="3" t="str">
        <f>IFERROR(IF(INDEX('04_PRODUCTOS'!$D$2:$D$501,MATCH(F364,'04_PRODUCTOS'!$B$2:$B$501,0))="","",I364-(G364*INDEX('04_PRODUCTOS'!$D$2:$D$501,MATCH(F364,'04_PRODUCTOS'!$B$2:$B$501,0)))),"")</f>
        <v/>
      </c>
      <c r="K364" s="7" t="str">
        <f t="shared" si="34"/>
        <v/>
      </c>
      <c r="O364" t="str">
        <f>IF(D364="","",IFERROR(INDEX('03_CLIENTES'!$A$2:$A$501,MATCH(D364,'03_CLIENTES'!$B$2:$B$501,0)),""))</f>
        <v/>
      </c>
      <c r="P364" t="str">
        <f>IF(F364="","",IFERROR(INDEX('04_PRODUCTOS'!$A$2:$A$501,MATCH(F364,'04_PRODUCTOS'!$B$2:$B$501,0)),""))</f>
        <v/>
      </c>
      <c r="Q364" t="str">
        <f t="shared" si="35"/>
        <v/>
      </c>
    </row>
    <row r="365" spans="1:17" x14ac:dyDescent="0.25">
      <c r="A365" t="str">
        <f t="shared" si="30"/>
        <v/>
      </c>
      <c r="B365" s="4" t="str">
        <f t="shared" ca="1" si="31"/>
        <v/>
      </c>
      <c r="C365" s="5" t="str">
        <f t="shared" ca="1" si="32"/>
        <v/>
      </c>
      <c r="G365" s="6"/>
      <c r="H365" s="3" t="str">
        <f>IFERROR(IF(E365="Mayorista",IF(INDEX('04_PRODUCTOS'!$F$2:$F$501,MATCH(F365,'04_PRODUCTOS'!$B$2:$B$501,0))="",INDEX('04_PRODUCTOS'!$E$2:$E$501,MATCH(F365,'04_PRODUCTOS'!$B$2:$B$501,0)),INDEX('04_PRODUCTOS'!$F$2:$F$501,MATCH(F365,'04_PRODUCTOS'!$B$2:$B$501,0))),IF(E365="Especial",IF(INDEX('04_PRODUCTOS'!$G$2:$G$501,MATCH(F365,'04_PRODUCTOS'!$B$2:$B$501,0))="",INDEX('04_PRODUCTOS'!$E$2:$E$501,MATCH(F365,'04_PRODUCTOS'!$B$2:$B$501,0)),INDEX('04_PRODUCTOS'!$G$2:$G$501,MATCH(F365,'04_PRODUCTOS'!$B$2:$B$501,0))),INDEX('04_PRODUCTOS'!$E$2:$E$501,MATCH(F365,'04_PRODUCTOS'!$B$2:$B$501,0)))),"")</f>
        <v/>
      </c>
      <c r="I365" s="3" t="str">
        <f t="shared" si="33"/>
        <v/>
      </c>
      <c r="J365" s="3" t="str">
        <f>IFERROR(IF(INDEX('04_PRODUCTOS'!$D$2:$D$501,MATCH(F365,'04_PRODUCTOS'!$B$2:$B$501,0))="","",I365-(G365*INDEX('04_PRODUCTOS'!$D$2:$D$501,MATCH(F365,'04_PRODUCTOS'!$B$2:$B$501,0)))),"")</f>
        <v/>
      </c>
      <c r="K365" s="7" t="str">
        <f t="shared" si="34"/>
        <v/>
      </c>
      <c r="O365" t="str">
        <f>IF(D365="","",IFERROR(INDEX('03_CLIENTES'!$A$2:$A$501,MATCH(D365,'03_CLIENTES'!$B$2:$B$501,0)),""))</f>
        <v/>
      </c>
      <c r="P365" t="str">
        <f>IF(F365="","",IFERROR(INDEX('04_PRODUCTOS'!$A$2:$A$501,MATCH(F365,'04_PRODUCTOS'!$B$2:$B$501,0)),""))</f>
        <v/>
      </c>
      <c r="Q365" t="str">
        <f t="shared" si="35"/>
        <v/>
      </c>
    </row>
    <row r="366" spans="1:17" x14ac:dyDescent="0.25">
      <c r="A366" t="str">
        <f t="shared" si="30"/>
        <v/>
      </c>
      <c r="B366" s="4" t="str">
        <f t="shared" ca="1" si="31"/>
        <v/>
      </c>
      <c r="C366" s="5" t="str">
        <f t="shared" ca="1" si="32"/>
        <v/>
      </c>
      <c r="G366" s="6"/>
      <c r="H366" s="3" t="str">
        <f>IFERROR(IF(E366="Mayorista",IF(INDEX('04_PRODUCTOS'!$F$2:$F$501,MATCH(F366,'04_PRODUCTOS'!$B$2:$B$501,0))="",INDEX('04_PRODUCTOS'!$E$2:$E$501,MATCH(F366,'04_PRODUCTOS'!$B$2:$B$501,0)),INDEX('04_PRODUCTOS'!$F$2:$F$501,MATCH(F366,'04_PRODUCTOS'!$B$2:$B$501,0))),IF(E366="Especial",IF(INDEX('04_PRODUCTOS'!$G$2:$G$501,MATCH(F366,'04_PRODUCTOS'!$B$2:$B$501,0))="",INDEX('04_PRODUCTOS'!$E$2:$E$501,MATCH(F366,'04_PRODUCTOS'!$B$2:$B$501,0)),INDEX('04_PRODUCTOS'!$G$2:$G$501,MATCH(F366,'04_PRODUCTOS'!$B$2:$B$501,0))),INDEX('04_PRODUCTOS'!$E$2:$E$501,MATCH(F366,'04_PRODUCTOS'!$B$2:$B$501,0)))),"")</f>
        <v/>
      </c>
      <c r="I366" s="3" t="str">
        <f t="shared" si="33"/>
        <v/>
      </c>
      <c r="J366" s="3" t="str">
        <f>IFERROR(IF(INDEX('04_PRODUCTOS'!$D$2:$D$501,MATCH(F366,'04_PRODUCTOS'!$B$2:$B$501,0))="","",I366-(G366*INDEX('04_PRODUCTOS'!$D$2:$D$501,MATCH(F366,'04_PRODUCTOS'!$B$2:$B$501,0)))),"")</f>
        <v/>
      </c>
      <c r="K366" s="7" t="str">
        <f t="shared" si="34"/>
        <v/>
      </c>
      <c r="O366" t="str">
        <f>IF(D366="","",IFERROR(INDEX('03_CLIENTES'!$A$2:$A$501,MATCH(D366,'03_CLIENTES'!$B$2:$B$501,0)),""))</f>
        <v/>
      </c>
      <c r="P366" t="str">
        <f>IF(F366="","",IFERROR(INDEX('04_PRODUCTOS'!$A$2:$A$501,MATCH(F366,'04_PRODUCTOS'!$B$2:$B$501,0)),""))</f>
        <v/>
      </c>
      <c r="Q366" t="str">
        <f t="shared" si="35"/>
        <v/>
      </c>
    </row>
    <row r="367" spans="1:17" x14ac:dyDescent="0.25">
      <c r="A367" t="str">
        <f t="shared" si="30"/>
        <v/>
      </c>
      <c r="B367" s="4" t="str">
        <f t="shared" ca="1" si="31"/>
        <v/>
      </c>
      <c r="C367" s="5" t="str">
        <f t="shared" ca="1" si="32"/>
        <v/>
      </c>
      <c r="G367" s="6"/>
      <c r="H367" s="3" t="str">
        <f>IFERROR(IF(E367="Mayorista",IF(INDEX('04_PRODUCTOS'!$F$2:$F$501,MATCH(F367,'04_PRODUCTOS'!$B$2:$B$501,0))="",INDEX('04_PRODUCTOS'!$E$2:$E$501,MATCH(F367,'04_PRODUCTOS'!$B$2:$B$501,0)),INDEX('04_PRODUCTOS'!$F$2:$F$501,MATCH(F367,'04_PRODUCTOS'!$B$2:$B$501,0))),IF(E367="Especial",IF(INDEX('04_PRODUCTOS'!$G$2:$G$501,MATCH(F367,'04_PRODUCTOS'!$B$2:$B$501,0))="",INDEX('04_PRODUCTOS'!$E$2:$E$501,MATCH(F367,'04_PRODUCTOS'!$B$2:$B$501,0)),INDEX('04_PRODUCTOS'!$G$2:$G$501,MATCH(F367,'04_PRODUCTOS'!$B$2:$B$501,0))),INDEX('04_PRODUCTOS'!$E$2:$E$501,MATCH(F367,'04_PRODUCTOS'!$B$2:$B$501,0)))),"")</f>
        <v/>
      </c>
      <c r="I367" s="3" t="str">
        <f t="shared" si="33"/>
        <v/>
      </c>
      <c r="J367" s="3" t="str">
        <f>IFERROR(IF(INDEX('04_PRODUCTOS'!$D$2:$D$501,MATCH(F367,'04_PRODUCTOS'!$B$2:$B$501,0))="","",I367-(G367*INDEX('04_PRODUCTOS'!$D$2:$D$501,MATCH(F367,'04_PRODUCTOS'!$B$2:$B$501,0)))),"")</f>
        <v/>
      </c>
      <c r="K367" s="7" t="str">
        <f t="shared" si="34"/>
        <v/>
      </c>
      <c r="O367" t="str">
        <f>IF(D367="","",IFERROR(INDEX('03_CLIENTES'!$A$2:$A$501,MATCH(D367,'03_CLIENTES'!$B$2:$B$501,0)),""))</f>
        <v/>
      </c>
      <c r="P367" t="str">
        <f>IF(F367="","",IFERROR(INDEX('04_PRODUCTOS'!$A$2:$A$501,MATCH(F367,'04_PRODUCTOS'!$B$2:$B$501,0)),""))</f>
        <v/>
      </c>
      <c r="Q367" t="str">
        <f t="shared" si="35"/>
        <v/>
      </c>
    </row>
    <row r="368" spans="1:17" x14ac:dyDescent="0.25">
      <c r="A368" t="str">
        <f t="shared" si="30"/>
        <v/>
      </c>
      <c r="B368" s="4" t="str">
        <f t="shared" ca="1" si="31"/>
        <v/>
      </c>
      <c r="C368" s="5" t="str">
        <f t="shared" ca="1" si="32"/>
        <v/>
      </c>
      <c r="G368" s="6"/>
      <c r="H368" s="3" t="str">
        <f>IFERROR(IF(E368="Mayorista",IF(INDEX('04_PRODUCTOS'!$F$2:$F$501,MATCH(F368,'04_PRODUCTOS'!$B$2:$B$501,0))="",INDEX('04_PRODUCTOS'!$E$2:$E$501,MATCH(F368,'04_PRODUCTOS'!$B$2:$B$501,0)),INDEX('04_PRODUCTOS'!$F$2:$F$501,MATCH(F368,'04_PRODUCTOS'!$B$2:$B$501,0))),IF(E368="Especial",IF(INDEX('04_PRODUCTOS'!$G$2:$G$501,MATCH(F368,'04_PRODUCTOS'!$B$2:$B$501,0))="",INDEX('04_PRODUCTOS'!$E$2:$E$501,MATCH(F368,'04_PRODUCTOS'!$B$2:$B$501,0)),INDEX('04_PRODUCTOS'!$G$2:$G$501,MATCH(F368,'04_PRODUCTOS'!$B$2:$B$501,0))),INDEX('04_PRODUCTOS'!$E$2:$E$501,MATCH(F368,'04_PRODUCTOS'!$B$2:$B$501,0)))),"")</f>
        <v/>
      </c>
      <c r="I368" s="3" t="str">
        <f t="shared" si="33"/>
        <v/>
      </c>
      <c r="J368" s="3" t="str">
        <f>IFERROR(IF(INDEX('04_PRODUCTOS'!$D$2:$D$501,MATCH(F368,'04_PRODUCTOS'!$B$2:$B$501,0))="","",I368-(G368*INDEX('04_PRODUCTOS'!$D$2:$D$501,MATCH(F368,'04_PRODUCTOS'!$B$2:$B$501,0)))),"")</f>
        <v/>
      </c>
      <c r="K368" s="7" t="str">
        <f t="shared" si="34"/>
        <v/>
      </c>
      <c r="O368" t="str">
        <f>IF(D368="","",IFERROR(INDEX('03_CLIENTES'!$A$2:$A$501,MATCH(D368,'03_CLIENTES'!$B$2:$B$501,0)),""))</f>
        <v/>
      </c>
      <c r="P368" t="str">
        <f>IF(F368="","",IFERROR(INDEX('04_PRODUCTOS'!$A$2:$A$501,MATCH(F368,'04_PRODUCTOS'!$B$2:$B$501,0)),""))</f>
        <v/>
      </c>
      <c r="Q368" t="str">
        <f t="shared" si="35"/>
        <v/>
      </c>
    </row>
    <row r="369" spans="1:17" x14ac:dyDescent="0.25">
      <c r="A369" t="str">
        <f t="shared" si="30"/>
        <v/>
      </c>
      <c r="B369" s="4" t="str">
        <f t="shared" ca="1" si="31"/>
        <v/>
      </c>
      <c r="C369" s="5" t="str">
        <f t="shared" ca="1" si="32"/>
        <v/>
      </c>
      <c r="G369" s="6"/>
      <c r="H369" s="3" t="str">
        <f>IFERROR(IF(E369="Mayorista",IF(INDEX('04_PRODUCTOS'!$F$2:$F$501,MATCH(F369,'04_PRODUCTOS'!$B$2:$B$501,0))="",INDEX('04_PRODUCTOS'!$E$2:$E$501,MATCH(F369,'04_PRODUCTOS'!$B$2:$B$501,0)),INDEX('04_PRODUCTOS'!$F$2:$F$501,MATCH(F369,'04_PRODUCTOS'!$B$2:$B$501,0))),IF(E369="Especial",IF(INDEX('04_PRODUCTOS'!$G$2:$G$501,MATCH(F369,'04_PRODUCTOS'!$B$2:$B$501,0))="",INDEX('04_PRODUCTOS'!$E$2:$E$501,MATCH(F369,'04_PRODUCTOS'!$B$2:$B$501,0)),INDEX('04_PRODUCTOS'!$G$2:$G$501,MATCH(F369,'04_PRODUCTOS'!$B$2:$B$501,0))),INDEX('04_PRODUCTOS'!$E$2:$E$501,MATCH(F369,'04_PRODUCTOS'!$B$2:$B$501,0)))),"")</f>
        <v/>
      </c>
      <c r="I369" s="3" t="str">
        <f t="shared" si="33"/>
        <v/>
      </c>
      <c r="J369" s="3" t="str">
        <f>IFERROR(IF(INDEX('04_PRODUCTOS'!$D$2:$D$501,MATCH(F369,'04_PRODUCTOS'!$B$2:$B$501,0))="","",I369-(G369*INDEX('04_PRODUCTOS'!$D$2:$D$501,MATCH(F369,'04_PRODUCTOS'!$B$2:$B$501,0)))),"")</f>
        <v/>
      </c>
      <c r="K369" s="7" t="str">
        <f t="shared" si="34"/>
        <v/>
      </c>
      <c r="O369" t="str">
        <f>IF(D369="","",IFERROR(INDEX('03_CLIENTES'!$A$2:$A$501,MATCH(D369,'03_CLIENTES'!$B$2:$B$501,0)),""))</f>
        <v/>
      </c>
      <c r="P369" t="str">
        <f>IF(F369="","",IFERROR(INDEX('04_PRODUCTOS'!$A$2:$A$501,MATCH(F369,'04_PRODUCTOS'!$B$2:$B$501,0)),""))</f>
        <v/>
      </c>
      <c r="Q369" t="str">
        <f t="shared" si="35"/>
        <v/>
      </c>
    </row>
    <row r="370" spans="1:17" x14ac:dyDescent="0.25">
      <c r="A370" t="str">
        <f t="shared" si="30"/>
        <v/>
      </c>
      <c r="B370" s="4" t="str">
        <f t="shared" ca="1" si="31"/>
        <v/>
      </c>
      <c r="C370" s="5" t="str">
        <f t="shared" ca="1" si="32"/>
        <v/>
      </c>
      <c r="G370" s="6"/>
      <c r="H370" s="3" t="str">
        <f>IFERROR(IF(E370="Mayorista",IF(INDEX('04_PRODUCTOS'!$F$2:$F$501,MATCH(F370,'04_PRODUCTOS'!$B$2:$B$501,0))="",INDEX('04_PRODUCTOS'!$E$2:$E$501,MATCH(F370,'04_PRODUCTOS'!$B$2:$B$501,0)),INDEX('04_PRODUCTOS'!$F$2:$F$501,MATCH(F370,'04_PRODUCTOS'!$B$2:$B$501,0))),IF(E370="Especial",IF(INDEX('04_PRODUCTOS'!$G$2:$G$501,MATCH(F370,'04_PRODUCTOS'!$B$2:$B$501,0))="",INDEX('04_PRODUCTOS'!$E$2:$E$501,MATCH(F370,'04_PRODUCTOS'!$B$2:$B$501,0)),INDEX('04_PRODUCTOS'!$G$2:$G$501,MATCH(F370,'04_PRODUCTOS'!$B$2:$B$501,0))),INDEX('04_PRODUCTOS'!$E$2:$E$501,MATCH(F370,'04_PRODUCTOS'!$B$2:$B$501,0)))),"")</f>
        <v/>
      </c>
      <c r="I370" s="3" t="str">
        <f t="shared" si="33"/>
        <v/>
      </c>
      <c r="J370" s="3" t="str">
        <f>IFERROR(IF(INDEX('04_PRODUCTOS'!$D$2:$D$501,MATCH(F370,'04_PRODUCTOS'!$B$2:$B$501,0))="","",I370-(G370*INDEX('04_PRODUCTOS'!$D$2:$D$501,MATCH(F370,'04_PRODUCTOS'!$B$2:$B$501,0)))),"")</f>
        <v/>
      </c>
      <c r="K370" s="7" t="str">
        <f t="shared" si="34"/>
        <v/>
      </c>
      <c r="O370" t="str">
        <f>IF(D370="","",IFERROR(INDEX('03_CLIENTES'!$A$2:$A$501,MATCH(D370,'03_CLIENTES'!$B$2:$B$501,0)),""))</f>
        <v/>
      </c>
      <c r="P370" t="str">
        <f>IF(F370="","",IFERROR(INDEX('04_PRODUCTOS'!$A$2:$A$501,MATCH(F370,'04_PRODUCTOS'!$B$2:$B$501,0)),""))</f>
        <v/>
      </c>
      <c r="Q370" t="str">
        <f t="shared" si="35"/>
        <v/>
      </c>
    </row>
    <row r="371" spans="1:17" x14ac:dyDescent="0.25">
      <c r="A371" t="str">
        <f t="shared" si="30"/>
        <v/>
      </c>
      <c r="B371" s="4" t="str">
        <f t="shared" ca="1" si="31"/>
        <v/>
      </c>
      <c r="C371" s="5" t="str">
        <f t="shared" ca="1" si="32"/>
        <v/>
      </c>
      <c r="G371" s="6"/>
      <c r="H371" s="3" t="str">
        <f>IFERROR(IF(E371="Mayorista",IF(INDEX('04_PRODUCTOS'!$F$2:$F$501,MATCH(F371,'04_PRODUCTOS'!$B$2:$B$501,0))="",INDEX('04_PRODUCTOS'!$E$2:$E$501,MATCH(F371,'04_PRODUCTOS'!$B$2:$B$501,0)),INDEX('04_PRODUCTOS'!$F$2:$F$501,MATCH(F371,'04_PRODUCTOS'!$B$2:$B$501,0))),IF(E371="Especial",IF(INDEX('04_PRODUCTOS'!$G$2:$G$501,MATCH(F371,'04_PRODUCTOS'!$B$2:$B$501,0))="",INDEX('04_PRODUCTOS'!$E$2:$E$501,MATCH(F371,'04_PRODUCTOS'!$B$2:$B$501,0)),INDEX('04_PRODUCTOS'!$G$2:$G$501,MATCH(F371,'04_PRODUCTOS'!$B$2:$B$501,0))),INDEX('04_PRODUCTOS'!$E$2:$E$501,MATCH(F371,'04_PRODUCTOS'!$B$2:$B$501,0)))),"")</f>
        <v/>
      </c>
      <c r="I371" s="3" t="str">
        <f t="shared" si="33"/>
        <v/>
      </c>
      <c r="J371" s="3" t="str">
        <f>IFERROR(IF(INDEX('04_PRODUCTOS'!$D$2:$D$501,MATCH(F371,'04_PRODUCTOS'!$B$2:$B$501,0))="","",I371-(G371*INDEX('04_PRODUCTOS'!$D$2:$D$501,MATCH(F371,'04_PRODUCTOS'!$B$2:$B$501,0)))),"")</f>
        <v/>
      </c>
      <c r="K371" s="7" t="str">
        <f t="shared" si="34"/>
        <v/>
      </c>
      <c r="O371" t="str">
        <f>IF(D371="","",IFERROR(INDEX('03_CLIENTES'!$A$2:$A$501,MATCH(D371,'03_CLIENTES'!$B$2:$B$501,0)),""))</f>
        <v/>
      </c>
      <c r="P371" t="str">
        <f>IF(F371="","",IFERROR(INDEX('04_PRODUCTOS'!$A$2:$A$501,MATCH(F371,'04_PRODUCTOS'!$B$2:$B$501,0)),""))</f>
        <v/>
      </c>
      <c r="Q371" t="str">
        <f t="shared" si="35"/>
        <v/>
      </c>
    </row>
    <row r="372" spans="1:17" x14ac:dyDescent="0.25">
      <c r="A372" t="str">
        <f t="shared" si="30"/>
        <v/>
      </c>
      <c r="B372" s="4" t="str">
        <f t="shared" ca="1" si="31"/>
        <v/>
      </c>
      <c r="C372" s="5" t="str">
        <f t="shared" ca="1" si="32"/>
        <v/>
      </c>
      <c r="G372" s="6"/>
      <c r="H372" s="3" t="str">
        <f>IFERROR(IF(E372="Mayorista",IF(INDEX('04_PRODUCTOS'!$F$2:$F$501,MATCH(F372,'04_PRODUCTOS'!$B$2:$B$501,0))="",INDEX('04_PRODUCTOS'!$E$2:$E$501,MATCH(F372,'04_PRODUCTOS'!$B$2:$B$501,0)),INDEX('04_PRODUCTOS'!$F$2:$F$501,MATCH(F372,'04_PRODUCTOS'!$B$2:$B$501,0))),IF(E372="Especial",IF(INDEX('04_PRODUCTOS'!$G$2:$G$501,MATCH(F372,'04_PRODUCTOS'!$B$2:$B$501,0))="",INDEX('04_PRODUCTOS'!$E$2:$E$501,MATCH(F372,'04_PRODUCTOS'!$B$2:$B$501,0)),INDEX('04_PRODUCTOS'!$G$2:$G$501,MATCH(F372,'04_PRODUCTOS'!$B$2:$B$501,0))),INDEX('04_PRODUCTOS'!$E$2:$E$501,MATCH(F372,'04_PRODUCTOS'!$B$2:$B$501,0)))),"")</f>
        <v/>
      </c>
      <c r="I372" s="3" t="str">
        <f t="shared" si="33"/>
        <v/>
      </c>
      <c r="J372" s="3" t="str">
        <f>IFERROR(IF(INDEX('04_PRODUCTOS'!$D$2:$D$501,MATCH(F372,'04_PRODUCTOS'!$B$2:$B$501,0))="","",I372-(G372*INDEX('04_PRODUCTOS'!$D$2:$D$501,MATCH(F372,'04_PRODUCTOS'!$B$2:$B$501,0)))),"")</f>
        <v/>
      </c>
      <c r="K372" s="7" t="str">
        <f t="shared" si="34"/>
        <v/>
      </c>
      <c r="O372" t="str">
        <f>IF(D372="","",IFERROR(INDEX('03_CLIENTES'!$A$2:$A$501,MATCH(D372,'03_CLIENTES'!$B$2:$B$501,0)),""))</f>
        <v/>
      </c>
      <c r="P372" t="str">
        <f>IF(F372="","",IFERROR(INDEX('04_PRODUCTOS'!$A$2:$A$501,MATCH(F372,'04_PRODUCTOS'!$B$2:$B$501,0)),""))</f>
        <v/>
      </c>
      <c r="Q372" t="str">
        <f t="shared" si="35"/>
        <v/>
      </c>
    </row>
    <row r="373" spans="1:17" x14ac:dyDescent="0.25">
      <c r="A373" t="str">
        <f t="shared" si="30"/>
        <v/>
      </c>
      <c r="B373" s="4" t="str">
        <f t="shared" ca="1" si="31"/>
        <v/>
      </c>
      <c r="C373" s="5" t="str">
        <f t="shared" ca="1" si="32"/>
        <v/>
      </c>
      <c r="G373" s="6"/>
      <c r="H373" s="3" t="str">
        <f>IFERROR(IF(E373="Mayorista",IF(INDEX('04_PRODUCTOS'!$F$2:$F$501,MATCH(F373,'04_PRODUCTOS'!$B$2:$B$501,0))="",INDEX('04_PRODUCTOS'!$E$2:$E$501,MATCH(F373,'04_PRODUCTOS'!$B$2:$B$501,0)),INDEX('04_PRODUCTOS'!$F$2:$F$501,MATCH(F373,'04_PRODUCTOS'!$B$2:$B$501,0))),IF(E373="Especial",IF(INDEX('04_PRODUCTOS'!$G$2:$G$501,MATCH(F373,'04_PRODUCTOS'!$B$2:$B$501,0))="",INDEX('04_PRODUCTOS'!$E$2:$E$501,MATCH(F373,'04_PRODUCTOS'!$B$2:$B$501,0)),INDEX('04_PRODUCTOS'!$G$2:$G$501,MATCH(F373,'04_PRODUCTOS'!$B$2:$B$501,0))),INDEX('04_PRODUCTOS'!$E$2:$E$501,MATCH(F373,'04_PRODUCTOS'!$B$2:$B$501,0)))),"")</f>
        <v/>
      </c>
      <c r="I373" s="3" t="str">
        <f t="shared" si="33"/>
        <v/>
      </c>
      <c r="J373" s="3" t="str">
        <f>IFERROR(IF(INDEX('04_PRODUCTOS'!$D$2:$D$501,MATCH(F373,'04_PRODUCTOS'!$B$2:$B$501,0))="","",I373-(G373*INDEX('04_PRODUCTOS'!$D$2:$D$501,MATCH(F373,'04_PRODUCTOS'!$B$2:$B$501,0)))),"")</f>
        <v/>
      </c>
      <c r="K373" s="7" t="str">
        <f t="shared" si="34"/>
        <v/>
      </c>
      <c r="O373" t="str">
        <f>IF(D373="","",IFERROR(INDEX('03_CLIENTES'!$A$2:$A$501,MATCH(D373,'03_CLIENTES'!$B$2:$B$501,0)),""))</f>
        <v/>
      </c>
      <c r="P373" t="str">
        <f>IF(F373="","",IFERROR(INDEX('04_PRODUCTOS'!$A$2:$A$501,MATCH(F373,'04_PRODUCTOS'!$B$2:$B$501,0)),""))</f>
        <v/>
      </c>
      <c r="Q373" t="str">
        <f t="shared" si="35"/>
        <v/>
      </c>
    </row>
    <row r="374" spans="1:17" x14ac:dyDescent="0.25">
      <c r="A374" t="str">
        <f t="shared" si="30"/>
        <v/>
      </c>
      <c r="B374" s="4" t="str">
        <f t="shared" ca="1" si="31"/>
        <v/>
      </c>
      <c r="C374" s="5" t="str">
        <f t="shared" ca="1" si="32"/>
        <v/>
      </c>
      <c r="G374" s="6"/>
      <c r="H374" s="3" t="str">
        <f>IFERROR(IF(E374="Mayorista",IF(INDEX('04_PRODUCTOS'!$F$2:$F$501,MATCH(F374,'04_PRODUCTOS'!$B$2:$B$501,0))="",INDEX('04_PRODUCTOS'!$E$2:$E$501,MATCH(F374,'04_PRODUCTOS'!$B$2:$B$501,0)),INDEX('04_PRODUCTOS'!$F$2:$F$501,MATCH(F374,'04_PRODUCTOS'!$B$2:$B$501,0))),IF(E374="Especial",IF(INDEX('04_PRODUCTOS'!$G$2:$G$501,MATCH(F374,'04_PRODUCTOS'!$B$2:$B$501,0))="",INDEX('04_PRODUCTOS'!$E$2:$E$501,MATCH(F374,'04_PRODUCTOS'!$B$2:$B$501,0)),INDEX('04_PRODUCTOS'!$G$2:$G$501,MATCH(F374,'04_PRODUCTOS'!$B$2:$B$501,0))),INDEX('04_PRODUCTOS'!$E$2:$E$501,MATCH(F374,'04_PRODUCTOS'!$B$2:$B$501,0)))),"")</f>
        <v/>
      </c>
      <c r="I374" s="3" t="str">
        <f t="shared" si="33"/>
        <v/>
      </c>
      <c r="J374" s="3" t="str">
        <f>IFERROR(IF(INDEX('04_PRODUCTOS'!$D$2:$D$501,MATCH(F374,'04_PRODUCTOS'!$B$2:$B$501,0))="","",I374-(G374*INDEX('04_PRODUCTOS'!$D$2:$D$501,MATCH(F374,'04_PRODUCTOS'!$B$2:$B$501,0)))),"")</f>
        <v/>
      </c>
      <c r="K374" s="7" t="str">
        <f t="shared" si="34"/>
        <v/>
      </c>
      <c r="O374" t="str">
        <f>IF(D374="","",IFERROR(INDEX('03_CLIENTES'!$A$2:$A$501,MATCH(D374,'03_CLIENTES'!$B$2:$B$501,0)),""))</f>
        <v/>
      </c>
      <c r="P374" t="str">
        <f>IF(F374="","",IFERROR(INDEX('04_PRODUCTOS'!$A$2:$A$501,MATCH(F374,'04_PRODUCTOS'!$B$2:$B$501,0)),""))</f>
        <v/>
      </c>
      <c r="Q374" t="str">
        <f t="shared" si="35"/>
        <v/>
      </c>
    </row>
    <row r="375" spans="1:17" x14ac:dyDescent="0.25">
      <c r="A375" t="str">
        <f t="shared" si="30"/>
        <v/>
      </c>
      <c r="B375" s="4" t="str">
        <f t="shared" ca="1" si="31"/>
        <v/>
      </c>
      <c r="C375" s="5" t="str">
        <f t="shared" ca="1" si="32"/>
        <v/>
      </c>
      <c r="G375" s="6"/>
      <c r="H375" s="3" t="str">
        <f>IFERROR(IF(E375="Mayorista",IF(INDEX('04_PRODUCTOS'!$F$2:$F$501,MATCH(F375,'04_PRODUCTOS'!$B$2:$B$501,0))="",INDEX('04_PRODUCTOS'!$E$2:$E$501,MATCH(F375,'04_PRODUCTOS'!$B$2:$B$501,0)),INDEX('04_PRODUCTOS'!$F$2:$F$501,MATCH(F375,'04_PRODUCTOS'!$B$2:$B$501,0))),IF(E375="Especial",IF(INDEX('04_PRODUCTOS'!$G$2:$G$501,MATCH(F375,'04_PRODUCTOS'!$B$2:$B$501,0))="",INDEX('04_PRODUCTOS'!$E$2:$E$501,MATCH(F375,'04_PRODUCTOS'!$B$2:$B$501,0)),INDEX('04_PRODUCTOS'!$G$2:$G$501,MATCH(F375,'04_PRODUCTOS'!$B$2:$B$501,0))),INDEX('04_PRODUCTOS'!$E$2:$E$501,MATCH(F375,'04_PRODUCTOS'!$B$2:$B$501,0)))),"")</f>
        <v/>
      </c>
      <c r="I375" s="3" t="str">
        <f t="shared" si="33"/>
        <v/>
      </c>
      <c r="J375" s="3" t="str">
        <f>IFERROR(IF(INDEX('04_PRODUCTOS'!$D$2:$D$501,MATCH(F375,'04_PRODUCTOS'!$B$2:$B$501,0))="","",I375-(G375*INDEX('04_PRODUCTOS'!$D$2:$D$501,MATCH(F375,'04_PRODUCTOS'!$B$2:$B$501,0)))),"")</f>
        <v/>
      </c>
      <c r="K375" s="7" t="str">
        <f t="shared" si="34"/>
        <v/>
      </c>
      <c r="O375" t="str">
        <f>IF(D375="","",IFERROR(INDEX('03_CLIENTES'!$A$2:$A$501,MATCH(D375,'03_CLIENTES'!$B$2:$B$501,0)),""))</f>
        <v/>
      </c>
      <c r="P375" t="str">
        <f>IF(F375="","",IFERROR(INDEX('04_PRODUCTOS'!$A$2:$A$501,MATCH(F375,'04_PRODUCTOS'!$B$2:$B$501,0)),""))</f>
        <v/>
      </c>
      <c r="Q375" t="str">
        <f t="shared" si="35"/>
        <v/>
      </c>
    </row>
    <row r="376" spans="1:17" x14ac:dyDescent="0.25">
      <c r="A376" t="str">
        <f t="shared" si="30"/>
        <v/>
      </c>
      <c r="B376" s="4" t="str">
        <f t="shared" ca="1" si="31"/>
        <v/>
      </c>
      <c r="C376" s="5" t="str">
        <f t="shared" ca="1" si="32"/>
        <v/>
      </c>
      <c r="G376" s="6"/>
      <c r="H376" s="3" t="str">
        <f>IFERROR(IF(E376="Mayorista",IF(INDEX('04_PRODUCTOS'!$F$2:$F$501,MATCH(F376,'04_PRODUCTOS'!$B$2:$B$501,0))="",INDEX('04_PRODUCTOS'!$E$2:$E$501,MATCH(F376,'04_PRODUCTOS'!$B$2:$B$501,0)),INDEX('04_PRODUCTOS'!$F$2:$F$501,MATCH(F376,'04_PRODUCTOS'!$B$2:$B$501,0))),IF(E376="Especial",IF(INDEX('04_PRODUCTOS'!$G$2:$G$501,MATCH(F376,'04_PRODUCTOS'!$B$2:$B$501,0))="",INDEX('04_PRODUCTOS'!$E$2:$E$501,MATCH(F376,'04_PRODUCTOS'!$B$2:$B$501,0)),INDEX('04_PRODUCTOS'!$G$2:$G$501,MATCH(F376,'04_PRODUCTOS'!$B$2:$B$501,0))),INDEX('04_PRODUCTOS'!$E$2:$E$501,MATCH(F376,'04_PRODUCTOS'!$B$2:$B$501,0)))),"")</f>
        <v/>
      </c>
      <c r="I376" s="3" t="str">
        <f t="shared" si="33"/>
        <v/>
      </c>
      <c r="J376" s="3" t="str">
        <f>IFERROR(IF(INDEX('04_PRODUCTOS'!$D$2:$D$501,MATCH(F376,'04_PRODUCTOS'!$B$2:$B$501,0))="","",I376-(G376*INDEX('04_PRODUCTOS'!$D$2:$D$501,MATCH(F376,'04_PRODUCTOS'!$B$2:$B$501,0)))),"")</f>
        <v/>
      </c>
      <c r="K376" s="7" t="str">
        <f t="shared" si="34"/>
        <v/>
      </c>
      <c r="O376" t="str">
        <f>IF(D376="","",IFERROR(INDEX('03_CLIENTES'!$A$2:$A$501,MATCH(D376,'03_CLIENTES'!$B$2:$B$501,0)),""))</f>
        <v/>
      </c>
      <c r="P376" t="str">
        <f>IF(F376="","",IFERROR(INDEX('04_PRODUCTOS'!$A$2:$A$501,MATCH(F376,'04_PRODUCTOS'!$B$2:$B$501,0)),""))</f>
        <v/>
      </c>
      <c r="Q376" t="str">
        <f t="shared" si="35"/>
        <v/>
      </c>
    </row>
    <row r="377" spans="1:17" x14ac:dyDescent="0.25">
      <c r="A377" t="str">
        <f t="shared" si="30"/>
        <v/>
      </c>
      <c r="B377" s="4" t="str">
        <f t="shared" ca="1" si="31"/>
        <v/>
      </c>
      <c r="C377" s="5" t="str">
        <f t="shared" ca="1" si="32"/>
        <v/>
      </c>
      <c r="G377" s="6"/>
      <c r="H377" s="3" t="str">
        <f>IFERROR(IF(E377="Mayorista",IF(INDEX('04_PRODUCTOS'!$F$2:$F$501,MATCH(F377,'04_PRODUCTOS'!$B$2:$B$501,0))="",INDEX('04_PRODUCTOS'!$E$2:$E$501,MATCH(F377,'04_PRODUCTOS'!$B$2:$B$501,0)),INDEX('04_PRODUCTOS'!$F$2:$F$501,MATCH(F377,'04_PRODUCTOS'!$B$2:$B$501,0))),IF(E377="Especial",IF(INDEX('04_PRODUCTOS'!$G$2:$G$501,MATCH(F377,'04_PRODUCTOS'!$B$2:$B$501,0))="",INDEX('04_PRODUCTOS'!$E$2:$E$501,MATCH(F377,'04_PRODUCTOS'!$B$2:$B$501,0)),INDEX('04_PRODUCTOS'!$G$2:$G$501,MATCH(F377,'04_PRODUCTOS'!$B$2:$B$501,0))),INDEX('04_PRODUCTOS'!$E$2:$E$501,MATCH(F377,'04_PRODUCTOS'!$B$2:$B$501,0)))),"")</f>
        <v/>
      </c>
      <c r="I377" s="3" t="str">
        <f t="shared" si="33"/>
        <v/>
      </c>
      <c r="J377" s="3" t="str">
        <f>IFERROR(IF(INDEX('04_PRODUCTOS'!$D$2:$D$501,MATCH(F377,'04_PRODUCTOS'!$B$2:$B$501,0))="","",I377-(G377*INDEX('04_PRODUCTOS'!$D$2:$D$501,MATCH(F377,'04_PRODUCTOS'!$B$2:$B$501,0)))),"")</f>
        <v/>
      </c>
      <c r="K377" s="7" t="str">
        <f t="shared" si="34"/>
        <v/>
      </c>
      <c r="O377" t="str">
        <f>IF(D377="","",IFERROR(INDEX('03_CLIENTES'!$A$2:$A$501,MATCH(D377,'03_CLIENTES'!$B$2:$B$501,0)),""))</f>
        <v/>
      </c>
      <c r="P377" t="str">
        <f>IF(F377="","",IFERROR(INDEX('04_PRODUCTOS'!$A$2:$A$501,MATCH(F377,'04_PRODUCTOS'!$B$2:$B$501,0)),""))</f>
        <v/>
      </c>
      <c r="Q377" t="str">
        <f t="shared" si="35"/>
        <v/>
      </c>
    </row>
    <row r="378" spans="1:17" x14ac:dyDescent="0.25">
      <c r="A378" t="str">
        <f t="shared" si="30"/>
        <v/>
      </c>
      <c r="B378" s="4" t="str">
        <f t="shared" ca="1" si="31"/>
        <v/>
      </c>
      <c r="C378" s="5" t="str">
        <f t="shared" ca="1" si="32"/>
        <v/>
      </c>
      <c r="G378" s="6"/>
      <c r="H378" s="3" t="str">
        <f>IFERROR(IF(E378="Mayorista",IF(INDEX('04_PRODUCTOS'!$F$2:$F$501,MATCH(F378,'04_PRODUCTOS'!$B$2:$B$501,0))="",INDEX('04_PRODUCTOS'!$E$2:$E$501,MATCH(F378,'04_PRODUCTOS'!$B$2:$B$501,0)),INDEX('04_PRODUCTOS'!$F$2:$F$501,MATCH(F378,'04_PRODUCTOS'!$B$2:$B$501,0))),IF(E378="Especial",IF(INDEX('04_PRODUCTOS'!$G$2:$G$501,MATCH(F378,'04_PRODUCTOS'!$B$2:$B$501,0))="",INDEX('04_PRODUCTOS'!$E$2:$E$501,MATCH(F378,'04_PRODUCTOS'!$B$2:$B$501,0)),INDEX('04_PRODUCTOS'!$G$2:$G$501,MATCH(F378,'04_PRODUCTOS'!$B$2:$B$501,0))),INDEX('04_PRODUCTOS'!$E$2:$E$501,MATCH(F378,'04_PRODUCTOS'!$B$2:$B$501,0)))),"")</f>
        <v/>
      </c>
      <c r="I378" s="3" t="str">
        <f t="shared" si="33"/>
        <v/>
      </c>
      <c r="J378" s="3" t="str">
        <f>IFERROR(IF(INDEX('04_PRODUCTOS'!$D$2:$D$501,MATCH(F378,'04_PRODUCTOS'!$B$2:$B$501,0))="","",I378-(G378*INDEX('04_PRODUCTOS'!$D$2:$D$501,MATCH(F378,'04_PRODUCTOS'!$B$2:$B$501,0)))),"")</f>
        <v/>
      </c>
      <c r="K378" s="7" t="str">
        <f t="shared" si="34"/>
        <v/>
      </c>
      <c r="O378" t="str">
        <f>IF(D378="","",IFERROR(INDEX('03_CLIENTES'!$A$2:$A$501,MATCH(D378,'03_CLIENTES'!$B$2:$B$501,0)),""))</f>
        <v/>
      </c>
      <c r="P378" t="str">
        <f>IF(F378="","",IFERROR(INDEX('04_PRODUCTOS'!$A$2:$A$501,MATCH(F378,'04_PRODUCTOS'!$B$2:$B$501,0)),""))</f>
        <v/>
      </c>
      <c r="Q378" t="str">
        <f t="shared" si="35"/>
        <v/>
      </c>
    </row>
    <row r="379" spans="1:17" x14ac:dyDescent="0.25">
      <c r="A379" t="str">
        <f t="shared" si="30"/>
        <v/>
      </c>
      <c r="B379" s="4" t="str">
        <f t="shared" ca="1" si="31"/>
        <v/>
      </c>
      <c r="C379" s="5" t="str">
        <f t="shared" ca="1" si="32"/>
        <v/>
      </c>
      <c r="G379" s="6"/>
      <c r="H379" s="3" t="str">
        <f>IFERROR(IF(E379="Mayorista",IF(INDEX('04_PRODUCTOS'!$F$2:$F$501,MATCH(F379,'04_PRODUCTOS'!$B$2:$B$501,0))="",INDEX('04_PRODUCTOS'!$E$2:$E$501,MATCH(F379,'04_PRODUCTOS'!$B$2:$B$501,0)),INDEX('04_PRODUCTOS'!$F$2:$F$501,MATCH(F379,'04_PRODUCTOS'!$B$2:$B$501,0))),IF(E379="Especial",IF(INDEX('04_PRODUCTOS'!$G$2:$G$501,MATCH(F379,'04_PRODUCTOS'!$B$2:$B$501,0))="",INDEX('04_PRODUCTOS'!$E$2:$E$501,MATCH(F379,'04_PRODUCTOS'!$B$2:$B$501,0)),INDEX('04_PRODUCTOS'!$G$2:$G$501,MATCH(F379,'04_PRODUCTOS'!$B$2:$B$501,0))),INDEX('04_PRODUCTOS'!$E$2:$E$501,MATCH(F379,'04_PRODUCTOS'!$B$2:$B$501,0)))),"")</f>
        <v/>
      </c>
      <c r="I379" s="3" t="str">
        <f t="shared" si="33"/>
        <v/>
      </c>
      <c r="J379" s="3" t="str">
        <f>IFERROR(IF(INDEX('04_PRODUCTOS'!$D$2:$D$501,MATCH(F379,'04_PRODUCTOS'!$B$2:$B$501,0))="","",I379-(G379*INDEX('04_PRODUCTOS'!$D$2:$D$501,MATCH(F379,'04_PRODUCTOS'!$B$2:$B$501,0)))),"")</f>
        <v/>
      </c>
      <c r="K379" s="7" t="str">
        <f t="shared" si="34"/>
        <v/>
      </c>
      <c r="O379" t="str">
        <f>IF(D379="","",IFERROR(INDEX('03_CLIENTES'!$A$2:$A$501,MATCH(D379,'03_CLIENTES'!$B$2:$B$501,0)),""))</f>
        <v/>
      </c>
      <c r="P379" t="str">
        <f>IF(F379="","",IFERROR(INDEX('04_PRODUCTOS'!$A$2:$A$501,MATCH(F379,'04_PRODUCTOS'!$B$2:$B$501,0)),""))</f>
        <v/>
      </c>
      <c r="Q379" t="str">
        <f t="shared" si="35"/>
        <v/>
      </c>
    </row>
    <row r="380" spans="1:17" x14ac:dyDescent="0.25">
      <c r="A380" t="str">
        <f t="shared" si="30"/>
        <v/>
      </c>
      <c r="B380" s="4" t="str">
        <f t="shared" ca="1" si="31"/>
        <v/>
      </c>
      <c r="C380" s="5" t="str">
        <f t="shared" ca="1" si="32"/>
        <v/>
      </c>
      <c r="G380" s="6"/>
      <c r="H380" s="3" t="str">
        <f>IFERROR(IF(E380="Mayorista",IF(INDEX('04_PRODUCTOS'!$F$2:$F$501,MATCH(F380,'04_PRODUCTOS'!$B$2:$B$501,0))="",INDEX('04_PRODUCTOS'!$E$2:$E$501,MATCH(F380,'04_PRODUCTOS'!$B$2:$B$501,0)),INDEX('04_PRODUCTOS'!$F$2:$F$501,MATCH(F380,'04_PRODUCTOS'!$B$2:$B$501,0))),IF(E380="Especial",IF(INDEX('04_PRODUCTOS'!$G$2:$G$501,MATCH(F380,'04_PRODUCTOS'!$B$2:$B$501,0))="",INDEX('04_PRODUCTOS'!$E$2:$E$501,MATCH(F380,'04_PRODUCTOS'!$B$2:$B$501,0)),INDEX('04_PRODUCTOS'!$G$2:$G$501,MATCH(F380,'04_PRODUCTOS'!$B$2:$B$501,0))),INDEX('04_PRODUCTOS'!$E$2:$E$501,MATCH(F380,'04_PRODUCTOS'!$B$2:$B$501,0)))),"")</f>
        <v/>
      </c>
      <c r="I380" s="3" t="str">
        <f t="shared" si="33"/>
        <v/>
      </c>
      <c r="J380" s="3" t="str">
        <f>IFERROR(IF(INDEX('04_PRODUCTOS'!$D$2:$D$501,MATCH(F380,'04_PRODUCTOS'!$B$2:$B$501,0))="","",I380-(G380*INDEX('04_PRODUCTOS'!$D$2:$D$501,MATCH(F380,'04_PRODUCTOS'!$B$2:$B$501,0)))),"")</f>
        <v/>
      </c>
      <c r="K380" s="7" t="str">
        <f t="shared" si="34"/>
        <v/>
      </c>
      <c r="O380" t="str">
        <f>IF(D380="","",IFERROR(INDEX('03_CLIENTES'!$A$2:$A$501,MATCH(D380,'03_CLIENTES'!$B$2:$B$501,0)),""))</f>
        <v/>
      </c>
      <c r="P380" t="str">
        <f>IF(F380="","",IFERROR(INDEX('04_PRODUCTOS'!$A$2:$A$501,MATCH(F380,'04_PRODUCTOS'!$B$2:$B$501,0)),""))</f>
        <v/>
      </c>
      <c r="Q380" t="str">
        <f t="shared" si="35"/>
        <v/>
      </c>
    </row>
    <row r="381" spans="1:17" x14ac:dyDescent="0.25">
      <c r="A381" t="str">
        <f t="shared" si="30"/>
        <v/>
      </c>
      <c r="B381" s="4" t="str">
        <f t="shared" ca="1" si="31"/>
        <v/>
      </c>
      <c r="C381" s="5" t="str">
        <f t="shared" ca="1" si="32"/>
        <v/>
      </c>
      <c r="G381" s="6"/>
      <c r="H381" s="3" t="str">
        <f>IFERROR(IF(E381="Mayorista",IF(INDEX('04_PRODUCTOS'!$F$2:$F$501,MATCH(F381,'04_PRODUCTOS'!$B$2:$B$501,0))="",INDEX('04_PRODUCTOS'!$E$2:$E$501,MATCH(F381,'04_PRODUCTOS'!$B$2:$B$501,0)),INDEX('04_PRODUCTOS'!$F$2:$F$501,MATCH(F381,'04_PRODUCTOS'!$B$2:$B$501,0))),IF(E381="Especial",IF(INDEX('04_PRODUCTOS'!$G$2:$G$501,MATCH(F381,'04_PRODUCTOS'!$B$2:$B$501,0))="",INDEX('04_PRODUCTOS'!$E$2:$E$501,MATCH(F381,'04_PRODUCTOS'!$B$2:$B$501,0)),INDEX('04_PRODUCTOS'!$G$2:$G$501,MATCH(F381,'04_PRODUCTOS'!$B$2:$B$501,0))),INDEX('04_PRODUCTOS'!$E$2:$E$501,MATCH(F381,'04_PRODUCTOS'!$B$2:$B$501,0)))),"")</f>
        <v/>
      </c>
      <c r="I381" s="3" t="str">
        <f t="shared" si="33"/>
        <v/>
      </c>
      <c r="J381" s="3" t="str">
        <f>IFERROR(IF(INDEX('04_PRODUCTOS'!$D$2:$D$501,MATCH(F381,'04_PRODUCTOS'!$B$2:$B$501,0))="","",I381-(G381*INDEX('04_PRODUCTOS'!$D$2:$D$501,MATCH(F381,'04_PRODUCTOS'!$B$2:$B$501,0)))),"")</f>
        <v/>
      </c>
      <c r="K381" s="7" t="str">
        <f t="shared" si="34"/>
        <v/>
      </c>
      <c r="O381" t="str">
        <f>IF(D381="","",IFERROR(INDEX('03_CLIENTES'!$A$2:$A$501,MATCH(D381,'03_CLIENTES'!$B$2:$B$501,0)),""))</f>
        <v/>
      </c>
      <c r="P381" t="str">
        <f>IF(F381="","",IFERROR(INDEX('04_PRODUCTOS'!$A$2:$A$501,MATCH(F381,'04_PRODUCTOS'!$B$2:$B$501,0)),""))</f>
        <v/>
      </c>
      <c r="Q381" t="str">
        <f t="shared" si="35"/>
        <v/>
      </c>
    </row>
    <row r="382" spans="1:17" x14ac:dyDescent="0.25">
      <c r="A382" t="str">
        <f t="shared" si="30"/>
        <v/>
      </c>
      <c r="B382" s="4" t="str">
        <f t="shared" ca="1" si="31"/>
        <v/>
      </c>
      <c r="C382" s="5" t="str">
        <f t="shared" ca="1" si="32"/>
        <v/>
      </c>
      <c r="G382" s="6"/>
      <c r="H382" s="3" t="str">
        <f>IFERROR(IF(E382="Mayorista",IF(INDEX('04_PRODUCTOS'!$F$2:$F$501,MATCH(F382,'04_PRODUCTOS'!$B$2:$B$501,0))="",INDEX('04_PRODUCTOS'!$E$2:$E$501,MATCH(F382,'04_PRODUCTOS'!$B$2:$B$501,0)),INDEX('04_PRODUCTOS'!$F$2:$F$501,MATCH(F382,'04_PRODUCTOS'!$B$2:$B$501,0))),IF(E382="Especial",IF(INDEX('04_PRODUCTOS'!$G$2:$G$501,MATCH(F382,'04_PRODUCTOS'!$B$2:$B$501,0))="",INDEX('04_PRODUCTOS'!$E$2:$E$501,MATCH(F382,'04_PRODUCTOS'!$B$2:$B$501,0)),INDEX('04_PRODUCTOS'!$G$2:$G$501,MATCH(F382,'04_PRODUCTOS'!$B$2:$B$501,0))),INDEX('04_PRODUCTOS'!$E$2:$E$501,MATCH(F382,'04_PRODUCTOS'!$B$2:$B$501,0)))),"")</f>
        <v/>
      </c>
      <c r="I382" s="3" t="str">
        <f t="shared" si="33"/>
        <v/>
      </c>
      <c r="J382" s="3" t="str">
        <f>IFERROR(IF(INDEX('04_PRODUCTOS'!$D$2:$D$501,MATCH(F382,'04_PRODUCTOS'!$B$2:$B$501,0))="","",I382-(G382*INDEX('04_PRODUCTOS'!$D$2:$D$501,MATCH(F382,'04_PRODUCTOS'!$B$2:$B$501,0)))),"")</f>
        <v/>
      </c>
      <c r="K382" s="7" t="str">
        <f t="shared" si="34"/>
        <v/>
      </c>
      <c r="O382" t="str">
        <f>IF(D382="","",IFERROR(INDEX('03_CLIENTES'!$A$2:$A$501,MATCH(D382,'03_CLIENTES'!$B$2:$B$501,0)),""))</f>
        <v/>
      </c>
      <c r="P382" t="str">
        <f>IF(F382="","",IFERROR(INDEX('04_PRODUCTOS'!$A$2:$A$501,MATCH(F382,'04_PRODUCTOS'!$B$2:$B$501,0)),""))</f>
        <v/>
      </c>
      <c r="Q382" t="str">
        <f t="shared" si="35"/>
        <v/>
      </c>
    </row>
    <row r="383" spans="1:17" x14ac:dyDescent="0.25">
      <c r="A383" t="str">
        <f t="shared" si="30"/>
        <v/>
      </c>
      <c r="B383" s="4" t="str">
        <f t="shared" ca="1" si="31"/>
        <v/>
      </c>
      <c r="C383" s="5" t="str">
        <f t="shared" ca="1" si="32"/>
        <v/>
      </c>
      <c r="G383" s="6"/>
      <c r="H383" s="3" t="str">
        <f>IFERROR(IF(E383="Mayorista",IF(INDEX('04_PRODUCTOS'!$F$2:$F$501,MATCH(F383,'04_PRODUCTOS'!$B$2:$B$501,0))="",INDEX('04_PRODUCTOS'!$E$2:$E$501,MATCH(F383,'04_PRODUCTOS'!$B$2:$B$501,0)),INDEX('04_PRODUCTOS'!$F$2:$F$501,MATCH(F383,'04_PRODUCTOS'!$B$2:$B$501,0))),IF(E383="Especial",IF(INDEX('04_PRODUCTOS'!$G$2:$G$501,MATCH(F383,'04_PRODUCTOS'!$B$2:$B$501,0))="",INDEX('04_PRODUCTOS'!$E$2:$E$501,MATCH(F383,'04_PRODUCTOS'!$B$2:$B$501,0)),INDEX('04_PRODUCTOS'!$G$2:$G$501,MATCH(F383,'04_PRODUCTOS'!$B$2:$B$501,0))),INDEX('04_PRODUCTOS'!$E$2:$E$501,MATCH(F383,'04_PRODUCTOS'!$B$2:$B$501,0)))),"")</f>
        <v/>
      </c>
      <c r="I383" s="3" t="str">
        <f t="shared" si="33"/>
        <v/>
      </c>
      <c r="J383" s="3" t="str">
        <f>IFERROR(IF(INDEX('04_PRODUCTOS'!$D$2:$D$501,MATCH(F383,'04_PRODUCTOS'!$B$2:$B$501,0))="","",I383-(G383*INDEX('04_PRODUCTOS'!$D$2:$D$501,MATCH(F383,'04_PRODUCTOS'!$B$2:$B$501,0)))),"")</f>
        <v/>
      </c>
      <c r="K383" s="7" t="str">
        <f t="shared" si="34"/>
        <v/>
      </c>
      <c r="O383" t="str">
        <f>IF(D383="","",IFERROR(INDEX('03_CLIENTES'!$A$2:$A$501,MATCH(D383,'03_CLIENTES'!$B$2:$B$501,0)),""))</f>
        <v/>
      </c>
      <c r="P383" t="str">
        <f>IF(F383="","",IFERROR(INDEX('04_PRODUCTOS'!$A$2:$A$501,MATCH(F383,'04_PRODUCTOS'!$B$2:$B$501,0)),""))</f>
        <v/>
      </c>
      <c r="Q383" t="str">
        <f t="shared" si="35"/>
        <v/>
      </c>
    </row>
    <row r="384" spans="1:17" x14ac:dyDescent="0.25">
      <c r="A384" t="str">
        <f t="shared" si="30"/>
        <v/>
      </c>
      <c r="B384" s="4" t="str">
        <f t="shared" ca="1" si="31"/>
        <v/>
      </c>
      <c r="C384" s="5" t="str">
        <f t="shared" ca="1" si="32"/>
        <v/>
      </c>
      <c r="G384" s="6"/>
      <c r="H384" s="3" t="str">
        <f>IFERROR(IF(E384="Mayorista",IF(INDEX('04_PRODUCTOS'!$F$2:$F$501,MATCH(F384,'04_PRODUCTOS'!$B$2:$B$501,0))="",INDEX('04_PRODUCTOS'!$E$2:$E$501,MATCH(F384,'04_PRODUCTOS'!$B$2:$B$501,0)),INDEX('04_PRODUCTOS'!$F$2:$F$501,MATCH(F384,'04_PRODUCTOS'!$B$2:$B$501,0))),IF(E384="Especial",IF(INDEX('04_PRODUCTOS'!$G$2:$G$501,MATCH(F384,'04_PRODUCTOS'!$B$2:$B$501,0))="",INDEX('04_PRODUCTOS'!$E$2:$E$501,MATCH(F384,'04_PRODUCTOS'!$B$2:$B$501,0)),INDEX('04_PRODUCTOS'!$G$2:$G$501,MATCH(F384,'04_PRODUCTOS'!$B$2:$B$501,0))),INDEX('04_PRODUCTOS'!$E$2:$E$501,MATCH(F384,'04_PRODUCTOS'!$B$2:$B$501,0)))),"")</f>
        <v/>
      </c>
      <c r="I384" s="3" t="str">
        <f t="shared" si="33"/>
        <v/>
      </c>
      <c r="J384" s="3" t="str">
        <f>IFERROR(IF(INDEX('04_PRODUCTOS'!$D$2:$D$501,MATCH(F384,'04_PRODUCTOS'!$B$2:$B$501,0))="","",I384-(G384*INDEX('04_PRODUCTOS'!$D$2:$D$501,MATCH(F384,'04_PRODUCTOS'!$B$2:$B$501,0)))),"")</f>
        <v/>
      </c>
      <c r="K384" s="7" t="str">
        <f t="shared" si="34"/>
        <v/>
      </c>
      <c r="O384" t="str">
        <f>IF(D384="","",IFERROR(INDEX('03_CLIENTES'!$A$2:$A$501,MATCH(D384,'03_CLIENTES'!$B$2:$B$501,0)),""))</f>
        <v/>
      </c>
      <c r="P384" t="str">
        <f>IF(F384="","",IFERROR(INDEX('04_PRODUCTOS'!$A$2:$A$501,MATCH(F384,'04_PRODUCTOS'!$B$2:$B$501,0)),""))</f>
        <v/>
      </c>
      <c r="Q384" t="str">
        <f t="shared" si="35"/>
        <v/>
      </c>
    </row>
    <row r="385" spans="1:17" x14ac:dyDescent="0.25">
      <c r="A385" t="str">
        <f t="shared" si="30"/>
        <v/>
      </c>
      <c r="B385" s="4" t="str">
        <f t="shared" ca="1" si="31"/>
        <v/>
      </c>
      <c r="C385" s="5" t="str">
        <f t="shared" ca="1" si="32"/>
        <v/>
      </c>
      <c r="G385" s="6"/>
      <c r="H385" s="3" t="str">
        <f>IFERROR(IF(E385="Mayorista",IF(INDEX('04_PRODUCTOS'!$F$2:$F$501,MATCH(F385,'04_PRODUCTOS'!$B$2:$B$501,0))="",INDEX('04_PRODUCTOS'!$E$2:$E$501,MATCH(F385,'04_PRODUCTOS'!$B$2:$B$501,0)),INDEX('04_PRODUCTOS'!$F$2:$F$501,MATCH(F385,'04_PRODUCTOS'!$B$2:$B$501,0))),IF(E385="Especial",IF(INDEX('04_PRODUCTOS'!$G$2:$G$501,MATCH(F385,'04_PRODUCTOS'!$B$2:$B$501,0))="",INDEX('04_PRODUCTOS'!$E$2:$E$501,MATCH(F385,'04_PRODUCTOS'!$B$2:$B$501,0)),INDEX('04_PRODUCTOS'!$G$2:$G$501,MATCH(F385,'04_PRODUCTOS'!$B$2:$B$501,0))),INDEX('04_PRODUCTOS'!$E$2:$E$501,MATCH(F385,'04_PRODUCTOS'!$B$2:$B$501,0)))),"")</f>
        <v/>
      </c>
      <c r="I385" s="3" t="str">
        <f t="shared" si="33"/>
        <v/>
      </c>
      <c r="J385" s="3" t="str">
        <f>IFERROR(IF(INDEX('04_PRODUCTOS'!$D$2:$D$501,MATCH(F385,'04_PRODUCTOS'!$B$2:$B$501,0))="","",I385-(G385*INDEX('04_PRODUCTOS'!$D$2:$D$501,MATCH(F385,'04_PRODUCTOS'!$B$2:$B$501,0)))),"")</f>
        <v/>
      </c>
      <c r="K385" s="7" t="str">
        <f t="shared" si="34"/>
        <v/>
      </c>
      <c r="O385" t="str">
        <f>IF(D385="","",IFERROR(INDEX('03_CLIENTES'!$A$2:$A$501,MATCH(D385,'03_CLIENTES'!$B$2:$B$501,0)),""))</f>
        <v/>
      </c>
      <c r="P385" t="str">
        <f>IF(F385="","",IFERROR(INDEX('04_PRODUCTOS'!$A$2:$A$501,MATCH(F385,'04_PRODUCTOS'!$B$2:$B$501,0)),""))</f>
        <v/>
      </c>
      <c r="Q385" t="str">
        <f t="shared" si="35"/>
        <v/>
      </c>
    </row>
    <row r="386" spans="1:17" x14ac:dyDescent="0.25">
      <c r="A386" t="str">
        <f t="shared" ref="A386:A449" si="36">IF(OR(D386="",F386=""),"","VEN"&amp;TEXT(ROW()-1,"000000"))</f>
        <v/>
      </c>
      <c r="B386" s="4" t="str">
        <f t="shared" ref="B386:B449" ca="1" si="37">IF(A386="","",TODAY())</f>
        <v/>
      </c>
      <c r="C386" s="5" t="str">
        <f t="shared" ref="C386:C449" ca="1" si="38">IF(A386="","",NOW())</f>
        <v/>
      </c>
      <c r="G386" s="6"/>
      <c r="H386" s="3" t="str">
        <f>IFERROR(IF(E386="Mayorista",IF(INDEX('04_PRODUCTOS'!$F$2:$F$501,MATCH(F386,'04_PRODUCTOS'!$B$2:$B$501,0))="",INDEX('04_PRODUCTOS'!$E$2:$E$501,MATCH(F386,'04_PRODUCTOS'!$B$2:$B$501,0)),INDEX('04_PRODUCTOS'!$F$2:$F$501,MATCH(F386,'04_PRODUCTOS'!$B$2:$B$501,0))),IF(E386="Especial",IF(INDEX('04_PRODUCTOS'!$G$2:$G$501,MATCH(F386,'04_PRODUCTOS'!$B$2:$B$501,0))="",INDEX('04_PRODUCTOS'!$E$2:$E$501,MATCH(F386,'04_PRODUCTOS'!$B$2:$B$501,0)),INDEX('04_PRODUCTOS'!$G$2:$G$501,MATCH(F386,'04_PRODUCTOS'!$B$2:$B$501,0))),INDEX('04_PRODUCTOS'!$E$2:$E$501,MATCH(F386,'04_PRODUCTOS'!$B$2:$B$501,0)))),"")</f>
        <v/>
      </c>
      <c r="I386" s="3" t="str">
        <f t="shared" ref="I386:I449" si="39">IF(AND(G386&lt;&gt;"",H386&lt;&gt;""),G386*H386,"")</f>
        <v/>
      </c>
      <c r="J386" s="3" t="str">
        <f>IFERROR(IF(INDEX('04_PRODUCTOS'!$D$2:$D$501,MATCH(F386,'04_PRODUCTOS'!$B$2:$B$501,0))="","",I386-(G386*INDEX('04_PRODUCTOS'!$D$2:$D$501,MATCH(F386,'04_PRODUCTOS'!$B$2:$B$501,0)))),"")</f>
        <v/>
      </c>
      <c r="K386" s="7" t="str">
        <f t="shared" ref="K386:K449" si="40">IF(OR(I386="",J386=""),"",IFERROR(J386/I386,""))</f>
        <v/>
      </c>
      <c r="O386" t="str">
        <f>IF(D386="","",IFERROR(INDEX('03_CLIENTES'!$A$2:$A$501,MATCH(D386,'03_CLIENTES'!$B$2:$B$501,0)),""))</f>
        <v/>
      </c>
      <c r="P386" t="str">
        <f>IF(F386="","",IFERROR(INDEX('04_PRODUCTOS'!$A$2:$A$501,MATCH(F386,'04_PRODUCTOS'!$B$2:$B$501,0)),""))</f>
        <v/>
      </c>
      <c r="Q386" t="str">
        <f t="shared" ref="Q386:Q449" si="41">IF(AND(D386&lt;&gt;"",F386&lt;&gt;"",G386&gt;0,H386&lt;&gt;""),IF(O386="","CLIENTE NO ENCONTRADO",IF(P386="","PRODUCTO NO ENCONTRADO","OK")),"")</f>
        <v/>
      </c>
    </row>
    <row r="387" spans="1:17" x14ac:dyDescent="0.25">
      <c r="A387" t="str">
        <f t="shared" si="36"/>
        <v/>
      </c>
      <c r="B387" s="4" t="str">
        <f t="shared" ca="1" si="37"/>
        <v/>
      </c>
      <c r="C387" s="5" t="str">
        <f t="shared" ca="1" si="38"/>
        <v/>
      </c>
      <c r="G387" s="6"/>
      <c r="H387" s="3" t="str">
        <f>IFERROR(IF(E387="Mayorista",IF(INDEX('04_PRODUCTOS'!$F$2:$F$501,MATCH(F387,'04_PRODUCTOS'!$B$2:$B$501,0))="",INDEX('04_PRODUCTOS'!$E$2:$E$501,MATCH(F387,'04_PRODUCTOS'!$B$2:$B$501,0)),INDEX('04_PRODUCTOS'!$F$2:$F$501,MATCH(F387,'04_PRODUCTOS'!$B$2:$B$501,0))),IF(E387="Especial",IF(INDEX('04_PRODUCTOS'!$G$2:$G$501,MATCH(F387,'04_PRODUCTOS'!$B$2:$B$501,0))="",INDEX('04_PRODUCTOS'!$E$2:$E$501,MATCH(F387,'04_PRODUCTOS'!$B$2:$B$501,0)),INDEX('04_PRODUCTOS'!$G$2:$G$501,MATCH(F387,'04_PRODUCTOS'!$B$2:$B$501,0))),INDEX('04_PRODUCTOS'!$E$2:$E$501,MATCH(F387,'04_PRODUCTOS'!$B$2:$B$501,0)))),"")</f>
        <v/>
      </c>
      <c r="I387" s="3" t="str">
        <f t="shared" si="39"/>
        <v/>
      </c>
      <c r="J387" s="3" t="str">
        <f>IFERROR(IF(INDEX('04_PRODUCTOS'!$D$2:$D$501,MATCH(F387,'04_PRODUCTOS'!$B$2:$B$501,0))="","",I387-(G387*INDEX('04_PRODUCTOS'!$D$2:$D$501,MATCH(F387,'04_PRODUCTOS'!$B$2:$B$501,0)))),"")</f>
        <v/>
      </c>
      <c r="K387" s="7" t="str">
        <f t="shared" si="40"/>
        <v/>
      </c>
      <c r="O387" t="str">
        <f>IF(D387="","",IFERROR(INDEX('03_CLIENTES'!$A$2:$A$501,MATCH(D387,'03_CLIENTES'!$B$2:$B$501,0)),""))</f>
        <v/>
      </c>
      <c r="P387" t="str">
        <f>IF(F387="","",IFERROR(INDEX('04_PRODUCTOS'!$A$2:$A$501,MATCH(F387,'04_PRODUCTOS'!$B$2:$B$501,0)),""))</f>
        <v/>
      </c>
      <c r="Q387" t="str">
        <f t="shared" si="41"/>
        <v/>
      </c>
    </row>
    <row r="388" spans="1:17" x14ac:dyDescent="0.25">
      <c r="A388" t="str">
        <f t="shared" si="36"/>
        <v/>
      </c>
      <c r="B388" s="4" t="str">
        <f t="shared" ca="1" si="37"/>
        <v/>
      </c>
      <c r="C388" s="5" t="str">
        <f t="shared" ca="1" si="38"/>
        <v/>
      </c>
      <c r="G388" s="6"/>
      <c r="H388" s="3" t="str">
        <f>IFERROR(IF(E388="Mayorista",IF(INDEX('04_PRODUCTOS'!$F$2:$F$501,MATCH(F388,'04_PRODUCTOS'!$B$2:$B$501,0))="",INDEX('04_PRODUCTOS'!$E$2:$E$501,MATCH(F388,'04_PRODUCTOS'!$B$2:$B$501,0)),INDEX('04_PRODUCTOS'!$F$2:$F$501,MATCH(F388,'04_PRODUCTOS'!$B$2:$B$501,0))),IF(E388="Especial",IF(INDEX('04_PRODUCTOS'!$G$2:$G$501,MATCH(F388,'04_PRODUCTOS'!$B$2:$B$501,0))="",INDEX('04_PRODUCTOS'!$E$2:$E$501,MATCH(F388,'04_PRODUCTOS'!$B$2:$B$501,0)),INDEX('04_PRODUCTOS'!$G$2:$G$501,MATCH(F388,'04_PRODUCTOS'!$B$2:$B$501,0))),INDEX('04_PRODUCTOS'!$E$2:$E$501,MATCH(F388,'04_PRODUCTOS'!$B$2:$B$501,0)))),"")</f>
        <v/>
      </c>
      <c r="I388" s="3" t="str">
        <f t="shared" si="39"/>
        <v/>
      </c>
      <c r="J388" s="3" t="str">
        <f>IFERROR(IF(INDEX('04_PRODUCTOS'!$D$2:$D$501,MATCH(F388,'04_PRODUCTOS'!$B$2:$B$501,0))="","",I388-(G388*INDEX('04_PRODUCTOS'!$D$2:$D$501,MATCH(F388,'04_PRODUCTOS'!$B$2:$B$501,0)))),"")</f>
        <v/>
      </c>
      <c r="K388" s="7" t="str">
        <f t="shared" si="40"/>
        <v/>
      </c>
      <c r="O388" t="str">
        <f>IF(D388="","",IFERROR(INDEX('03_CLIENTES'!$A$2:$A$501,MATCH(D388,'03_CLIENTES'!$B$2:$B$501,0)),""))</f>
        <v/>
      </c>
      <c r="P388" t="str">
        <f>IF(F388="","",IFERROR(INDEX('04_PRODUCTOS'!$A$2:$A$501,MATCH(F388,'04_PRODUCTOS'!$B$2:$B$501,0)),""))</f>
        <v/>
      </c>
      <c r="Q388" t="str">
        <f t="shared" si="41"/>
        <v/>
      </c>
    </row>
    <row r="389" spans="1:17" x14ac:dyDescent="0.25">
      <c r="A389" t="str">
        <f t="shared" si="36"/>
        <v/>
      </c>
      <c r="B389" s="4" t="str">
        <f t="shared" ca="1" si="37"/>
        <v/>
      </c>
      <c r="C389" s="5" t="str">
        <f t="shared" ca="1" si="38"/>
        <v/>
      </c>
      <c r="G389" s="6"/>
      <c r="H389" s="3" t="str">
        <f>IFERROR(IF(E389="Mayorista",IF(INDEX('04_PRODUCTOS'!$F$2:$F$501,MATCH(F389,'04_PRODUCTOS'!$B$2:$B$501,0))="",INDEX('04_PRODUCTOS'!$E$2:$E$501,MATCH(F389,'04_PRODUCTOS'!$B$2:$B$501,0)),INDEX('04_PRODUCTOS'!$F$2:$F$501,MATCH(F389,'04_PRODUCTOS'!$B$2:$B$501,0))),IF(E389="Especial",IF(INDEX('04_PRODUCTOS'!$G$2:$G$501,MATCH(F389,'04_PRODUCTOS'!$B$2:$B$501,0))="",INDEX('04_PRODUCTOS'!$E$2:$E$501,MATCH(F389,'04_PRODUCTOS'!$B$2:$B$501,0)),INDEX('04_PRODUCTOS'!$G$2:$G$501,MATCH(F389,'04_PRODUCTOS'!$B$2:$B$501,0))),INDEX('04_PRODUCTOS'!$E$2:$E$501,MATCH(F389,'04_PRODUCTOS'!$B$2:$B$501,0)))),"")</f>
        <v/>
      </c>
      <c r="I389" s="3" t="str">
        <f t="shared" si="39"/>
        <v/>
      </c>
      <c r="J389" s="3" t="str">
        <f>IFERROR(IF(INDEX('04_PRODUCTOS'!$D$2:$D$501,MATCH(F389,'04_PRODUCTOS'!$B$2:$B$501,0))="","",I389-(G389*INDEX('04_PRODUCTOS'!$D$2:$D$501,MATCH(F389,'04_PRODUCTOS'!$B$2:$B$501,0)))),"")</f>
        <v/>
      </c>
      <c r="K389" s="7" t="str">
        <f t="shared" si="40"/>
        <v/>
      </c>
      <c r="O389" t="str">
        <f>IF(D389="","",IFERROR(INDEX('03_CLIENTES'!$A$2:$A$501,MATCH(D389,'03_CLIENTES'!$B$2:$B$501,0)),""))</f>
        <v/>
      </c>
      <c r="P389" t="str">
        <f>IF(F389="","",IFERROR(INDEX('04_PRODUCTOS'!$A$2:$A$501,MATCH(F389,'04_PRODUCTOS'!$B$2:$B$501,0)),""))</f>
        <v/>
      </c>
      <c r="Q389" t="str">
        <f t="shared" si="41"/>
        <v/>
      </c>
    </row>
    <row r="390" spans="1:17" x14ac:dyDescent="0.25">
      <c r="A390" t="str">
        <f t="shared" si="36"/>
        <v/>
      </c>
      <c r="B390" s="4" t="str">
        <f t="shared" ca="1" si="37"/>
        <v/>
      </c>
      <c r="C390" s="5" t="str">
        <f t="shared" ca="1" si="38"/>
        <v/>
      </c>
      <c r="G390" s="6"/>
      <c r="H390" s="3" t="str">
        <f>IFERROR(IF(E390="Mayorista",IF(INDEX('04_PRODUCTOS'!$F$2:$F$501,MATCH(F390,'04_PRODUCTOS'!$B$2:$B$501,0))="",INDEX('04_PRODUCTOS'!$E$2:$E$501,MATCH(F390,'04_PRODUCTOS'!$B$2:$B$501,0)),INDEX('04_PRODUCTOS'!$F$2:$F$501,MATCH(F390,'04_PRODUCTOS'!$B$2:$B$501,0))),IF(E390="Especial",IF(INDEX('04_PRODUCTOS'!$G$2:$G$501,MATCH(F390,'04_PRODUCTOS'!$B$2:$B$501,0))="",INDEX('04_PRODUCTOS'!$E$2:$E$501,MATCH(F390,'04_PRODUCTOS'!$B$2:$B$501,0)),INDEX('04_PRODUCTOS'!$G$2:$G$501,MATCH(F390,'04_PRODUCTOS'!$B$2:$B$501,0))),INDEX('04_PRODUCTOS'!$E$2:$E$501,MATCH(F390,'04_PRODUCTOS'!$B$2:$B$501,0)))),"")</f>
        <v/>
      </c>
      <c r="I390" s="3" t="str">
        <f t="shared" si="39"/>
        <v/>
      </c>
      <c r="J390" s="3" t="str">
        <f>IFERROR(IF(INDEX('04_PRODUCTOS'!$D$2:$D$501,MATCH(F390,'04_PRODUCTOS'!$B$2:$B$501,0))="","",I390-(G390*INDEX('04_PRODUCTOS'!$D$2:$D$501,MATCH(F390,'04_PRODUCTOS'!$B$2:$B$501,0)))),"")</f>
        <v/>
      </c>
      <c r="K390" s="7" t="str">
        <f t="shared" si="40"/>
        <v/>
      </c>
      <c r="O390" t="str">
        <f>IF(D390="","",IFERROR(INDEX('03_CLIENTES'!$A$2:$A$501,MATCH(D390,'03_CLIENTES'!$B$2:$B$501,0)),""))</f>
        <v/>
      </c>
      <c r="P390" t="str">
        <f>IF(F390="","",IFERROR(INDEX('04_PRODUCTOS'!$A$2:$A$501,MATCH(F390,'04_PRODUCTOS'!$B$2:$B$501,0)),""))</f>
        <v/>
      </c>
      <c r="Q390" t="str">
        <f t="shared" si="41"/>
        <v/>
      </c>
    </row>
    <row r="391" spans="1:17" x14ac:dyDescent="0.25">
      <c r="A391" t="str">
        <f t="shared" si="36"/>
        <v/>
      </c>
      <c r="B391" s="4" t="str">
        <f t="shared" ca="1" si="37"/>
        <v/>
      </c>
      <c r="C391" s="5" t="str">
        <f t="shared" ca="1" si="38"/>
        <v/>
      </c>
      <c r="G391" s="6"/>
      <c r="H391" s="3" t="str">
        <f>IFERROR(IF(E391="Mayorista",IF(INDEX('04_PRODUCTOS'!$F$2:$F$501,MATCH(F391,'04_PRODUCTOS'!$B$2:$B$501,0))="",INDEX('04_PRODUCTOS'!$E$2:$E$501,MATCH(F391,'04_PRODUCTOS'!$B$2:$B$501,0)),INDEX('04_PRODUCTOS'!$F$2:$F$501,MATCH(F391,'04_PRODUCTOS'!$B$2:$B$501,0))),IF(E391="Especial",IF(INDEX('04_PRODUCTOS'!$G$2:$G$501,MATCH(F391,'04_PRODUCTOS'!$B$2:$B$501,0))="",INDEX('04_PRODUCTOS'!$E$2:$E$501,MATCH(F391,'04_PRODUCTOS'!$B$2:$B$501,0)),INDEX('04_PRODUCTOS'!$G$2:$G$501,MATCH(F391,'04_PRODUCTOS'!$B$2:$B$501,0))),INDEX('04_PRODUCTOS'!$E$2:$E$501,MATCH(F391,'04_PRODUCTOS'!$B$2:$B$501,0)))),"")</f>
        <v/>
      </c>
      <c r="I391" s="3" t="str">
        <f t="shared" si="39"/>
        <v/>
      </c>
      <c r="J391" s="3" t="str">
        <f>IFERROR(IF(INDEX('04_PRODUCTOS'!$D$2:$D$501,MATCH(F391,'04_PRODUCTOS'!$B$2:$B$501,0))="","",I391-(G391*INDEX('04_PRODUCTOS'!$D$2:$D$501,MATCH(F391,'04_PRODUCTOS'!$B$2:$B$501,0)))),"")</f>
        <v/>
      </c>
      <c r="K391" s="7" t="str">
        <f t="shared" si="40"/>
        <v/>
      </c>
      <c r="O391" t="str">
        <f>IF(D391="","",IFERROR(INDEX('03_CLIENTES'!$A$2:$A$501,MATCH(D391,'03_CLIENTES'!$B$2:$B$501,0)),""))</f>
        <v/>
      </c>
      <c r="P391" t="str">
        <f>IF(F391="","",IFERROR(INDEX('04_PRODUCTOS'!$A$2:$A$501,MATCH(F391,'04_PRODUCTOS'!$B$2:$B$501,0)),""))</f>
        <v/>
      </c>
      <c r="Q391" t="str">
        <f t="shared" si="41"/>
        <v/>
      </c>
    </row>
    <row r="392" spans="1:17" x14ac:dyDescent="0.25">
      <c r="A392" t="str">
        <f t="shared" si="36"/>
        <v/>
      </c>
      <c r="B392" s="4" t="str">
        <f t="shared" ca="1" si="37"/>
        <v/>
      </c>
      <c r="C392" s="5" t="str">
        <f t="shared" ca="1" si="38"/>
        <v/>
      </c>
      <c r="G392" s="6"/>
      <c r="H392" s="3" t="str">
        <f>IFERROR(IF(E392="Mayorista",IF(INDEX('04_PRODUCTOS'!$F$2:$F$501,MATCH(F392,'04_PRODUCTOS'!$B$2:$B$501,0))="",INDEX('04_PRODUCTOS'!$E$2:$E$501,MATCH(F392,'04_PRODUCTOS'!$B$2:$B$501,0)),INDEX('04_PRODUCTOS'!$F$2:$F$501,MATCH(F392,'04_PRODUCTOS'!$B$2:$B$501,0))),IF(E392="Especial",IF(INDEX('04_PRODUCTOS'!$G$2:$G$501,MATCH(F392,'04_PRODUCTOS'!$B$2:$B$501,0))="",INDEX('04_PRODUCTOS'!$E$2:$E$501,MATCH(F392,'04_PRODUCTOS'!$B$2:$B$501,0)),INDEX('04_PRODUCTOS'!$G$2:$G$501,MATCH(F392,'04_PRODUCTOS'!$B$2:$B$501,0))),INDEX('04_PRODUCTOS'!$E$2:$E$501,MATCH(F392,'04_PRODUCTOS'!$B$2:$B$501,0)))),"")</f>
        <v/>
      </c>
      <c r="I392" s="3" t="str">
        <f t="shared" si="39"/>
        <v/>
      </c>
      <c r="J392" s="3" t="str">
        <f>IFERROR(IF(INDEX('04_PRODUCTOS'!$D$2:$D$501,MATCH(F392,'04_PRODUCTOS'!$B$2:$B$501,0))="","",I392-(G392*INDEX('04_PRODUCTOS'!$D$2:$D$501,MATCH(F392,'04_PRODUCTOS'!$B$2:$B$501,0)))),"")</f>
        <v/>
      </c>
      <c r="K392" s="7" t="str">
        <f t="shared" si="40"/>
        <v/>
      </c>
      <c r="O392" t="str">
        <f>IF(D392="","",IFERROR(INDEX('03_CLIENTES'!$A$2:$A$501,MATCH(D392,'03_CLIENTES'!$B$2:$B$501,0)),""))</f>
        <v/>
      </c>
      <c r="P392" t="str">
        <f>IF(F392="","",IFERROR(INDEX('04_PRODUCTOS'!$A$2:$A$501,MATCH(F392,'04_PRODUCTOS'!$B$2:$B$501,0)),""))</f>
        <v/>
      </c>
      <c r="Q392" t="str">
        <f t="shared" si="41"/>
        <v/>
      </c>
    </row>
    <row r="393" spans="1:17" x14ac:dyDescent="0.25">
      <c r="A393" t="str">
        <f t="shared" si="36"/>
        <v/>
      </c>
      <c r="B393" s="4" t="str">
        <f t="shared" ca="1" si="37"/>
        <v/>
      </c>
      <c r="C393" s="5" t="str">
        <f t="shared" ca="1" si="38"/>
        <v/>
      </c>
      <c r="G393" s="6"/>
      <c r="H393" s="3" t="str">
        <f>IFERROR(IF(E393="Mayorista",IF(INDEX('04_PRODUCTOS'!$F$2:$F$501,MATCH(F393,'04_PRODUCTOS'!$B$2:$B$501,0))="",INDEX('04_PRODUCTOS'!$E$2:$E$501,MATCH(F393,'04_PRODUCTOS'!$B$2:$B$501,0)),INDEX('04_PRODUCTOS'!$F$2:$F$501,MATCH(F393,'04_PRODUCTOS'!$B$2:$B$501,0))),IF(E393="Especial",IF(INDEX('04_PRODUCTOS'!$G$2:$G$501,MATCH(F393,'04_PRODUCTOS'!$B$2:$B$501,0))="",INDEX('04_PRODUCTOS'!$E$2:$E$501,MATCH(F393,'04_PRODUCTOS'!$B$2:$B$501,0)),INDEX('04_PRODUCTOS'!$G$2:$G$501,MATCH(F393,'04_PRODUCTOS'!$B$2:$B$501,0))),INDEX('04_PRODUCTOS'!$E$2:$E$501,MATCH(F393,'04_PRODUCTOS'!$B$2:$B$501,0)))),"")</f>
        <v/>
      </c>
      <c r="I393" s="3" t="str">
        <f t="shared" si="39"/>
        <v/>
      </c>
      <c r="J393" s="3" t="str">
        <f>IFERROR(IF(INDEX('04_PRODUCTOS'!$D$2:$D$501,MATCH(F393,'04_PRODUCTOS'!$B$2:$B$501,0))="","",I393-(G393*INDEX('04_PRODUCTOS'!$D$2:$D$501,MATCH(F393,'04_PRODUCTOS'!$B$2:$B$501,0)))),"")</f>
        <v/>
      </c>
      <c r="K393" s="7" t="str">
        <f t="shared" si="40"/>
        <v/>
      </c>
      <c r="O393" t="str">
        <f>IF(D393="","",IFERROR(INDEX('03_CLIENTES'!$A$2:$A$501,MATCH(D393,'03_CLIENTES'!$B$2:$B$501,0)),""))</f>
        <v/>
      </c>
      <c r="P393" t="str">
        <f>IF(F393="","",IFERROR(INDEX('04_PRODUCTOS'!$A$2:$A$501,MATCH(F393,'04_PRODUCTOS'!$B$2:$B$501,0)),""))</f>
        <v/>
      </c>
      <c r="Q393" t="str">
        <f t="shared" si="41"/>
        <v/>
      </c>
    </row>
    <row r="394" spans="1:17" x14ac:dyDescent="0.25">
      <c r="A394" t="str">
        <f t="shared" si="36"/>
        <v/>
      </c>
      <c r="B394" s="4" t="str">
        <f t="shared" ca="1" si="37"/>
        <v/>
      </c>
      <c r="C394" s="5" t="str">
        <f t="shared" ca="1" si="38"/>
        <v/>
      </c>
      <c r="G394" s="6"/>
      <c r="H394" s="3" t="str">
        <f>IFERROR(IF(E394="Mayorista",IF(INDEX('04_PRODUCTOS'!$F$2:$F$501,MATCH(F394,'04_PRODUCTOS'!$B$2:$B$501,0))="",INDEX('04_PRODUCTOS'!$E$2:$E$501,MATCH(F394,'04_PRODUCTOS'!$B$2:$B$501,0)),INDEX('04_PRODUCTOS'!$F$2:$F$501,MATCH(F394,'04_PRODUCTOS'!$B$2:$B$501,0))),IF(E394="Especial",IF(INDEX('04_PRODUCTOS'!$G$2:$G$501,MATCH(F394,'04_PRODUCTOS'!$B$2:$B$501,0))="",INDEX('04_PRODUCTOS'!$E$2:$E$501,MATCH(F394,'04_PRODUCTOS'!$B$2:$B$501,0)),INDEX('04_PRODUCTOS'!$G$2:$G$501,MATCH(F394,'04_PRODUCTOS'!$B$2:$B$501,0))),INDEX('04_PRODUCTOS'!$E$2:$E$501,MATCH(F394,'04_PRODUCTOS'!$B$2:$B$501,0)))),"")</f>
        <v/>
      </c>
      <c r="I394" s="3" t="str">
        <f t="shared" si="39"/>
        <v/>
      </c>
      <c r="J394" s="3" t="str">
        <f>IFERROR(IF(INDEX('04_PRODUCTOS'!$D$2:$D$501,MATCH(F394,'04_PRODUCTOS'!$B$2:$B$501,0))="","",I394-(G394*INDEX('04_PRODUCTOS'!$D$2:$D$501,MATCH(F394,'04_PRODUCTOS'!$B$2:$B$501,0)))),"")</f>
        <v/>
      </c>
      <c r="K394" s="7" t="str">
        <f t="shared" si="40"/>
        <v/>
      </c>
      <c r="O394" t="str">
        <f>IF(D394="","",IFERROR(INDEX('03_CLIENTES'!$A$2:$A$501,MATCH(D394,'03_CLIENTES'!$B$2:$B$501,0)),""))</f>
        <v/>
      </c>
      <c r="P394" t="str">
        <f>IF(F394="","",IFERROR(INDEX('04_PRODUCTOS'!$A$2:$A$501,MATCH(F394,'04_PRODUCTOS'!$B$2:$B$501,0)),""))</f>
        <v/>
      </c>
      <c r="Q394" t="str">
        <f t="shared" si="41"/>
        <v/>
      </c>
    </row>
    <row r="395" spans="1:17" x14ac:dyDescent="0.25">
      <c r="A395" t="str">
        <f t="shared" si="36"/>
        <v/>
      </c>
      <c r="B395" s="4" t="str">
        <f t="shared" ca="1" si="37"/>
        <v/>
      </c>
      <c r="C395" s="5" t="str">
        <f t="shared" ca="1" si="38"/>
        <v/>
      </c>
      <c r="G395" s="6"/>
      <c r="H395" s="3" t="str">
        <f>IFERROR(IF(E395="Mayorista",IF(INDEX('04_PRODUCTOS'!$F$2:$F$501,MATCH(F395,'04_PRODUCTOS'!$B$2:$B$501,0))="",INDEX('04_PRODUCTOS'!$E$2:$E$501,MATCH(F395,'04_PRODUCTOS'!$B$2:$B$501,0)),INDEX('04_PRODUCTOS'!$F$2:$F$501,MATCH(F395,'04_PRODUCTOS'!$B$2:$B$501,0))),IF(E395="Especial",IF(INDEX('04_PRODUCTOS'!$G$2:$G$501,MATCH(F395,'04_PRODUCTOS'!$B$2:$B$501,0))="",INDEX('04_PRODUCTOS'!$E$2:$E$501,MATCH(F395,'04_PRODUCTOS'!$B$2:$B$501,0)),INDEX('04_PRODUCTOS'!$G$2:$G$501,MATCH(F395,'04_PRODUCTOS'!$B$2:$B$501,0))),INDEX('04_PRODUCTOS'!$E$2:$E$501,MATCH(F395,'04_PRODUCTOS'!$B$2:$B$501,0)))),"")</f>
        <v/>
      </c>
      <c r="I395" s="3" t="str">
        <f t="shared" si="39"/>
        <v/>
      </c>
      <c r="J395" s="3" t="str">
        <f>IFERROR(IF(INDEX('04_PRODUCTOS'!$D$2:$D$501,MATCH(F395,'04_PRODUCTOS'!$B$2:$B$501,0))="","",I395-(G395*INDEX('04_PRODUCTOS'!$D$2:$D$501,MATCH(F395,'04_PRODUCTOS'!$B$2:$B$501,0)))),"")</f>
        <v/>
      </c>
      <c r="K395" s="7" t="str">
        <f t="shared" si="40"/>
        <v/>
      </c>
      <c r="O395" t="str">
        <f>IF(D395="","",IFERROR(INDEX('03_CLIENTES'!$A$2:$A$501,MATCH(D395,'03_CLIENTES'!$B$2:$B$501,0)),""))</f>
        <v/>
      </c>
      <c r="P395" t="str">
        <f>IF(F395="","",IFERROR(INDEX('04_PRODUCTOS'!$A$2:$A$501,MATCH(F395,'04_PRODUCTOS'!$B$2:$B$501,0)),""))</f>
        <v/>
      </c>
      <c r="Q395" t="str">
        <f t="shared" si="41"/>
        <v/>
      </c>
    </row>
    <row r="396" spans="1:17" x14ac:dyDescent="0.25">
      <c r="A396" t="str">
        <f t="shared" si="36"/>
        <v/>
      </c>
      <c r="B396" s="4" t="str">
        <f t="shared" ca="1" si="37"/>
        <v/>
      </c>
      <c r="C396" s="5" t="str">
        <f t="shared" ca="1" si="38"/>
        <v/>
      </c>
      <c r="G396" s="6"/>
      <c r="H396" s="3" t="str">
        <f>IFERROR(IF(E396="Mayorista",IF(INDEX('04_PRODUCTOS'!$F$2:$F$501,MATCH(F396,'04_PRODUCTOS'!$B$2:$B$501,0))="",INDEX('04_PRODUCTOS'!$E$2:$E$501,MATCH(F396,'04_PRODUCTOS'!$B$2:$B$501,0)),INDEX('04_PRODUCTOS'!$F$2:$F$501,MATCH(F396,'04_PRODUCTOS'!$B$2:$B$501,0))),IF(E396="Especial",IF(INDEX('04_PRODUCTOS'!$G$2:$G$501,MATCH(F396,'04_PRODUCTOS'!$B$2:$B$501,0))="",INDEX('04_PRODUCTOS'!$E$2:$E$501,MATCH(F396,'04_PRODUCTOS'!$B$2:$B$501,0)),INDEX('04_PRODUCTOS'!$G$2:$G$501,MATCH(F396,'04_PRODUCTOS'!$B$2:$B$501,0))),INDEX('04_PRODUCTOS'!$E$2:$E$501,MATCH(F396,'04_PRODUCTOS'!$B$2:$B$501,0)))),"")</f>
        <v/>
      </c>
      <c r="I396" s="3" t="str">
        <f t="shared" si="39"/>
        <v/>
      </c>
      <c r="J396" s="3" t="str">
        <f>IFERROR(IF(INDEX('04_PRODUCTOS'!$D$2:$D$501,MATCH(F396,'04_PRODUCTOS'!$B$2:$B$501,0))="","",I396-(G396*INDEX('04_PRODUCTOS'!$D$2:$D$501,MATCH(F396,'04_PRODUCTOS'!$B$2:$B$501,0)))),"")</f>
        <v/>
      </c>
      <c r="K396" s="7" t="str">
        <f t="shared" si="40"/>
        <v/>
      </c>
      <c r="O396" t="str">
        <f>IF(D396="","",IFERROR(INDEX('03_CLIENTES'!$A$2:$A$501,MATCH(D396,'03_CLIENTES'!$B$2:$B$501,0)),""))</f>
        <v/>
      </c>
      <c r="P396" t="str">
        <f>IF(F396="","",IFERROR(INDEX('04_PRODUCTOS'!$A$2:$A$501,MATCH(F396,'04_PRODUCTOS'!$B$2:$B$501,0)),""))</f>
        <v/>
      </c>
      <c r="Q396" t="str">
        <f t="shared" si="41"/>
        <v/>
      </c>
    </row>
    <row r="397" spans="1:17" x14ac:dyDescent="0.25">
      <c r="A397" t="str">
        <f t="shared" si="36"/>
        <v/>
      </c>
      <c r="B397" s="4" t="str">
        <f t="shared" ca="1" si="37"/>
        <v/>
      </c>
      <c r="C397" s="5" t="str">
        <f t="shared" ca="1" si="38"/>
        <v/>
      </c>
      <c r="G397" s="6"/>
      <c r="H397" s="3" t="str">
        <f>IFERROR(IF(E397="Mayorista",IF(INDEX('04_PRODUCTOS'!$F$2:$F$501,MATCH(F397,'04_PRODUCTOS'!$B$2:$B$501,0))="",INDEX('04_PRODUCTOS'!$E$2:$E$501,MATCH(F397,'04_PRODUCTOS'!$B$2:$B$501,0)),INDEX('04_PRODUCTOS'!$F$2:$F$501,MATCH(F397,'04_PRODUCTOS'!$B$2:$B$501,0))),IF(E397="Especial",IF(INDEX('04_PRODUCTOS'!$G$2:$G$501,MATCH(F397,'04_PRODUCTOS'!$B$2:$B$501,0))="",INDEX('04_PRODUCTOS'!$E$2:$E$501,MATCH(F397,'04_PRODUCTOS'!$B$2:$B$501,0)),INDEX('04_PRODUCTOS'!$G$2:$G$501,MATCH(F397,'04_PRODUCTOS'!$B$2:$B$501,0))),INDEX('04_PRODUCTOS'!$E$2:$E$501,MATCH(F397,'04_PRODUCTOS'!$B$2:$B$501,0)))),"")</f>
        <v/>
      </c>
      <c r="I397" s="3" t="str">
        <f t="shared" si="39"/>
        <v/>
      </c>
      <c r="J397" s="3" t="str">
        <f>IFERROR(IF(INDEX('04_PRODUCTOS'!$D$2:$D$501,MATCH(F397,'04_PRODUCTOS'!$B$2:$B$501,0))="","",I397-(G397*INDEX('04_PRODUCTOS'!$D$2:$D$501,MATCH(F397,'04_PRODUCTOS'!$B$2:$B$501,0)))),"")</f>
        <v/>
      </c>
      <c r="K397" s="7" t="str">
        <f t="shared" si="40"/>
        <v/>
      </c>
      <c r="O397" t="str">
        <f>IF(D397="","",IFERROR(INDEX('03_CLIENTES'!$A$2:$A$501,MATCH(D397,'03_CLIENTES'!$B$2:$B$501,0)),""))</f>
        <v/>
      </c>
      <c r="P397" t="str">
        <f>IF(F397="","",IFERROR(INDEX('04_PRODUCTOS'!$A$2:$A$501,MATCH(F397,'04_PRODUCTOS'!$B$2:$B$501,0)),""))</f>
        <v/>
      </c>
      <c r="Q397" t="str">
        <f t="shared" si="41"/>
        <v/>
      </c>
    </row>
    <row r="398" spans="1:17" x14ac:dyDescent="0.25">
      <c r="A398" t="str">
        <f t="shared" si="36"/>
        <v/>
      </c>
      <c r="B398" s="4" t="str">
        <f t="shared" ca="1" si="37"/>
        <v/>
      </c>
      <c r="C398" s="5" t="str">
        <f t="shared" ca="1" si="38"/>
        <v/>
      </c>
      <c r="G398" s="6"/>
      <c r="H398" s="3" t="str">
        <f>IFERROR(IF(E398="Mayorista",IF(INDEX('04_PRODUCTOS'!$F$2:$F$501,MATCH(F398,'04_PRODUCTOS'!$B$2:$B$501,0))="",INDEX('04_PRODUCTOS'!$E$2:$E$501,MATCH(F398,'04_PRODUCTOS'!$B$2:$B$501,0)),INDEX('04_PRODUCTOS'!$F$2:$F$501,MATCH(F398,'04_PRODUCTOS'!$B$2:$B$501,0))),IF(E398="Especial",IF(INDEX('04_PRODUCTOS'!$G$2:$G$501,MATCH(F398,'04_PRODUCTOS'!$B$2:$B$501,0))="",INDEX('04_PRODUCTOS'!$E$2:$E$501,MATCH(F398,'04_PRODUCTOS'!$B$2:$B$501,0)),INDEX('04_PRODUCTOS'!$G$2:$G$501,MATCH(F398,'04_PRODUCTOS'!$B$2:$B$501,0))),INDEX('04_PRODUCTOS'!$E$2:$E$501,MATCH(F398,'04_PRODUCTOS'!$B$2:$B$501,0)))),"")</f>
        <v/>
      </c>
      <c r="I398" s="3" t="str">
        <f t="shared" si="39"/>
        <v/>
      </c>
      <c r="J398" s="3" t="str">
        <f>IFERROR(IF(INDEX('04_PRODUCTOS'!$D$2:$D$501,MATCH(F398,'04_PRODUCTOS'!$B$2:$B$501,0))="","",I398-(G398*INDEX('04_PRODUCTOS'!$D$2:$D$501,MATCH(F398,'04_PRODUCTOS'!$B$2:$B$501,0)))),"")</f>
        <v/>
      </c>
      <c r="K398" s="7" t="str">
        <f t="shared" si="40"/>
        <v/>
      </c>
      <c r="O398" t="str">
        <f>IF(D398="","",IFERROR(INDEX('03_CLIENTES'!$A$2:$A$501,MATCH(D398,'03_CLIENTES'!$B$2:$B$501,0)),""))</f>
        <v/>
      </c>
      <c r="P398" t="str">
        <f>IF(F398="","",IFERROR(INDEX('04_PRODUCTOS'!$A$2:$A$501,MATCH(F398,'04_PRODUCTOS'!$B$2:$B$501,0)),""))</f>
        <v/>
      </c>
      <c r="Q398" t="str">
        <f t="shared" si="41"/>
        <v/>
      </c>
    </row>
    <row r="399" spans="1:17" x14ac:dyDescent="0.25">
      <c r="A399" t="str">
        <f t="shared" si="36"/>
        <v/>
      </c>
      <c r="B399" s="4" t="str">
        <f t="shared" ca="1" si="37"/>
        <v/>
      </c>
      <c r="C399" s="5" t="str">
        <f t="shared" ca="1" si="38"/>
        <v/>
      </c>
      <c r="G399" s="6"/>
      <c r="H399" s="3" t="str">
        <f>IFERROR(IF(E399="Mayorista",IF(INDEX('04_PRODUCTOS'!$F$2:$F$501,MATCH(F399,'04_PRODUCTOS'!$B$2:$B$501,0))="",INDEX('04_PRODUCTOS'!$E$2:$E$501,MATCH(F399,'04_PRODUCTOS'!$B$2:$B$501,0)),INDEX('04_PRODUCTOS'!$F$2:$F$501,MATCH(F399,'04_PRODUCTOS'!$B$2:$B$501,0))),IF(E399="Especial",IF(INDEX('04_PRODUCTOS'!$G$2:$G$501,MATCH(F399,'04_PRODUCTOS'!$B$2:$B$501,0))="",INDEX('04_PRODUCTOS'!$E$2:$E$501,MATCH(F399,'04_PRODUCTOS'!$B$2:$B$501,0)),INDEX('04_PRODUCTOS'!$G$2:$G$501,MATCH(F399,'04_PRODUCTOS'!$B$2:$B$501,0))),INDEX('04_PRODUCTOS'!$E$2:$E$501,MATCH(F399,'04_PRODUCTOS'!$B$2:$B$501,0)))),"")</f>
        <v/>
      </c>
      <c r="I399" s="3" t="str">
        <f t="shared" si="39"/>
        <v/>
      </c>
      <c r="J399" s="3" t="str">
        <f>IFERROR(IF(INDEX('04_PRODUCTOS'!$D$2:$D$501,MATCH(F399,'04_PRODUCTOS'!$B$2:$B$501,0))="","",I399-(G399*INDEX('04_PRODUCTOS'!$D$2:$D$501,MATCH(F399,'04_PRODUCTOS'!$B$2:$B$501,0)))),"")</f>
        <v/>
      </c>
      <c r="K399" s="7" t="str">
        <f t="shared" si="40"/>
        <v/>
      </c>
      <c r="O399" t="str">
        <f>IF(D399="","",IFERROR(INDEX('03_CLIENTES'!$A$2:$A$501,MATCH(D399,'03_CLIENTES'!$B$2:$B$501,0)),""))</f>
        <v/>
      </c>
      <c r="P399" t="str">
        <f>IF(F399="","",IFERROR(INDEX('04_PRODUCTOS'!$A$2:$A$501,MATCH(F399,'04_PRODUCTOS'!$B$2:$B$501,0)),""))</f>
        <v/>
      </c>
      <c r="Q399" t="str">
        <f t="shared" si="41"/>
        <v/>
      </c>
    </row>
    <row r="400" spans="1:17" x14ac:dyDescent="0.25">
      <c r="A400" t="str">
        <f t="shared" si="36"/>
        <v/>
      </c>
      <c r="B400" s="4" t="str">
        <f t="shared" ca="1" si="37"/>
        <v/>
      </c>
      <c r="C400" s="5" t="str">
        <f t="shared" ca="1" si="38"/>
        <v/>
      </c>
      <c r="G400" s="6"/>
      <c r="H400" s="3" t="str">
        <f>IFERROR(IF(E400="Mayorista",IF(INDEX('04_PRODUCTOS'!$F$2:$F$501,MATCH(F400,'04_PRODUCTOS'!$B$2:$B$501,0))="",INDEX('04_PRODUCTOS'!$E$2:$E$501,MATCH(F400,'04_PRODUCTOS'!$B$2:$B$501,0)),INDEX('04_PRODUCTOS'!$F$2:$F$501,MATCH(F400,'04_PRODUCTOS'!$B$2:$B$501,0))),IF(E400="Especial",IF(INDEX('04_PRODUCTOS'!$G$2:$G$501,MATCH(F400,'04_PRODUCTOS'!$B$2:$B$501,0))="",INDEX('04_PRODUCTOS'!$E$2:$E$501,MATCH(F400,'04_PRODUCTOS'!$B$2:$B$501,0)),INDEX('04_PRODUCTOS'!$G$2:$G$501,MATCH(F400,'04_PRODUCTOS'!$B$2:$B$501,0))),INDEX('04_PRODUCTOS'!$E$2:$E$501,MATCH(F400,'04_PRODUCTOS'!$B$2:$B$501,0)))),"")</f>
        <v/>
      </c>
      <c r="I400" s="3" t="str">
        <f t="shared" si="39"/>
        <v/>
      </c>
      <c r="J400" s="3" t="str">
        <f>IFERROR(IF(INDEX('04_PRODUCTOS'!$D$2:$D$501,MATCH(F400,'04_PRODUCTOS'!$B$2:$B$501,0))="","",I400-(G400*INDEX('04_PRODUCTOS'!$D$2:$D$501,MATCH(F400,'04_PRODUCTOS'!$B$2:$B$501,0)))),"")</f>
        <v/>
      </c>
      <c r="K400" s="7" t="str">
        <f t="shared" si="40"/>
        <v/>
      </c>
      <c r="O400" t="str">
        <f>IF(D400="","",IFERROR(INDEX('03_CLIENTES'!$A$2:$A$501,MATCH(D400,'03_CLIENTES'!$B$2:$B$501,0)),""))</f>
        <v/>
      </c>
      <c r="P400" t="str">
        <f>IF(F400="","",IFERROR(INDEX('04_PRODUCTOS'!$A$2:$A$501,MATCH(F400,'04_PRODUCTOS'!$B$2:$B$501,0)),""))</f>
        <v/>
      </c>
      <c r="Q400" t="str">
        <f t="shared" si="41"/>
        <v/>
      </c>
    </row>
    <row r="401" spans="1:17" x14ac:dyDescent="0.25">
      <c r="A401" t="str">
        <f t="shared" si="36"/>
        <v/>
      </c>
      <c r="B401" s="4" t="str">
        <f t="shared" ca="1" si="37"/>
        <v/>
      </c>
      <c r="C401" s="5" t="str">
        <f t="shared" ca="1" si="38"/>
        <v/>
      </c>
      <c r="G401" s="6"/>
      <c r="H401" s="3" t="str">
        <f>IFERROR(IF(E401="Mayorista",IF(INDEX('04_PRODUCTOS'!$F$2:$F$501,MATCH(F401,'04_PRODUCTOS'!$B$2:$B$501,0))="",INDEX('04_PRODUCTOS'!$E$2:$E$501,MATCH(F401,'04_PRODUCTOS'!$B$2:$B$501,0)),INDEX('04_PRODUCTOS'!$F$2:$F$501,MATCH(F401,'04_PRODUCTOS'!$B$2:$B$501,0))),IF(E401="Especial",IF(INDEX('04_PRODUCTOS'!$G$2:$G$501,MATCH(F401,'04_PRODUCTOS'!$B$2:$B$501,0))="",INDEX('04_PRODUCTOS'!$E$2:$E$501,MATCH(F401,'04_PRODUCTOS'!$B$2:$B$501,0)),INDEX('04_PRODUCTOS'!$G$2:$G$501,MATCH(F401,'04_PRODUCTOS'!$B$2:$B$501,0))),INDEX('04_PRODUCTOS'!$E$2:$E$501,MATCH(F401,'04_PRODUCTOS'!$B$2:$B$501,0)))),"")</f>
        <v/>
      </c>
      <c r="I401" s="3" t="str">
        <f t="shared" si="39"/>
        <v/>
      </c>
      <c r="J401" s="3" t="str">
        <f>IFERROR(IF(INDEX('04_PRODUCTOS'!$D$2:$D$501,MATCH(F401,'04_PRODUCTOS'!$B$2:$B$501,0))="","",I401-(G401*INDEX('04_PRODUCTOS'!$D$2:$D$501,MATCH(F401,'04_PRODUCTOS'!$B$2:$B$501,0)))),"")</f>
        <v/>
      </c>
      <c r="K401" s="7" t="str">
        <f t="shared" si="40"/>
        <v/>
      </c>
      <c r="O401" t="str">
        <f>IF(D401="","",IFERROR(INDEX('03_CLIENTES'!$A$2:$A$501,MATCH(D401,'03_CLIENTES'!$B$2:$B$501,0)),""))</f>
        <v/>
      </c>
      <c r="P401" t="str">
        <f>IF(F401="","",IFERROR(INDEX('04_PRODUCTOS'!$A$2:$A$501,MATCH(F401,'04_PRODUCTOS'!$B$2:$B$501,0)),""))</f>
        <v/>
      </c>
      <c r="Q401" t="str">
        <f t="shared" si="41"/>
        <v/>
      </c>
    </row>
    <row r="402" spans="1:17" x14ac:dyDescent="0.25">
      <c r="A402" t="str">
        <f t="shared" si="36"/>
        <v/>
      </c>
      <c r="B402" s="4" t="str">
        <f t="shared" ca="1" si="37"/>
        <v/>
      </c>
      <c r="C402" s="5" t="str">
        <f t="shared" ca="1" si="38"/>
        <v/>
      </c>
      <c r="G402" s="6"/>
      <c r="H402" s="3" t="str">
        <f>IFERROR(IF(E402="Mayorista",IF(INDEX('04_PRODUCTOS'!$F$2:$F$501,MATCH(F402,'04_PRODUCTOS'!$B$2:$B$501,0))="",INDEX('04_PRODUCTOS'!$E$2:$E$501,MATCH(F402,'04_PRODUCTOS'!$B$2:$B$501,0)),INDEX('04_PRODUCTOS'!$F$2:$F$501,MATCH(F402,'04_PRODUCTOS'!$B$2:$B$501,0))),IF(E402="Especial",IF(INDEX('04_PRODUCTOS'!$G$2:$G$501,MATCH(F402,'04_PRODUCTOS'!$B$2:$B$501,0))="",INDEX('04_PRODUCTOS'!$E$2:$E$501,MATCH(F402,'04_PRODUCTOS'!$B$2:$B$501,0)),INDEX('04_PRODUCTOS'!$G$2:$G$501,MATCH(F402,'04_PRODUCTOS'!$B$2:$B$501,0))),INDEX('04_PRODUCTOS'!$E$2:$E$501,MATCH(F402,'04_PRODUCTOS'!$B$2:$B$501,0)))),"")</f>
        <v/>
      </c>
      <c r="I402" s="3" t="str">
        <f t="shared" si="39"/>
        <v/>
      </c>
      <c r="J402" s="3" t="str">
        <f>IFERROR(IF(INDEX('04_PRODUCTOS'!$D$2:$D$501,MATCH(F402,'04_PRODUCTOS'!$B$2:$B$501,0))="","",I402-(G402*INDEX('04_PRODUCTOS'!$D$2:$D$501,MATCH(F402,'04_PRODUCTOS'!$B$2:$B$501,0)))),"")</f>
        <v/>
      </c>
      <c r="K402" s="7" t="str">
        <f t="shared" si="40"/>
        <v/>
      </c>
      <c r="O402" t="str">
        <f>IF(D402="","",IFERROR(INDEX('03_CLIENTES'!$A$2:$A$501,MATCH(D402,'03_CLIENTES'!$B$2:$B$501,0)),""))</f>
        <v/>
      </c>
      <c r="P402" t="str">
        <f>IF(F402="","",IFERROR(INDEX('04_PRODUCTOS'!$A$2:$A$501,MATCH(F402,'04_PRODUCTOS'!$B$2:$B$501,0)),""))</f>
        <v/>
      </c>
      <c r="Q402" t="str">
        <f t="shared" si="41"/>
        <v/>
      </c>
    </row>
    <row r="403" spans="1:17" x14ac:dyDescent="0.25">
      <c r="A403" t="str">
        <f t="shared" si="36"/>
        <v/>
      </c>
      <c r="B403" s="4" t="str">
        <f t="shared" ca="1" si="37"/>
        <v/>
      </c>
      <c r="C403" s="5" t="str">
        <f t="shared" ca="1" si="38"/>
        <v/>
      </c>
      <c r="G403" s="6"/>
      <c r="H403" s="3" t="str">
        <f>IFERROR(IF(E403="Mayorista",IF(INDEX('04_PRODUCTOS'!$F$2:$F$501,MATCH(F403,'04_PRODUCTOS'!$B$2:$B$501,0))="",INDEX('04_PRODUCTOS'!$E$2:$E$501,MATCH(F403,'04_PRODUCTOS'!$B$2:$B$501,0)),INDEX('04_PRODUCTOS'!$F$2:$F$501,MATCH(F403,'04_PRODUCTOS'!$B$2:$B$501,0))),IF(E403="Especial",IF(INDEX('04_PRODUCTOS'!$G$2:$G$501,MATCH(F403,'04_PRODUCTOS'!$B$2:$B$501,0))="",INDEX('04_PRODUCTOS'!$E$2:$E$501,MATCH(F403,'04_PRODUCTOS'!$B$2:$B$501,0)),INDEX('04_PRODUCTOS'!$G$2:$G$501,MATCH(F403,'04_PRODUCTOS'!$B$2:$B$501,0))),INDEX('04_PRODUCTOS'!$E$2:$E$501,MATCH(F403,'04_PRODUCTOS'!$B$2:$B$501,0)))),"")</f>
        <v/>
      </c>
      <c r="I403" s="3" t="str">
        <f t="shared" si="39"/>
        <v/>
      </c>
      <c r="J403" s="3" t="str">
        <f>IFERROR(IF(INDEX('04_PRODUCTOS'!$D$2:$D$501,MATCH(F403,'04_PRODUCTOS'!$B$2:$B$501,0))="","",I403-(G403*INDEX('04_PRODUCTOS'!$D$2:$D$501,MATCH(F403,'04_PRODUCTOS'!$B$2:$B$501,0)))),"")</f>
        <v/>
      </c>
      <c r="K403" s="7" t="str">
        <f t="shared" si="40"/>
        <v/>
      </c>
      <c r="O403" t="str">
        <f>IF(D403="","",IFERROR(INDEX('03_CLIENTES'!$A$2:$A$501,MATCH(D403,'03_CLIENTES'!$B$2:$B$501,0)),""))</f>
        <v/>
      </c>
      <c r="P403" t="str">
        <f>IF(F403="","",IFERROR(INDEX('04_PRODUCTOS'!$A$2:$A$501,MATCH(F403,'04_PRODUCTOS'!$B$2:$B$501,0)),""))</f>
        <v/>
      </c>
      <c r="Q403" t="str">
        <f t="shared" si="41"/>
        <v/>
      </c>
    </row>
    <row r="404" spans="1:17" x14ac:dyDescent="0.25">
      <c r="A404" t="str">
        <f t="shared" si="36"/>
        <v/>
      </c>
      <c r="B404" s="4" t="str">
        <f t="shared" ca="1" si="37"/>
        <v/>
      </c>
      <c r="C404" s="5" t="str">
        <f t="shared" ca="1" si="38"/>
        <v/>
      </c>
      <c r="G404" s="6"/>
      <c r="H404" s="3" t="str">
        <f>IFERROR(IF(E404="Mayorista",IF(INDEX('04_PRODUCTOS'!$F$2:$F$501,MATCH(F404,'04_PRODUCTOS'!$B$2:$B$501,0))="",INDEX('04_PRODUCTOS'!$E$2:$E$501,MATCH(F404,'04_PRODUCTOS'!$B$2:$B$501,0)),INDEX('04_PRODUCTOS'!$F$2:$F$501,MATCH(F404,'04_PRODUCTOS'!$B$2:$B$501,0))),IF(E404="Especial",IF(INDEX('04_PRODUCTOS'!$G$2:$G$501,MATCH(F404,'04_PRODUCTOS'!$B$2:$B$501,0))="",INDEX('04_PRODUCTOS'!$E$2:$E$501,MATCH(F404,'04_PRODUCTOS'!$B$2:$B$501,0)),INDEX('04_PRODUCTOS'!$G$2:$G$501,MATCH(F404,'04_PRODUCTOS'!$B$2:$B$501,0))),INDEX('04_PRODUCTOS'!$E$2:$E$501,MATCH(F404,'04_PRODUCTOS'!$B$2:$B$501,0)))),"")</f>
        <v/>
      </c>
      <c r="I404" s="3" t="str">
        <f t="shared" si="39"/>
        <v/>
      </c>
      <c r="J404" s="3" t="str">
        <f>IFERROR(IF(INDEX('04_PRODUCTOS'!$D$2:$D$501,MATCH(F404,'04_PRODUCTOS'!$B$2:$B$501,0))="","",I404-(G404*INDEX('04_PRODUCTOS'!$D$2:$D$501,MATCH(F404,'04_PRODUCTOS'!$B$2:$B$501,0)))),"")</f>
        <v/>
      </c>
      <c r="K404" s="7" t="str">
        <f t="shared" si="40"/>
        <v/>
      </c>
      <c r="O404" t="str">
        <f>IF(D404="","",IFERROR(INDEX('03_CLIENTES'!$A$2:$A$501,MATCH(D404,'03_CLIENTES'!$B$2:$B$501,0)),""))</f>
        <v/>
      </c>
      <c r="P404" t="str">
        <f>IF(F404="","",IFERROR(INDEX('04_PRODUCTOS'!$A$2:$A$501,MATCH(F404,'04_PRODUCTOS'!$B$2:$B$501,0)),""))</f>
        <v/>
      </c>
      <c r="Q404" t="str">
        <f t="shared" si="41"/>
        <v/>
      </c>
    </row>
    <row r="405" spans="1:17" x14ac:dyDescent="0.25">
      <c r="A405" t="str">
        <f t="shared" si="36"/>
        <v/>
      </c>
      <c r="B405" s="4" t="str">
        <f t="shared" ca="1" si="37"/>
        <v/>
      </c>
      <c r="C405" s="5" t="str">
        <f t="shared" ca="1" si="38"/>
        <v/>
      </c>
      <c r="G405" s="6"/>
      <c r="H405" s="3" t="str">
        <f>IFERROR(IF(E405="Mayorista",IF(INDEX('04_PRODUCTOS'!$F$2:$F$501,MATCH(F405,'04_PRODUCTOS'!$B$2:$B$501,0))="",INDEX('04_PRODUCTOS'!$E$2:$E$501,MATCH(F405,'04_PRODUCTOS'!$B$2:$B$501,0)),INDEX('04_PRODUCTOS'!$F$2:$F$501,MATCH(F405,'04_PRODUCTOS'!$B$2:$B$501,0))),IF(E405="Especial",IF(INDEX('04_PRODUCTOS'!$G$2:$G$501,MATCH(F405,'04_PRODUCTOS'!$B$2:$B$501,0))="",INDEX('04_PRODUCTOS'!$E$2:$E$501,MATCH(F405,'04_PRODUCTOS'!$B$2:$B$501,0)),INDEX('04_PRODUCTOS'!$G$2:$G$501,MATCH(F405,'04_PRODUCTOS'!$B$2:$B$501,0))),INDEX('04_PRODUCTOS'!$E$2:$E$501,MATCH(F405,'04_PRODUCTOS'!$B$2:$B$501,0)))),"")</f>
        <v/>
      </c>
      <c r="I405" s="3" t="str">
        <f t="shared" si="39"/>
        <v/>
      </c>
      <c r="J405" s="3" t="str">
        <f>IFERROR(IF(INDEX('04_PRODUCTOS'!$D$2:$D$501,MATCH(F405,'04_PRODUCTOS'!$B$2:$B$501,0))="","",I405-(G405*INDEX('04_PRODUCTOS'!$D$2:$D$501,MATCH(F405,'04_PRODUCTOS'!$B$2:$B$501,0)))),"")</f>
        <v/>
      </c>
      <c r="K405" s="7" t="str">
        <f t="shared" si="40"/>
        <v/>
      </c>
      <c r="O405" t="str">
        <f>IF(D405="","",IFERROR(INDEX('03_CLIENTES'!$A$2:$A$501,MATCH(D405,'03_CLIENTES'!$B$2:$B$501,0)),""))</f>
        <v/>
      </c>
      <c r="P405" t="str">
        <f>IF(F405="","",IFERROR(INDEX('04_PRODUCTOS'!$A$2:$A$501,MATCH(F405,'04_PRODUCTOS'!$B$2:$B$501,0)),""))</f>
        <v/>
      </c>
      <c r="Q405" t="str">
        <f t="shared" si="41"/>
        <v/>
      </c>
    </row>
    <row r="406" spans="1:17" x14ac:dyDescent="0.25">
      <c r="A406" t="str">
        <f t="shared" si="36"/>
        <v/>
      </c>
      <c r="B406" s="4" t="str">
        <f t="shared" ca="1" si="37"/>
        <v/>
      </c>
      <c r="C406" s="5" t="str">
        <f t="shared" ca="1" si="38"/>
        <v/>
      </c>
      <c r="G406" s="6"/>
      <c r="H406" s="3" t="str">
        <f>IFERROR(IF(E406="Mayorista",IF(INDEX('04_PRODUCTOS'!$F$2:$F$501,MATCH(F406,'04_PRODUCTOS'!$B$2:$B$501,0))="",INDEX('04_PRODUCTOS'!$E$2:$E$501,MATCH(F406,'04_PRODUCTOS'!$B$2:$B$501,0)),INDEX('04_PRODUCTOS'!$F$2:$F$501,MATCH(F406,'04_PRODUCTOS'!$B$2:$B$501,0))),IF(E406="Especial",IF(INDEX('04_PRODUCTOS'!$G$2:$G$501,MATCH(F406,'04_PRODUCTOS'!$B$2:$B$501,0))="",INDEX('04_PRODUCTOS'!$E$2:$E$501,MATCH(F406,'04_PRODUCTOS'!$B$2:$B$501,0)),INDEX('04_PRODUCTOS'!$G$2:$G$501,MATCH(F406,'04_PRODUCTOS'!$B$2:$B$501,0))),INDEX('04_PRODUCTOS'!$E$2:$E$501,MATCH(F406,'04_PRODUCTOS'!$B$2:$B$501,0)))),"")</f>
        <v/>
      </c>
      <c r="I406" s="3" t="str">
        <f t="shared" si="39"/>
        <v/>
      </c>
      <c r="J406" s="3" t="str">
        <f>IFERROR(IF(INDEX('04_PRODUCTOS'!$D$2:$D$501,MATCH(F406,'04_PRODUCTOS'!$B$2:$B$501,0))="","",I406-(G406*INDEX('04_PRODUCTOS'!$D$2:$D$501,MATCH(F406,'04_PRODUCTOS'!$B$2:$B$501,0)))),"")</f>
        <v/>
      </c>
      <c r="K406" s="7" t="str">
        <f t="shared" si="40"/>
        <v/>
      </c>
      <c r="O406" t="str">
        <f>IF(D406="","",IFERROR(INDEX('03_CLIENTES'!$A$2:$A$501,MATCH(D406,'03_CLIENTES'!$B$2:$B$501,0)),""))</f>
        <v/>
      </c>
      <c r="P406" t="str">
        <f>IF(F406="","",IFERROR(INDEX('04_PRODUCTOS'!$A$2:$A$501,MATCH(F406,'04_PRODUCTOS'!$B$2:$B$501,0)),""))</f>
        <v/>
      </c>
      <c r="Q406" t="str">
        <f t="shared" si="41"/>
        <v/>
      </c>
    </row>
    <row r="407" spans="1:17" x14ac:dyDescent="0.25">
      <c r="A407" t="str">
        <f t="shared" si="36"/>
        <v/>
      </c>
      <c r="B407" s="4" t="str">
        <f t="shared" ca="1" si="37"/>
        <v/>
      </c>
      <c r="C407" s="5" t="str">
        <f t="shared" ca="1" si="38"/>
        <v/>
      </c>
      <c r="G407" s="6"/>
      <c r="H407" s="3" t="str">
        <f>IFERROR(IF(E407="Mayorista",IF(INDEX('04_PRODUCTOS'!$F$2:$F$501,MATCH(F407,'04_PRODUCTOS'!$B$2:$B$501,0))="",INDEX('04_PRODUCTOS'!$E$2:$E$501,MATCH(F407,'04_PRODUCTOS'!$B$2:$B$501,0)),INDEX('04_PRODUCTOS'!$F$2:$F$501,MATCH(F407,'04_PRODUCTOS'!$B$2:$B$501,0))),IF(E407="Especial",IF(INDEX('04_PRODUCTOS'!$G$2:$G$501,MATCH(F407,'04_PRODUCTOS'!$B$2:$B$501,0))="",INDEX('04_PRODUCTOS'!$E$2:$E$501,MATCH(F407,'04_PRODUCTOS'!$B$2:$B$501,0)),INDEX('04_PRODUCTOS'!$G$2:$G$501,MATCH(F407,'04_PRODUCTOS'!$B$2:$B$501,0))),INDEX('04_PRODUCTOS'!$E$2:$E$501,MATCH(F407,'04_PRODUCTOS'!$B$2:$B$501,0)))),"")</f>
        <v/>
      </c>
      <c r="I407" s="3" t="str">
        <f t="shared" si="39"/>
        <v/>
      </c>
      <c r="J407" s="3" t="str">
        <f>IFERROR(IF(INDEX('04_PRODUCTOS'!$D$2:$D$501,MATCH(F407,'04_PRODUCTOS'!$B$2:$B$501,0))="","",I407-(G407*INDEX('04_PRODUCTOS'!$D$2:$D$501,MATCH(F407,'04_PRODUCTOS'!$B$2:$B$501,0)))),"")</f>
        <v/>
      </c>
      <c r="K407" s="7" t="str">
        <f t="shared" si="40"/>
        <v/>
      </c>
      <c r="O407" t="str">
        <f>IF(D407="","",IFERROR(INDEX('03_CLIENTES'!$A$2:$A$501,MATCH(D407,'03_CLIENTES'!$B$2:$B$501,0)),""))</f>
        <v/>
      </c>
      <c r="P407" t="str">
        <f>IF(F407="","",IFERROR(INDEX('04_PRODUCTOS'!$A$2:$A$501,MATCH(F407,'04_PRODUCTOS'!$B$2:$B$501,0)),""))</f>
        <v/>
      </c>
      <c r="Q407" t="str">
        <f t="shared" si="41"/>
        <v/>
      </c>
    </row>
    <row r="408" spans="1:17" x14ac:dyDescent="0.25">
      <c r="A408" t="str">
        <f t="shared" si="36"/>
        <v/>
      </c>
      <c r="B408" s="4" t="str">
        <f t="shared" ca="1" si="37"/>
        <v/>
      </c>
      <c r="C408" s="5" t="str">
        <f t="shared" ca="1" si="38"/>
        <v/>
      </c>
      <c r="G408" s="6"/>
      <c r="H408" s="3" t="str">
        <f>IFERROR(IF(E408="Mayorista",IF(INDEX('04_PRODUCTOS'!$F$2:$F$501,MATCH(F408,'04_PRODUCTOS'!$B$2:$B$501,0))="",INDEX('04_PRODUCTOS'!$E$2:$E$501,MATCH(F408,'04_PRODUCTOS'!$B$2:$B$501,0)),INDEX('04_PRODUCTOS'!$F$2:$F$501,MATCH(F408,'04_PRODUCTOS'!$B$2:$B$501,0))),IF(E408="Especial",IF(INDEX('04_PRODUCTOS'!$G$2:$G$501,MATCH(F408,'04_PRODUCTOS'!$B$2:$B$501,0))="",INDEX('04_PRODUCTOS'!$E$2:$E$501,MATCH(F408,'04_PRODUCTOS'!$B$2:$B$501,0)),INDEX('04_PRODUCTOS'!$G$2:$G$501,MATCH(F408,'04_PRODUCTOS'!$B$2:$B$501,0))),INDEX('04_PRODUCTOS'!$E$2:$E$501,MATCH(F408,'04_PRODUCTOS'!$B$2:$B$501,0)))),"")</f>
        <v/>
      </c>
      <c r="I408" s="3" t="str">
        <f t="shared" si="39"/>
        <v/>
      </c>
      <c r="J408" s="3" t="str">
        <f>IFERROR(IF(INDEX('04_PRODUCTOS'!$D$2:$D$501,MATCH(F408,'04_PRODUCTOS'!$B$2:$B$501,0))="","",I408-(G408*INDEX('04_PRODUCTOS'!$D$2:$D$501,MATCH(F408,'04_PRODUCTOS'!$B$2:$B$501,0)))),"")</f>
        <v/>
      </c>
      <c r="K408" s="7" t="str">
        <f t="shared" si="40"/>
        <v/>
      </c>
      <c r="O408" t="str">
        <f>IF(D408="","",IFERROR(INDEX('03_CLIENTES'!$A$2:$A$501,MATCH(D408,'03_CLIENTES'!$B$2:$B$501,0)),""))</f>
        <v/>
      </c>
      <c r="P408" t="str">
        <f>IF(F408="","",IFERROR(INDEX('04_PRODUCTOS'!$A$2:$A$501,MATCH(F408,'04_PRODUCTOS'!$B$2:$B$501,0)),""))</f>
        <v/>
      </c>
      <c r="Q408" t="str">
        <f t="shared" si="41"/>
        <v/>
      </c>
    </row>
    <row r="409" spans="1:17" x14ac:dyDescent="0.25">
      <c r="A409" t="str">
        <f t="shared" si="36"/>
        <v/>
      </c>
      <c r="B409" s="4" t="str">
        <f t="shared" ca="1" si="37"/>
        <v/>
      </c>
      <c r="C409" s="5" t="str">
        <f t="shared" ca="1" si="38"/>
        <v/>
      </c>
      <c r="G409" s="6"/>
      <c r="H409" s="3" t="str">
        <f>IFERROR(IF(E409="Mayorista",IF(INDEX('04_PRODUCTOS'!$F$2:$F$501,MATCH(F409,'04_PRODUCTOS'!$B$2:$B$501,0))="",INDEX('04_PRODUCTOS'!$E$2:$E$501,MATCH(F409,'04_PRODUCTOS'!$B$2:$B$501,0)),INDEX('04_PRODUCTOS'!$F$2:$F$501,MATCH(F409,'04_PRODUCTOS'!$B$2:$B$501,0))),IF(E409="Especial",IF(INDEX('04_PRODUCTOS'!$G$2:$G$501,MATCH(F409,'04_PRODUCTOS'!$B$2:$B$501,0))="",INDEX('04_PRODUCTOS'!$E$2:$E$501,MATCH(F409,'04_PRODUCTOS'!$B$2:$B$501,0)),INDEX('04_PRODUCTOS'!$G$2:$G$501,MATCH(F409,'04_PRODUCTOS'!$B$2:$B$501,0))),INDEX('04_PRODUCTOS'!$E$2:$E$501,MATCH(F409,'04_PRODUCTOS'!$B$2:$B$501,0)))),"")</f>
        <v/>
      </c>
      <c r="I409" s="3" t="str">
        <f t="shared" si="39"/>
        <v/>
      </c>
      <c r="J409" s="3" t="str">
        <f>IFERROR(IF(INDEX('04_PRODUCTOS'!$D$2:$D$501,MATCH(F409,'04_PRODUCTOS'!$B$2:$B$501,0))="","",I409-(G409*INDEX('04_PRODUCTOS'!$D$2:$D$501,MATCH(F409,'04_PRODUCTOS'!$B$2:$B$501,0)))),"")</f>
        <v/>
      </c>
      <c r="K409" s="7" t="str">
        <f t="shared" si="40"/>
        <v/>
      </c>
      <c r="O409" t="str">
        <f>IF(D409="","",IFERROR(INDEX('03_CLIENTES'!$A$2:$A$501,MATCH(D409,'03_CLIENTES'!$B$2:$B$501,0)),""))</f>
        <v/>
      </c>
      <c r="P409" t="str">
        <f>IF(F409="","",IFERROR(INDEX('04_PRODUCTOS'!$A$2:$A$501,MATCH(F409,'04_PRODUCTOS'!$B$2:$B$501,0)),""))</f>
        <v/>
      </c>
      <c r="Q409" t="str">
        <f t="shared" si="41"/>
        <v/>
      </c>
    </row>
    <row r="410" spans="1:17" x14ac:dyDescent="0.25">
      <c r="A410" t="str">
        <f t="shared" si="36"/>
        <v/>
      </c>
      <c r="B410" s="4" t="str">
        <f t="shared" ca="1" si="37"/>
        <v/>
      </c>
      <c r="C410" s="5" t="str">
        <f t="shared" ca="1" si="38"/>
        <v/>
      </c>
      <c r="G410" s="6"/>
      <c r="H410" s="3" t="str">
        <f>IFERROR(IF(E410="Mayorista",IF(INDEX('04_PRODUCTOS'!$F$2:$F$501,MATCH(F410,'04_PRODUCTOS'!$B$2:$B$501,0))="",INDEX('04_PRODUCTOS'!$E$2:$E$501,MATCH(F410,'04_PRODUCTOS'!$B$2:$B$501,0)),INDEX('04_PRODUCTOS'!$F$2:$F$501,MATCH(F410,'04_PRODUCTOS'!$B$2:$B$501,0))),IF(E410="Especial",IF(INDEX('04_PRODUCTOS'!$G$2:$G$501,MATCH(F410,'04_PRODUCTOS'!$B$2:$B$501,0))="",INDEX('04_PRODUCTOS'!$E$2:$E$501,MATCH(F410,'04_PRODUCTOS'!$B$2:$B$501,0)),INDEX('04_PRODUCTOS'!$G$2:$G$501,MATCH(F410,'04_PRODUCTOS'!$B$2:$B$501,0))),INDEX('04_PRODUCTOS'!$E$2:$E$501,MATCH(F410,'04_PRODUCTOS'!$B$2:$B$501,0)))),"")</f>
        <v/>
      </c>
      <c r="I410" s="3" t="str">
        <f t="shared" si="39"/>
        <v/>
      </c>
      <c r="J410" s="3" t="str">
        <f>IFERROR(IF(INDEX('04_PRODUCTOS'!$D$2:$D$501,MATCH(F410,'04_PRODUCTOS'!$B$2:$B$501,0))="","",I410-(G410*INDEX('04_PRODUCTOS'!$D$2:$D$501,MATCH(F410,'04_PRODUCTOS'!$B$2:$B$501,0)))),"")</f>
        <v/>
      </c>
      <c r="K410" s="7" t="str">
        <f t="shared" si="40"/>
        <v/>
      </c>
      <c r="O410" t="str">
        <f>IF(D410="","",IFERROR(INDEX('03_CLIENTES'!$A$2:$A$501,MATCH(D410,'03_CLIENTES'!$B$2:$B$501,0)),""))</f>
        <v/>
      </c>
      <c r="P410" t="str">
        <f>IF(F410="","",IFERROR(INDEX('04_PRODUCTOS'!$A$2:$A$501,MATCH(F410,'04_PRODUCTOS'!$B$2:$B$501,0)),""))</f>
        <v/>
      </c>
      <c r="Q410" t="str">
        <f t="shared" si="41"/>
        <v/>
      </c>
    </row>
    <row r="411" spans="1:17" x14ac:dyDescent="0.25">
      <c r="A411" t="str">
        <f t="shared" si="36"/>
        <v/>
      </c>
      <c r="B411" s="4" t="str">
        <f t="shared" ca="1" si="37"/>
        <v/>
      </c>
      <c r="C411" s="5" t="str">
        <f t="shared" ca="1" si="38"/>
        <v/>
      </c>
      <c r="G411" s="6"/>
      <c r="H411" s="3" t="str">
        <f>IFERROR(IF(E411="Mayorista",IF(INDEX('04_PRODUCTOS'!$F$2:$F$501,MATCH(F411,'04_PRODUCTOS'!$B$2:$B$501,0))="",INDEX('04_PRODUCTOS'!$E$2:$E$501,MATCH(F411,'04_PRODUCTOS'!$B$2:$B$501,0)),INDEX('04_PRODUCTOS'!$F$2:$F$501,MATCH(F411,'04_PRODUCTOS'!$B$2:$B$501,0))),IF(E411="Especial",IF(INDEX('04_PRODUCTOS'!$G$2:$G$501,MATCH(F411,'04_PRODUCTOS'!$B$2:$B$501,0))="",INDEX('04_PRODUCTOS'!$E$2:$E$501,MATCH(F411,'04_PRODUCTOS'!$B$2:$B$501,0)),INDEX('04_PRODUCTOS'!$G$2:$G$501,MATCH(F411,'04_PRODUCTOS'!$B$2:$B$501,0))),INDEX('04_PRODUCTOS'!$E$2:$E$501,MATCH(F411,'04_PRODUCTOS'!$B$2:$B$501,0)))),"")</f>
        <v/>
      </c>
      <c r="I411" s="3" t="str">
        <f t="shared" si="39"/>
        <v/>
      </c>
      <c r="J411" s="3" t="str">
        <f>IFERROR(IF(INDEX('04_PRODUCTOS'!$D$2:$D$501,MATCH(F411,'04_PRODUCTOS'!$B$2:$B$501,0))="","",I411-(G411*INDEX('04_PRODUCTOS'!$D$2:$D$501,MATCH(F411,'04_PRODUCTOS'!$B$2:$B$501,0)))),"")</f>
        <v/>
      </c>
      <c r="K411" s="7" t="str">
        <f t="shared" si="40"/>
        <v/>
      </c>
      <c r="O411" t="str">
        <f>IF(D411="","",IFERROR(INDEX('03_CLIENTES'!$A$2:$A$501,MATCH(D411,'03_CLIENTES'!$B$2:$B$501,0)),""))</f>
        <v/>
      </c>
      <c r="P411" t="str">
        <f>IF(F411="","",IFERROR(INDEX('04_PRODUCTOS'!$A$2:$A$501,MATCH(F411,'04_PRODUCTOS'!$B$2:$B$501,0)),""))</f>
        <v/>
      </c>
      <c r="Q411" t="str">
        <f t="shared" si="41"/>
        <v/>
      </c>
    </row>
    <row r="412" spans="1:17" x14ac:dyDescent="0.25">
      <c r="A412" t="str">
        <f t="shared" si="36"/>
        <v/>
      </c>
      <c r="B412" s="4" t="str">
        <f t="shared" ca="1" si="37"/>
        <v/>
      </c>
      <c r="C412" s="5" t="str">
        <f t="shared" ca="1" si="38"/>
        <v/>
      </c>
      <c r="G412" s="6"/>
      <c r="H412" s="3" t="str">
        <f>IFERROR(IF(E412="Mayorista",IF(INDEX('04_PRODUCTOS'!$F$2:$F$501,MATCH(F412,'04_PRODUCTOS'!$B$2:$B$501,0))="",INDEX('04_PRODUCTOS'!$E$2:$E$501,MATCH(F412,'04_PRODUCTOS'!$B$2:$B$501,0)),INDEX('04_PRODUCTOS'!$F$2:$F$501,MATCH(F412,'04_PRODUCTOS'!$B$2:$B$501,0))),IF(E412="Especial",IF(INDEX('04_PRODUCTOS'!$G$2:$G$501,MATCH(F412,'04_PRODUCTOS'!$B$2:$B$501,0))="",INDEX('04_PRODUCTOS'!$E$2:$E$501,MATCH(F412,'04_PRODUCTOS'!$B$2:$B$501,0)),INDEX('04_PRODUCTOS'!$G$2:$G$501,MATCH(F412,'04_PRODUCTOS'!$B$2:$B$501,0))),INDEX('04_PRODUCTOS'!$E$2:$E$501,MATCH(F412,'04_PRODUCTOS'!$B$2:$B$501,0)))),"")</f>
        <v/>
      </c>
      <c r="I412" s="3" t="str">
        <f t="shared" si="39"/>
        <v/>
      </c>
      <c r="J412" s="3" t="str">
        <f>IFERROR(IF(INDEX('04_PRODUCTOS'!$D$2:$D$501,MATCH(F412,'04_PRODUCTOS'!$B$2:$B$501,0))="","",I412-(G412*INDEX('04_PRODUCTOS'!$D$2:$D$501,MATCH(F412,'04_PRODUCTOS'!$B$2:$B$501,0)))),"")</f>
        <v/>
      </c>
      <c r="K412" s="7" t="str">
        <f t="shared" si="40"/>
        <v/>
      </c>
      <c r="O412" t="str">
        <f>IF(D412="","",IFERROR(INDEX('03_CLIENTES'!$A$2:$A$501,MATCH(D412,'03_CLIENTES'!$B$2:$B$501,0)),""))</f>
        <v/>
      </c>
      <c r="P412" t="str">
        <f>IF(F412="","",IFERROR(INDEX('04_PRODUCTOS'!$A$2:$A$501,MATCH(F412,'04_PRODUCTOS'!$B$2:$B$501,0)),""))</f>
        <v/>
      </c>
      <c r="Q412" t="str">
        <f t="shared" si="41"/>
        <v/>
      </c>
    </row>
    <row r="413" spans="1:17" x14ac:dyDescent="0.25">
      <c r="A413" t="str">
        <f t="shared" si="36"/>
        <v/>
      </c>
      <c r="B413" s="4" t="str">
        <f t="shared" ca="1" si="37"/>
        <v/>
      </c>
      <c r="C413" s="5" t="str">
        <f t="shared" ca="1" si="38"/>
        <v/>
      </c>
      <c r="G413" s="6"/>
      <c r="H413" s="3" t="str">
        <f>IFERROR(IF(E413="Mayorista",IF(INDEX('04_PRODUCTOS'!$F$2:$F$501,MATCH(F413,'04_PRODUCTOS'!$B$2:$B$501,0))="",INDEX('04_PRODUCTOS'!$E$2:$E$501,MATCH(F413,'04_PRODUCTOS'!$B$2:$B$501,0)),INDEX('04_PRODUCTOS'!$F$2:$F$501,MATCH(F413,'04_PRODUCTOS'!$B$2:$B$501,0))),IF(E413="Especial",IF(INDEX('04_PRODUCTOS'!$G$2:$G$501,MATCH(F413,'04_PRODUCTOS'!$B$2:$B$501,0))="",INDEX('04_PRODUCTOS'!$E$2:$E$501,MATCH(F413,'04_PRODUCTOS'!$B$2:$B$501,0)),INDEX('04_PRODUCTOS'!$G$2:$G$501,MATCH(F413,'04_PRODUCTOS'!$B$2:$B$501,0))),INDEX('04_PRODUCTOS'!$E$2:$E$501,MATCH(F413,'04_PRODUCTOS'!$B$2:$B$501,0)))),"")</f>
        <v/>
      </c>
      <c r="I413" s="3" t="str">
        <f t="shared" si="39"/>
        <v/>
      </c>
      <c r="J413" s="3" t="str">
        <f>IFERROR(IF(INDEX('04_PRODUCTOS'!$D$2:$D$501,MATCH(F413,'04_PRODUCTOS'!$B$2:$B$501,0))="","",I413-(G413*INDEX('04_PRODUCTOS'!$D$2:$D$501,MATCH(F413,'04_PRODUCTOS'!$B$2:$B$501,0)))),"")</f>
        <v/>
      </c>
      <c r="K413" s="7" t="str">
        <f t="shared" si="40"/>
        <v/>
      </c>
      <c r="O413" t="str">
        <f>IF(D413="","",IFERROR(INDEX('03_CLIENTES'!$A$2:$A$501,MATCH(D413,'03_CLIENTES'!$B$2:$B$501,0)),""))</f>
        <v/>
      </c>
      <c r="P413" t="str">
        <f>IF(F413="","",IFERROR(INDEX('04_PRODUCTOS'!$A$2:$A$501,MATCH(F413,'04_PRODUCTOS'!$B$2:$B$501,0)),""))</f>
        <v/>
      </c>
      <c r="Q413" t="str">
        <f t="shared" si="41"/>
        <v/>
      </c>
    </row>
    <row r="414" spans="1:17" x14ac:dyDescent="0.25">
      <c r="A414" t="str">
        <f t="shared" si="36"/>
        <v/>
      </c>
      <c r="B414" s="4" t="str">
        <f t="shared" ca="1" si="37"/>
        <v/>
      </c>
      <c r="C414" s="5" t="str">
        <f t="shared" ca="1" si="38"/>
        <v/>
      </c>
      <c r="G414" s="6"/>
      <c r="H414" s="3" t="str">
        <f>IFERROR(IF(E414="Mayorista",IF(INDEX('04_PRODUCTOS'!$F$2:$F$501,MATCH(F414,'04_PRODUCTOS'!$B$2:$B$501,0))="",INDEX('04_PRODUCTOS'!$E$2:$E$501,MATCH(F414,'04_PRODUCTOS'!$B$2:$B$501,0)),INDEX('04_PRODUCTOS'!$F$2:$F$501,MATCH(F414,'04_PRODUCTOS'!$B$2:$B$501,0))),IF(E414="Especial",IF(INDEX('04_PRODUCTOS'!$G$2:$G$501,MATCH(F414,'04_PRODUCTOS'!$B$2:$B$501,0))="",INDEX('04_PRODUCTOS'!$E$2:$E$501,MATCH(F414,'04_PRODUCTOS'!$B$2:$B$501,0)),INDEX('04_PRODUCTOS'!$G$2:$G$501,MATCH(F414,'04_PRODUCTOS'!$B$2:$B$501,0))),INDEX('04_PRODUCTOS'!$E$2:$E$501,MATCH(F414,'04_PRODUCTOS'!$B$2:$B$501,0)))),"")</f>
        <v/>
      </c>
      <c r="I414" s="3" t="str">
        <f t="shared" si="39"/>
        <v/>
      </c>
      <c r="J414" s="3" t="str">
        <f>IFERROR(IF(INDEX('04_PRODUCTOS'!$D$2:$D$501,MATCH(F414,'04_PRODUCTOS'!$B$2:$B$501,0))="","",I414-(G414*INDEX('04_PRODUCTOS'!$D$2:$D$501,MATCH(F414,'04_PRODUCTOS'!$B$2:$B$501,0)))),"")</f>
        <v/>
      </c>
      <c r="K414" s="7" t="str">
        <f t="shared" si="40"/>
        <v/>
      </c>
      <c r="O414" t="str">
        <f>IF(D414="","",IFERROR(INDEX('03_CLIENTES'!$A$2:$A$501,MATCH(D414,'03_CLIENTES'!$B$2:$B$501,0)),""))</f>
        <v/>
      </c>
      <c r="P414" t="str">
        <f>IF(F414="","",IFERROR(INDEX('04_PRODUCTOS'!$A$2:$A$501,MATCH(F414,'04_PRODUCTOS'!$B$2:$B$501,0)),""))</f>
        <v/>
      </c>
      <c r="Q414" t="str">
        <f t="shared" si="41"/>
        <v/>
      </c>
    </row>
    <row r="415" spans="1:17" x14ac:dyDescent="0.25">
      <c r="A415" t="str">
        <f t="shared" si="36"/>
        <v/>
      </c>
      <c r="B415" s="4" t="str">
        <f t="shared" ca="1" si="37"/>
        <v/>
      </c>
      <c r="C415" s="5" t="str">
        <f t="shared" ca="1" si="38"/>
        <v/>
      </c>
      <c r="G415" s="6"/>
      <c r="H415" s="3" t="str">
        <f>IFERROR(IF(E415="Mayorista",IF(INDEX('04_PRODUCTOS'!$F$2:$F$501,MATCH(F415,'04_PRODUCTOS'!$B$2:$B$501,0))="",INDEX('04_PRODUCTOS'!$E$2:$E$501,MATCH(F415,'04_PRODUCTOS'!$B$2:$B$501,0)),INDEX('04_PRODUCTOS'!$F$2:$F$501,MATCH(F415,'04_PRODUCTOS'!$B$2:$B$501,0))),IF(E415="Especial",IF(INDEX('04_PRODUCTOS'!$G$2:$G$501,MATCH(F415,'04_PRODUCTOS'!$B$2:$B$501,0))="",INDEX('04_PRODUCTOS'!$E$2:$E$501,MATCH(F415,'04_PRODUCTOS'!$B$2:$B$501,0)),INDEX('04_PRODUCTOS'!$G$2:$G$501,MATCH(F415,'04_PRODUCTOS'!$B$2:$B$501,0))),INDEX('04_PRODUCTOS'!$E$2:$E$501,MATCH(F415,'04_PRODUCTOS'!$B$2:$B$501,0)))),"")</f>
        <v/>
      </c>
      <c r="I415" s="3" t="str">
        <f t="shared" si="39"/>
        <v/>
      </c>
      <c r="J415" s="3" t="str">
        <f>IFERROR(IF(INDEX('04_PRODUCTOS'!$D$2:$D$501,MATCH(F415,'04_PRODUCTOS'!$B$2:$B$501,0))="","",I415-(G415*INDEX('04_PRODUCTOS'!$D$2:$D$501,MATCH(F415,'04_PRODUCTOS'!$B$2:$B$501,0)))),"")</f>
        <v/>
      </c>
      <c r="K415" s="7" t="str">
        <f t="shared" si="40"/>
        <v/>
      </c>
      <c r="O415" t="str">
        <f>IF(D415="","",IFERROR(INDEX('03_CLIENTES'!$A$2:$A$501,MATCH(D415,'03_CLIENTES'!$B$2:$B$501,0)),""))</f>
        <v/>
      </c>
      <c r="P415" t="str">
        <f>IF(F415="","",IFERROR(INDEX('04_PRODUCTOS'!$A$2:$A$501,MATCH(F415,'04_PRODUCTOS'!$B$2:$B$501,0)),""))</f>
        <v/>
      </c>
      <c r="Q415" t="str">
        <f t="shared" si="41"/>
        <v/>
      </c>
    </row>
    <row r="416" spans="1:17" x14ac:dyDescent="0.25">
      <c r="A416" t="str">
        <f t="shared" si="36"/>
        <v/>
      </c>
      <c r="B416" s="4" t="str">
        <f t="shared" ca="1" si="37"/>
        <v/>
      </c>
      <c r="C416" s="5" t="str">
        <f t="shared" ca="1" si="38"/>
        <v/>
      </c>
      <c r="G416" s="6"/>
      <c r="H416" s="3" t="str">
        <f>IFERROR(IF(E416="Mayorista",IF(INDEX('04_PRODUCTOS'!$F$2:$F$501,MATCH(F416,'04_PRODUCTOS'!$B$2:$B$501,0))="",INDEX('04_PRODUCTOS'!$E$2:$E$501,MATCH(F416,'04_PRODUCTOS'!$B$2:$B$501,0)),INDEX('04_PRODUCTOS'!$F$2:$F$501,MATCH(F416,'04_PRODUCTOS'!$B$2:$B$501,0))),IF(E416="Especial",IF(INDEX('04_PRODUCTOS'!$G$2:$G$501,MATCH(F416,'04_PRODUCTOS'!$B$2:$B$501,0))="",INDEX('04_PRODUCTOS'!$E$2:$E$501,MATCH(F416,'04_PRODUCTOS'!$B$2:$B$501,0)),INDEX('04_PRODUCTOS'!$G$2:$G$501,MATCH(F416,'04_PRODUCTOS'!$B$2:$B$501,0))),INDEX('04_PRODUCTOS'!$E$2:$E$501,MATCH(F416,'04_PRODUCTOS'!$B$2:$B$501,0)))),"")</f>
        <v/>
      </c>
      <c r="I416" s="3" t="str">
        <f t="shared" si="39"/>
        <v/>
      </c>
      <c r="J416" s="3" t="str">
        <f>IFERROR(IF(INDEX('04_PRODUCTOS'!$D$2:$D$501,MATCH(F416,'04_PRODUCTOS'!$B$2:$B$501,0))="","",I416-(G416*INDEX('04_PRODUCTOS'!$D$2:$D$501,MATCH(F416,'04_PRODUCTOS'!$B$2:$B$501,0)))),"")</f>
        <v/>
      </c>
      <c r="K416" s="7" t="str">
        <f t="shared" si="40"/>
        <v/>
      </c>
      <c r="O416" t="str">
        <f>IF(D416="","",IFERROR(INDEX('03_CLIENTES'!$A$2:$A$501,MATCH(D416,'03_CLIENTES'!$B$2:$B$501,0)),""))</f>
        <v/>
      </c>
      <c r="P416" t="str">
        <f>IF(F416="","",IFERROR(INDEX('04_PRODUCTOS'!$A$2:$A$501,MATCH(F416,'04_PRODUCTOS'!$B$2:$B$501,0)),""))</f>
        <v/>
      </c>
      <c r="Q416" t="str">
        <f t="shared" si="41"/>
        <v/>
      </c>
    </row>
    <row r="417" spans="1:17" x14ac:dyDescent="0.25">
      <c r="A417" t="str">
        <f t="shared" si="36"/>
        <v/>
      </c>
      <c r="B417" s="4" t="str">
        <f t="shared" ca="1" si="37"/>
        <v/>
      </c>
      <c r="C417" s="5" t="str">
        <f t="shared" ca="1" si="38"/>
        <v/>
      </c>
      <c r="G417" s="6"/>
      <c r="H417" s="3" t="str">
        <f>IFERROR(IF(E417="Mayorista",IF(INDEX('04_PRODUCTOS'!$F$2:$F$501,MATCH(F417,'04_PRODUCTOS'!$B$2:$B$501,0))="",INDEX('04_PRODUCTOS'!$E$2:$E$501,MATCH(F417,'04_PRODUCTOS'!$B$2:$B$501,0)),INDEX('04_PRODUCTOS'!$F$2:$F$501,MATCH(F417,'04_PRODUCTOS'!$B$2:$B$501,0))),IF(E417="Especial",IF(INDEX('04_PRODUCTOS'!$G$2:$G$501,MATCH(F417,'04_PRODUCTOS'!$B$2:$B$501,0))="",INDEX('04_PRODUCTOS'!$E$2:$E$501,MATCH(F417,'04_PRODUCTOS'!$B$2:$B$501,0)),INDEX('04_PRODUCTOS'!$G$2:$G$501,MATCH(F417,'04_PRODUCTOS'!$B$2:$B$501,0))),INDEX('04_PRODUCTOS'!$E$2:$E$501,MATCH(F417,'04_PRODUCTOS'!$B$2:$B$501,0)))),"")</f>
        <v/>
      </c>
      <c r="I417" s="3" t="str">
        <f t="shared" si="39"/>
        <v/>
      </c>
      <c r="J417" s="3" t="str">
        <f>IFERROR(IF(INDEX('04_PRODUCTOS'!$D$2:$D$501,MATCH(F417,'04_PRODUCTOS'!$B$2:$B$501,0))="","",I417-(G417*INDEX('04_PRODUCTOS'!$D$2:$D$501,MATCH(F417,'04_PRODUCTOS'!$B$2:$B$501,0)))),"")</f>
        <v/>
      </c>
      <c r="K417" s="7" t="str">
        <f t="shared" si="40"/>
        <v/>
      </c>
      <c r="O417" t="str">
        <f>IF(D417="","",IFERROR(INDEX('03_CLIENTES'!$A$2:$A$501,MATCH(D417,'03_CLIENTES'!$B$2:$B$501,0)),""))</f>
        <v/>
      </c>
      <c r="P417" t="str">
        <f>IF(F417="","",IFERROR(INDEX('04_PRODUCTOS'!$A$2:$A$501,MATCH(F417,'04_PRODUCTOS'!$B$2:$B$501,0)),""))</f>
        <v/>
      </c>
      <c r="Q417" t="str">
        <f t="shared" si="41"/>
        <v/>
      </c>
    </row>
    <row r="418" spans="1:17" x14ac:dyDescent="0.25">
      <c r="A418" t="str">
        <f t="shared" si="36"/>
        <v/>
      </c>
      <c r="B418" s="4" t="str">
        <f t="shared" ca="1" si="37"/>
        <v/>
      </c>
      <c r="C418" s="5" t="str">
        <f t="shared" ca="1" si="38"/>
        <v/>
      </c>
      <c r="G418" s="6"/>
      <c r="H418" s="3" t="str">
        <f>IFERROR(IF(E418="Mayorista",IF(INDEX('04_PRODUCTOS'!$F$2:$F$501,MATCH(F418,'04_PRODUCTOS'!$B$2:$B$501,0))="",INDEX('04_PRODUCTOS'!$E$2:$E$501,MATCH(F418,'04_PRODUCTOS'!$B$2:$B$501,0)),INDEX('04_PRODUCTOS'!$F$2:$F$501,MATCH(F418,'04_PRODUCTOS'!$B$2:$B$501,0))),IF(E418="Especial",IF(INDEX('04_PRODUCTOS'!$G$2:$G$501,MATCH(F418,'04_PRODUCTOS'!$B$2:$B$501,0))="",INDEX('04_PRODUCTOS'!$E$2:$E$501,MATCH(F418,'04_PRODUCTOS'!$B$2:$B$501,0)),INDEX('04_PRODUCTOS'!$G$2:$G$501,MATCH(F418,'04_PRODUCTOS'!$B$2:$B$501,0))),INDEX('04_PRODUCTOS'!$E$2:$E$501,MATCH(F418,'04_PRODUCTOS'!$B$2:$B$501,0)))),"")</f>
        <v/>
      </c>
      <c r="I418" s="3" t="str">
        <f t="shared" si="39"/>
        <v/>
      </c>
      <c r="J418" s="3" t="str">
        <f>IFERROR(IF(INDEX('04_PRODUCTOS'!$D$2:$D$501,MATCH(F418,'04_PRODUCTOS'!$B$2:$B$501,0))="","",I418-(G418*INDEX('04_PRODUCTOS'!$D$2:$D$501,MATCH(F418,'04_PRODUCTOS'!$B$2:$B$501,0)))),"")</f>
        <v/>
      </c>
      <c r="K418" s="7" t="str">
        <f t="shared" si="40"/>
        <v/>
      </c>
      <c r="O418" t="str">
        <f>IF(D418="","",IFERROR(INDEX('03_CLIENTES'!$A$2:$A$501,MATCH(D418,'03_CLIENTES'!$B$2:$B$501,0)),""))</f>
        <v/>
      </c>
      <c r="P418" t="str">
        <f>IF(F418="","",IFERROR(INDEX('04_PRODUCTOS'!$A$2:$A$501,MATCH(F418,'04_PRODUCTOS'!$B$2:$B$501,0)),""))</f>
        <v/>
      </c>
      <c r="Q418" t="str">
        <f t="shared" si="41"/>
        <v/>
      </c>
    </row>
    <row r="419" spans="1:17" x14ac:dyDescent="0.25">
      <c r="A419" t="str">
        <f t="shared" si="36"/>
        <v/>
      </c>
      <c r="B419" s="4" t="str">
        <f t="shared" ca="1" si="37"/>
        <v/>
      </c>
      <c r="C419" s="5" t="str">
        <f t="shared" ca="1" si="38"/>
        <v/>
      </c>
      <c r="G419" s="6"/>
      <c r="H419" s="3" t="str">
        <f>IFERROR(IF(E419="Mayorista",IF(INDEX('04_PRODUCTOS'!$F$2:$F$501,MATCH(F419,'04_PRODUCTOS'!$B$2:$B$501,0))="",INDEX('04_PRODUCTOS'!$E$2:$E$501,MATCH(F419,'04_PRODUCTOS'!$B$2:$B$501,0)),INDEX('04_PRODUCTOS'!$F$2:$F$501,MATCH(F419,'04_PRODUCTOS'!$B$2:$B$501,0))),IF(E419="Especial",IF(INDEX('04_PRODUCTOS'!$G$2:$G$501,MATCH(F419,'04_PRODUCTOS'!$B$2:$B$501,0))="",INDEX('04_PRODUCTOS'!$E$2:$E$501,MATCH(F419,'04_PRODUCTOS'!$B$2:$B$501,0)),INDEX('04_PRODUCTOS'!$G$2:$G$501,MATCH(F419,'04_PRODUCTOS'!$B$2:$B$501,0))),INDEX('04_PRODUCTOS'!$E$2:$E$501,MATCH(F419,'04_PRODUCTOS'!$B$2:$B$501,0)))),"")</f>
        <v/>
      </c>
      <c r="I419" s="3" t="str">
        <f t="shared" si="39"/>
        <v/>
      </c>
      <c r="J419" s="3" t="str">
        <f>IFERROR(IF(INDEX('04_PRODUCTOS'!$D$2:$D$501,MATCH(F419,'04_PRODUCTOS'!$B$2:$B$501,0))="","",I419-(G419*INDEX('04_PRODUCTOS'!$D$2:$D$501,MATCH(F419,'04_PRODUCTOS'!$B$2:$B$501,0)))),"")</f>
        <v/>
      </c>
      <c r="K419" s="7" t="str">
        <f t="shared" si="40"/>
        <v/>
      </c>
      <c r="O419" t="str">
        <f>IF(D419="","",IFERROR(INDEX('03_CLIENTES'!$A$2:$A$501,MATCH(D419,'03_CLIENTES'!$B$2:$B$501,0)),""))</f>
        <v/>
      </c>
      <c r="P419" t="str">
        <f>IF(F419="","",IFERROR(INDEX('04_PRODUCTOS'!$A$2:$A$501,MATCH(F419,'04_PRODUCTOS'!$B$2:$B$501,0)),""))</f>
        <v/>
      </c>
      <c r="Q419" t="str">
        <f t="shared" si="41"/>
        <v/>
      </c>
    </row>
    <row r="420" spans="1:17" x14ac:dyDescent="0.25">
      <c r="A420" t="str">
        <f t="shared" si="36"/>
        <v/>
      </c>
      <c r="B420" s="4" t="str">
        <f t="shared" ca="1" si="37"/>
        <v/>
      </c>
      <c r="C420" s="5" t="str">
        <f t="shared" ca="1" si="38"/>
        <v/>
      </c>
      <c r="G420" s="6"/>
      <c r="H420" s="3" t="str">
        <f>IFERROR(IF(E420="Mayorista",IF(INDEX('04_PRODUCTOS'!$F$2:$F$501,MATCH(F420,'04_PRODUCTOS'!$B$2:$B$501,0))="",INDEX('04_PRODUCTOS'!$E$2:$E$501,MATCH(F420,'04_PRODUCTOS'!$B$2:$B$501,0)),INDEX('04_PRODUCTOS'!$F$2:$F$501,MATCH(F420,'04_PRODUCTOS'!$B$2:$B$501,0))),IF(E420="Especial",IF(INDEX('04_PRODUCTOS'!$G$2:$G$501,MATCH(F420,'04_PRODUCTOS'!$B$2:$B$501,0))="",INDEX('04_PRODUCTOS'!$E$2:$E$501,MATCH(F420,'04_PRODUCTOS'!$B$2:$B$501,0)),INDEX('04_PRODUCTOS'!$G$2:$G$501,MATCH(F420,'04_PRODUCTOS'!$B$2:$B$501,0))),INDEX('04_PRODUCTOS'!$E$2:$E$501,MATCH(F420,'04_PRODUCTOS'!$B$2:$B$501,0)))),"")</f>
        <v/>
      </c>
      <c r="I420" s="3" t="str">
        <f t="shared" si="39"/>
        <v/>
      </c>
      <c r="J420" s="3" t="str">
        <f>IFERROR(IF(INDEX('04_PRODUCTOS'!$D$2:$D$501,MATCH(F420,'04_PRODUCTOS'!$B$2:$B$501,0))="","",I420-(G420*INDEX('04_PRODUCTOS'!$D$2:$D$501,MATCH(F420,'04_PRODUCTOS'!$B$2:$B$501,0)))),"")</f>
        <v/>
      </c>
      <c r="K420" s="7" t="str">
        <f t="shared" si="40"/>
        <v/>
      </c>
      <c r="O420" t="str">
        <f>IF(D420="","",IFERROR(INDEX('03_CLIENTES'!$A$2:$A$501,MATCH(D420,'03_CLIENTES'!$B$2:$B$501,0)),""))</f>
        <v/>
      </c>
      <c r="P420" t="str">
        <f>IF(F420="","",IFERROR(INDEX('04_PRODUCTOS'!$A$2:$A$501,MATCH(F420,'04_PRODUCTOS'!$B$2:$B$501,0)),""))</f>
        <v/>
      </c>
      <c r="Q420" t="str">
        <f t="shared" si="41"/>
        <v/>
      </c>
    </row>
    <row r="421" spans="1:17" x14ac:dyDescent="0.25">
      <c r="A421" t="str">
        <f t="shared" si="36"/>
        <v/>
      </c>
      <c r="B421" s="4" t="str">
        <f t="shared" ca="1" si="37"/>
        <v/>
      </c>
      <c r="C421" s="5" t="str">
        <f t="shared" ca="1" si="38"/>
        <v/>
      </c>
      <c r="G421" s="6"/>
      <c r="H421" s="3" t="str">
        <f>IFERROR(IF(E421="Mayorista",IF(INDEX('04_PRODUCTOS'!$F$2:$F$501,MATCH(F421,'04_PRODUCTOS'!$B$2:$B$501,0))="",INDEX('04_PRODUCTOS'!$E$2:$E$501,MATCH(F421,'04_PRODUCTOS'!$B$2:$B$501,0)),INDEX('04_PRODUCTOS'!$F$2:$F$501,MATCH(F421,'04_PRODUCTOS'!$B$2:$B$501,0))),IF(E421="Especial",IF(INDEX('04_PRODUCTOS'!$G$2:$G$501,MATCH(F421,'04_PRODUCTOS'!$B$2:$B$501,0))="",INDEX('04_PRODUCTOS'!$E$2:$E$501,MATCH(F421,'04_PRODUCTOS'!$B$2:$B$501,0)),INDEX('04_PRODUCTOS'!$G$2:$G$501,MATCH(F421,'04_PRODUCTOS'!$B$2:$B$501,0))),INDEX('04_PRODUCTOS'!$E$2:$E$501,MATCH(F421,'04_PRODUCTOS'!$B$2:$B$501,0)))),"")</f>
        <v/>
      </c>
      <c r="I421" s="3" t="str">
        <f t="shared" si="39"/>
        <v/>
      </c>
      <c r="J421" s="3" t="str">
        <f>IFERROR(IF(INDEX('04_PRODUCTOS'!$D$2:$D$501,MATCH(F421,'04_PRODUCTOS'!$B$2:$B$501,0))="","",I421-(G421*INDEX('04_PRODUCTOS'!$D$2:$D$501,MATCH(F421,'04_PRODUCTOS'!$B$2:$B$501,0)))),"")</f>
        <v/>
      </c>
      <c r="K421" s="7" t="str">
        <f t="shared" si="40"/>
        <v/>
      </c>
      <c r="O421" t="str">
        <f>IF(D421="","",IFERROR(INDEX('03_CLIENTES'!$A$2:$A$501,MATCH(D421,'03_CLIENTES'!$B$2:$B$501,0)),""))</f>
        <v/>
      </c>
      <c r="P421" t="str">
        <f>IF(F421="","",IFERROR(INDEX('04_PRODUCTOS'!$A$2:$A$501,MATCH(F421,'04_PRODUCTOS'!$B$2:$B$501,0)),""))</f>
        <v/>
      </c>
      <c r="Q421" t="str">
        <f t="shared" si="41"/>
        <v/>
      </c>
    </row>
    <row r="422" spans="1:17" x14ac:dyDescent="0.25">
      <c r="A422" t="str">
        <f t="shared" si="36"/>
        <v/>
      </c>
      <c r="B422" s="4" t="str">
        <f t="shared" ca="1" si="37"/>
        <v/>
      </c>
      <c r="C422" s="5" t="str">
        <f t="shared" ca="1" si="38"/>
        <v/>
      </c>
      <c r="G422" s="6"/>
      <c r="H422" s="3" t="str">
        <f>IFERROR(IF(E422="Mayorista",IF(INDEX('04_PRODUCTOS'!$F$2:$F$501,MATCH(F422,'04_PRODUCTOS'!$B$2:$B$501,0))="",INDEX('04_PRODUCTOS'!$E$2:$E$501,MATCH(F422,'04_PRODUCTOS'!$B$2:$B$501,0)),INDEX('04_PRODUCTOS'!$F$2:$F$501,MATCH(F422,'04_PRODUCTOS'!$B$2:$B$501,0))),IF(E422="Especial",IF(INDEX('04_PRODUCTOS'!$G$2:$G$501,MATCH(F422,'04_PRODUCTOS'!$B$2:$B$501,0))="",INDEX('04_PRODUCTOS'!$E$2:$E$501,MATCH(F422,'04_PRODUCTOS'!$B$2:$B$501,0)),INDEX('04_PRODUCTOS'!$G$2:$G$501,MATCH(F422,'04_PRODUCTOS'!$B$2:$B$501,0))),INDEX('04_PRODUCTOS'!$E$2:$E$501,MATCH(F422,'04_PRODUCTOS'!$B$2:$B$501,0)))),"")</f>
        <v/>
      </c>
      <c r="I422" s="3" t="str">
        <f t="shared" si="39"/>
        <v/>
      </c>
      <c r="J422" s="3" t="str">
        <f>IFERROR(IF(INDEX('04_PRODUCTOS'!$D$2:$D$501,MATCH(F422,'04_PRODUCTOS'!$B$2:$B$501,0))="","",I422-(G422*INDEX('04_PRODUCTOS'!$D$2:$D$501,MATCH(F422,'04_PRODUCTOS'!$B$2:$B$501,0)))),"")</f>
        <v/>
      </c>
      <c r="K422" s="7" t="str">
        <f t="shared" si="40"/>
        <v/>
      </c>
      <c r="O422" t="str">
        <f>IF(D422="","",IFERROR(INDEX('03_CLIENTES'!$A$2:$A$501,MATCH(D422,'03_CLIENTES'!$B$2:$B$501,0)),""))</f>
        <v/>
      </c>
      <c r="P422" t="str">
        <f>IF(F422="","",IFERROR(INDEX('04_PRODUCTOS'!$A$2:$A$501,MATCH(F422,'04_PRODUCTOS'!$B$2:$B$501,0)),""))</f>
        <v/>
      </c>
      <c r="Q422" t="str">
        <f t="shared" si="41"/>
        <v/>
      </c>
    </row>
    <row r="423" spans="1:17" x14ac:dyDescent="0.25">
      <c r="A423" t="str">
        <f t="shared" si="36"/>
        <v/>
      </c>
      <c r="B423" s="4" t="str">
        <f t="shared" ca="1" si="37"/>
        <v/>
      </c>
      <c r="C423" s="5" t="str">
        <f t="shared" ca="1" si="38"/>
        <v/>
      </c>
      <c r="G423" s="6"/>
      <c r="H423" s="3" t="str">
        <f>IFERROR(IF(E423="Mayorista",IF(INDEX('04_PRODUCTOS'!$F$2:$F$501,MATCH(F423,'04_PRODUCTOS'!$B$2:$B$501,0))="",INDEX('04_PRODUCTOS'!$E$2:$E$501,MATCH(F423,'04_PRODUCTOS'!$B$2:$B$501,0)),INDEX('04_PRODUCTOS'!$F$2:$F$501,MATCH(F423,'04_PRODUCTOS'!$B$2:$B$501,0))),IF(E423="Especial",IF(INDEX('04_PRODUCTOS'!$G$2:$G$501,MATCH(F423,'04_PRODUCTOS'!$B$2:$B$501,0))="",INDEX('04_PRODUCTOS'!$E$2:$E$501,MATCH(F423,'04_PRODUCTOS'!$B$2:$B$501,0)),INDEX('04_PRODUCTOS'!$G$2:$G$501,MATCH(F423,'04_PRODUCTOS'!$B$2:$B$501,0))),INDEX('04_PRODUCTOS'!$E$2:$E$501,MATCH(F423,'04_PRODUCTOS'!$B$2:$B$501,0)))),"")</f>
        <v/>
      </c>
      <c r="I423" s="3" t="str">
        <f t="shared" si="39"/>
        <v/>
      </c>
      <c r="J423" s="3" t="str">
        <f>IFERROR(IF(INDEX('04_PRODUCTOS'!$D$2:$D$501,MATCH(F423,'04_PRODUCTOS'!$B$2:$B$501,0))="","",I423-(G423*INDEX('04_PRODUCTOS'!$D$2:$D$501,MATCH(F423,'04_PRODUCTOS'!$B$2:$B$501,0)))),"")</f>
        <v/>
      </c>
      <c r="K423" s="7" t="str">
        <f t="shared" si="40"/>
        <v/>
      </c>
      <c r="O423" t="str">
        <f>IF(D423="","",IFERROR(INDEX('03_CLIENTES'!$A$2:$A$501,MATCH(D423,'03_CLIENTES'!$B$2:$B$501,0)),""))</f>
        <v/>
      </c>
      <c r="P423" t="str">
        <f>IF(F423="","",IFERROR(INDEX('04_PRODUCTOS'!$A$2:$A$501,MATCH(F423,'04_PRODUCTOS'!$B$2:$B$501,0)),""))</f>
        <v/>
      </c>
      <c r="Q423" t="str">
        <f t="shared" si="41"/>
        <v/>
      </c>
    </row>
    <row r="424" spans="1:17" x14ac:dyDescent="0.25">
      <c r="A424" t="str">
        <f t="shared" si="36"/>
        <v/>
      </c>
      <c r="B424" s="4" t="str">
        <f t="shared" ca="1" si="37"/>
        <v/>
      </c>
      <c r="C424" s="5" t="str">
        <f t="shared" ca="1" si="38"/>
        <v/>
      </c>
      <c r="G424" s="6"/>
      <c r="H424" s="3" t="str">
        <f>IFERROR(IF(E424="Mayorista",IF(INDEX('04_PRODUCTOS'!$F$2:$F$501,MATCH(F424,'04_PRODUCTOS'!$B$2:$B$501,0))="",INDEX('04_PRODUCTOS'!$E$2:$E$501,MATCH(F424,'04_PRODUCTOS'!$B$2:$B$501,0)),INDEX('04_PRODUCTOS'!$F$2:$F$501,MATCH(F424,'04_PRODUCTOS'!$B$2:$B$501,0))),IF(E424="Especial",IF(INDEX('04_PRODUCTOS'!$G$2:$G$501,MATCH(F424,'04_PRODUCTOS'!$B$2:$B$501,0))="",INDEX('04_PRODUCTOS'!$E$2:$E$501,MATCH(F424,'04_PRODUCTOS'!$B$2:$B$501,0)),INDEX('04_PRODUCTOS'!$G$2:$G$501,MATCH(F424,'04_PRODUCTOS'!$B$2:$B$501,0))),INDEX('04_PRODUCTOS'!$E$2:$E$501,MATCH(F424,'04_PRODUCTOS'!$B$2:$B$501,0)))),"")</f>
        <v/>
      </c>
      <c r="I424" s="3" t="str">
        <f t="shared" si="39"/>
        <v/>
      </c>
      <c r="J424" s="3" t="str">
        <f>IFERROR(IF(INDEX('04_PRODUCTOS'!$D$2:$D$501,MATCH(F424,'04_PRODUCTOS'!$B$2:$B$501,0))="","",I424-(G424*INDEX('04_PRODUCTOS'!$D$2:$D$501,MATCH(F424,'04_PRODUCTOS'!$B$2:$B$501,0)))),"")</f>
        <v/>
      </c>
      <c r="K424" s="7" t="str">
        <f t="shared" si="40"/>
        <v/>
      </c>
      <c r="O424" t="str">
        <f>IF(D424="","",IFERROR(INDEX('03_CLIENTES'!$A$2:$A$501,MATCH(D424,'03_CLIENTES'!$B$2:$B$501,0)),""))</f>
        <v/>
      </c>
      <c r="P424" t="str">
        <f>IF(F424="","",IFERROR(INDEX('04_PRODUCTOS'!$A$2:$A$501,MATCH(F424,'04_PRODUCTOS'!$B$2:$B$501,0)),""))</f>
        <v/>
      </c>
      <c r="Q424" t="str">
        <f t="shared" si="41"/>
        <v/>
      </c>
    </row>
    <row r="425" spans="1:17" x14ac:dyDescent="0.25">
      <c r="A425" t="str">
        <f t="shared" si="36"/>
        <v/>
      </c>
      <c r="B425" s="4" t="str">
        <f t="shared" ca="1" si="37"/>
        <v/>
      </c>
      <c r="C425" s="5" t="str">
        <f t="shared" ca="1" si="38"/>
        <v/>
      </c>
      <c r="G425" s="6"/>
      <c r="H425" s="3" t="str">
        <f>IFERROR(IF(E425="Mayorista",IF(INDEX('04_PRODUCTOS'!$F$2:$F$501,MATCH(F425,'04_PRODUCTOS'!$B$2:$B$501,0))="",INDEX('04_PRODUCTOS'!$E$2:$E$501,MATCH(F425,'04_PRODUCTOS'!$B$2:$B$501,0)),INDEX('04_PRODUCTOS'!$F$2:$F$501,MATCH(F425,'04_PRODUCTOS'!$B$2:$B$501,0))),IF(E425="Especial",IF(INDEX('04_PRODUCTOS'!$G$2:$G$501,MATCH(F425,'04_PRODUCTOS'!$B$2:$B$501,0))="",INDEX('04_PRODUCTOS'!$E$2:$E$501,MATCH(F425,'04_PRODUCTOS'!$B$2:$B$501,0)),INDEX('04_PRODUCTOS'!$G$2:$G$501,MATCH(F425,'04_PRODUCTOS'!$B$2:$B$501,0))),INDEX('04_PRODUCTOS'!$E$2:$E$501,MATCH(F425,'04_PRODUCTOS'!$B$2:$B$501,0)))),"")</f>
        <v/>
      </c>
      <c r="I425" s="3" t="str">
        <f t="shared" si="39"/>
        <v/>
      </c>
      <c r="J425" s="3" t="str">
        <f>IFERROR(IF(INDEX('04_PRODUCTOS'!$D$2:$D$501,MATCH(F425,'04_PRODUCTOS'!$B$2:$B$501,0))="","",I425-(G425*INDEX('04_PRODUCTOS'!$D$2:$D$501,MATCH(F425,'04_PRODUCTOS'!$B$2:$B$501,0)))),"")</f>
        <v/>
      </c>
      <c r="K425" s="7" t="str">
        <f t="shared" si="40"/>
        <v/>
      </c>
      <c r="O425" t="str">
        <f>IF(D425="","",IFERROR(INDEX('03_CLIENTES'!$A$2:$A$501,MATCH(D425,'03_CLIENTES'!$B$2:$B$501,0)),""))</f>
        <v/>
      </c>
      <c r="P425" t="str">
        <f>IF(F425="","",IFERROR(INDEX('04_PRODUCTOS'!$A$2:$A$501,MATCH(F425,'04_PRODUCTOS'!$B$2:$B$501,0)),""))</f>
        <v/>
      </c>
      <c r="Q425" t="str">
        <f t="shared" si="41"/>
        <v/>
      </c>
    </row>
    <row r="426" spans="1:17" x14ac:dyDescent="0.25">
      <c r="A426" t="str">
        <f t="shared" si="36"/>
        <v/>
      </c>
      <c r="B426" s="4" t="str">
        <f t="shared" ca="1" si="37"/>
        <v/>
      </c>
      <c r="C426" s="5" t="str">
        <f t="shared" ca="1" si="38"/>
        <v/>
      </c>
      <c r="G426" s="6"/>
      <c r="H426" s="3" t="str">
        <f>IFERROR(IF(E426="Mayorista",IF(INDEX('04_PRODUCTOS'!$F$2:$F$501,MATCH(F426,'04_PRODUCTOS'!$B$2:$B$501,0))="",INDEX('04_PRODUCTOS'!$E$2:$E$501,MATCH(F426,'04_PRODUCTOS'!$B$2:$B$501,0)),INDEX('04_PRODUCTOS'!$F$2:$F$501,MATCH(F426,'04_PRODUCTOS'!$B$2:$B$501,0))),IF(E426="Especial",IF(INDEX('04_PRODUCTOS'!$G$2:$G$501,MATCH(F426,'04_PRODUCTOS'!$B$2:$B$501,0))="",INDEX('04_PRODUCTOS'!$E$2:$E$501,MATCH(F426,'04_PRODUCTOS'!$B$2:$B$501,0)),INDEX('04_PRODUCTOS'!$G$2:$G$501,MATCH(F426,'04_PRODUCTOS'!$B$2:$B$501,0))),INDEX('04_PRODUCTOS'!$E$2:$E$501,MATCH(F426,'04_PRODUCTOS'!$B$2:$B$501,0)))),"")</f>
        <v/>
      </c>
      <c r="I426" s="3" t="str">
        <f t="shared" si="39"/>
        <v/>
      </c>
      <c r="J426" s="3" t="str">
        <f>IFERROR(IF(INDEX('04_PRODUCTOS'!$D$2:$D$501,MATCH(F426,'04_PRODUCTOS'!$B$2:$B$501,0))="","",I426-(G426*INDEX('04_PRODUCTOS'!$D$2:$D$501,MATCH(F426,'04_PRODUCTOS'!$B$2:$B$501,0)))),"")</f>
        <v/>
      </c>
      <c r="K426" s="7" t="str">
        <f t="shared" si="40"/>
        <v/>
      </c>
      <c r="O426" t="str">
        <f>IF(D426="","",IFERROR(INDEX('03_CLIENTES'!$A$2:$A$501,MATCH(D426,'03_CLIENTES'!$B$2:$B$501,0)),""))</f>
        <v/>
      </c>
      <c r="P426" t="str">
        <f>IF(F426="","",IFERROR(INDEX('04_PRODUCTOS'!$A$2:$A$501,MATCH(F426,'04_PRODUCTOS'!$B$2:$B$501,0)),""))</f>
        <v/>
      </c>
      <c r="Q426" t="str">
        <f t="shared" si="41"/>
        <v/>
      </c>
    </row>
    <row r="427" spans="1:17" x14ac:dyDescent="0.25">
      <c r="A427" t="str">
        <f t="shared" si="36"/>
        <v/>
      </c>
      <c r="B427" s="4" t="str">
        <f t="shared" ca="1" si="37"/>
        <v/>
      </c>
      <c r="C427" s="5" t="str">
        <f t="shared" ca="1" si="38"/>
        <v/>
      </c>
      <c r="G427" s="6"/>
      <c r="H427" s="3" t="str">
        <f>IFERROR(IF(E427="Mayorista",IF(INDEX('04_PRODUCTOS'!$F$2:$F$501,MATCH(F427,'04_PRODUCTOS'!$B$2:$B$501,0))="",INDEX('04_PRODUCTOS'!$E$2:$E$501,MATCH(F427,'04_PRODUCTOS'!$B$2:$B$501,0)),INDEX('04_PRODUCTOS'!$F$2:$F$501,MATCH(F427,'04_PRODUCTOS'!$B$2:$B$501,0))),IF(E427="Especial",IF(INDEX('04_PRODUCTOS'!$G$2:$G$501,MATCH(F427,'04_PRODUCTOS'!$B$2:$B$501,0))="",INDEX('04_PRODUCTOS'!$E$2:$E$501,MATCH(F427,'04_PRODUCTOS'!$B$2:$B$501,0)),INDEX('04_PRODUCTOS'!$G$2:$G$501,MATCH(F427,'04_PRODUCTOS'!$B$2:$B$501,0))),INDEX('04_PRODUCTOS'!$E$2:$E$501,MATCH(F427,'04_PRODUCTOS'!$B$2:$B$501,0)))),"")</f>
        <v/>
      </c>
      <c r="I427" s="3" t="str">
        <f t="shared" si="39"/>
        <v/>
      </c>
      <c r="J427" s="3" t="str">
        <f>IFERROR(IF(INDEX('04_PRODUCTOS'!$D$2:$D$501,MATCH(F427,'04_PRODUCTOS'!$B$2:$B$501,0))="","",I427-(G427*INDEX('04_PRODUCTOS'!$D$2:$D$501,MATCH(F427,'04_PRODUCTOS'!$B$2:$B$501,0)))),"")</f>
        <v/>
      </c>
      <c r="K427" s="7" t="str">
        <f t="shared" si="40"/>
        <v/>
      </c>
      <c r="O427" t="str">
        <f>IF(D427="","",IFERROR(INDEX('03_CLIENTES'!$A$2:$A$501,MATCH(D427,'03_CLIENTES'!$B$2:$B$501,0)),""))</f>
        <v/>
      </c>
      <c r="P427" t="str">
        <f>IF(F427="","",IFERROR(INDEX('04_PRODUCTOS'!$A$2:$A$501,MATCH(F427,'04_PRODUCTOS'!$B$2:$B$501,0)),""))</f>
        <v/>
      </c>
      <c r="Q427" t="str">
        <f t="shared" si="41"/>
        <v/>
      </c>
    </row>
    <row r="428" spans="1:17" x14ac:dyDescent="0.25">
      <c r="A428" t="str">
        <f t="shared" si="36"/>
        <v/>
      </c>
      <c r="B428" s="4" t="str">
        <f t="shared" ca="1" si="37"/>
        <v/>
      </c>
      <c r="C428" s="5" t="str">
        <f t="shared" ca="1" si="38"/>
        <v/>
      </c>
      <c r="G428" s="6"/>
      <c r="H428" s="3" t="str">
        <f>IFERROR(IF(E428="Mayorista",IF(INDEX('04_PRODUCTOS'!$F$2:$F$501,MATCH(F428,'04_PRODUCTOS'!$B$2:$B$501,0))="",INDEX('04_PRODUCTOS'!$E$2:$E$501,MATCH(F428,'04_PRODUCTOS'!$B$2:$B$501,0)),INDEX('04_PRODUCTOS'!$F$2:$F$501,MATCH(F428,'04_PRODUCTOS'!$B$2:$B$501,0))),IF(E428="Especial",IF(INDEX('04_PRODUCTOS'!$G$2:$G$501,MATCH(F428,'04_PRODUCTOS'!$B$2:$B$501,0))="",INDEX('04_PRODUCTOS'!$E$2:$E$501,MATCH(F428,'04_PRODUCTOS'!$B$2:$B$501,0)),INDEX('04_PRODUCTOS'!$G$2:$G$501,MATCH(F428,'04_PRODUCTOS'!$B$2:$B$501,0))),INDEX('04_PRODUCTOS'!$E$2:$E$501,MATCH(F428,'04_PRODUCTOS'!$B$2:$B$501,0)))),"")</f>
        <v/>
      </c>
      <c r="I428" s="3" t="str">
        <f t="shared" si="39"/>
        <v/>
      </c>
      <c r="J428" s="3" t="str">
        <f>IFERROR(IF(INDEX('04_PRODUCTOS'!$D$2:$D$501,MATCH(F428,'04_PRODUCTOS'!$B$2:$B$501,0))="","",I428-(G428*INDEX('04_PRODUCTOS'!$D$2:$D$501,MATCH(F428,'04_PRODUCTOS'!$B$2:$B$501,0)))),"")</f>
        <v/>
      </c>
      <c r="K428" s="7" t="str">
        <f t="shared" si="40"/>
        <v/>
      </c>
      <c r="O428" t="str">
        <f>IF(D428="","",IFERROR(INDEX('03_CLIENTES'!$A$2:$A$501,MATCH(D428,'03_CLIENTES'!$B$2:$B$501,0)),""))</f>
        <v/>
      </c>
      <c r="P428" t="str">
        <f>IF(F428="","",IFERROR(INDEX('04_PRODUCTOS'!$A$2:$A$501,MATCH(F428,'04_PRODUCTOS'!$B$2:$B$501,0)),""))</f>
        <v/>
      </c>
      <c r="Q428" t="str">
        <f t="shared" si="41"/>
        <v/>
      </c>
    </row>
    <row r="429" spans="1:17" x14ac:dyDescent="0.25">
      <c r="A429" t="str">
        <f t="shared" si="36"/>
        <v/>
      </c>
      <c r="B429" s="4" t="str">
        <f t="shared" ca="1" si="37"/>
        <v/>
      </c>
      <c r="C429" s="5" t="str">
        <f t="shared" ca="1" si="38"/>
        <v/>
      </c>
      <c r="G429" s="6"/>
      <c r="H429" s="3" t="str">
        <f>IFERROR(IF(E429="Mayorista",IF(INDEX('04_PRODUCTOS'!$F$2:$F$501,MATCH(F429,'04_PRODUCTOS'!$B$2:$B$501,0))="",INDEX('04_PRODUCTOS'!$E$2:$E$501,MATCH(F429,'04_PRODUCTOS'!$B$2:$B$501,0)),INDEX('04_PRODUCTOS'!$F$2:$F$501,MATCH(F429,'04_PRODUCTOS'!$B$2:$B$501,0))),IF(E429="Especial",IF(INDEX('04_PRODUCTOS'!$G$2:$G$501,MATCH(F429,'04_PRODUCTOS'!$B$2:$B$501,0))="",INDEX('04_PRODUCTOS'!$E$2:$E$501,MATCH(F429,'04_PRODUCTOS'!$B$2:$B$501,0)),INDEX('04_PRODUCTOS'!$G$2:$G$501,MATCH(F429,'04_PRODUCTOS'!$B$2:$B$501,0))),INDEX('04_PRODUCTOS'!$E$2:$E$501,MATCH(F429,'04_PRODUCTOS'!$B$2:$B$501,0)))),"")</f>
        <v/>
      </c>
      <c r="I429" s="3" t="str">
        <f t="shared" si="39"/>
        <v/>
      </c>
      <c r="J429" s="3" t="str">
        <f>IFERROR(IF(INDEX('04_PRODUCTOS'!$D$2:$D$501,MATCH(F429,'04_PRODUCTOS'!$B$2:$B$501,0))="","",I429-(G429*INDEX('04_PRODUCTOS'!$D$2:$D$501,MATCH(F429,'04_PRODUCTOS'!$B$2:$B$501,0)))),"")</f>
        <v/>
      </c>
      <c r="K429" s="7" t="str">
        <f t="shared" si="40"/>
        <v/>
      </c>
      <c r="O429" t="str">
        <f>IF(D429="","",IFERROR(INDEX('03_CLIENTES'!$A$2:$A$501,MATCH(D429,'03_CLIENTES'!$B$2:$B$501,0)),""))</f>
        <v/>
      </c>
      <c r="P429" t="str">
        <f>IF(F429="","",IFERROR(INDEX('04_PRODUCTOS'!$A$2:$A$501,MATCH(F429,'04_PRODUCTOS'!$B$2:$B$501,0)),""))</f>
        <v/>
      </c>
      <c r="Q429" t="str">
        <f t="shared" si="41"/>
        <v/>
      </c>
    </row>
    <row r="430" spans="1:17" x14ac:dyDescent="0.25">
      <c r="A430" t="str">
        <f t="shared" si="36"/>
        <v/>
      </c>
      <c r="B430" s="4" t="str">
        <f t="shared" ca="1" si="37"/>
        <v/>
      </c>
      <c r="C430" s="5" t="str">
        <f t="shared" ca="1" si="38"/>
        <v/>
      </c>
      <c r="G430" s="6"/>
      <c r="H430" s="3" t="str">
        <f>IFERROR(IF(E430="Mayorista",IF(INDEX('04_PRODUCTOS'!$F$2:$F$501,MATCH(F430,'04_PRODUCTOS'!$B$2:$B$501,0))="",INDEX('04_PRODUCTOS'!$E$2:$E$501,MATCH(F430,'04_PRODUCTOS'!$B$2:$B$501,0)),INDEX('04_PRODUCTOS'!$F$2:$F$501,MATCH(F430,'04_PRODUCTOS'!$B$2:$B$501,0))),IF(E430="Especial",IF(INDEX('04_PRODUCTOS'!$G$2:$G$501,MATCH(F430,'04_PRODUCTOS'!$B$2:$B$501,0))="",INDEX('04_PRODUCTOS'!$E$2:$E$501,MATCH(F430,'04_PRODUCTOS'!$B$2:$B$501,0)),INDEX('04_PRODUCTOS'!$G$2:$G$501,MATCH(F430,'04_PRODUCTOS'!$B$2:$B$501,0))),INDEX('04_PRODUCTOS'!$E$2:$E$501,MATCH(F430,'04_PRODUCTOS'!$B$2:$B$501,0)))),"")</f>
        <v/>
      </c>
      <c r="I430" s="3" t="str">
        <f t="shared" si="39"/>
        <v/>
      </c>
      <c r="J430" s="3" t="str">
        <f>IFERROR(IF(INDEX('04_PRODUCTOS'!$D$2:$D$501,MATCH(F430,'04_PRODUCTOS'!$B$2:$B$501,0))="","",I430-(G430*INDEX('04_PRODUCTOS'!$D$2:$D$501,MATCH(F430,'04_PRODUCTOS'!$B$2:$B$501,0)))),"")</f>
        <v/>
      </c>
      <c r="K430" s="7" t="str">
        <f t="shared" si="40"/>
        <v/>
      </c>
      <c r="O430" t="str">
        <f>IF(D430="","",IFERROR(INDEX('03_CLIENTES'!$A$2:$A$501,MATCH(D430,'03_CLIENTES'!$B$2:$B$501,0)),""))</f>
        <v/>
      </c>
      <c r="P430" t="str">
        <f>IF(F430="","",IFERROR(INDEX('04_PRODUCTOS'!$A$2:$A$501,MATCH(F430,'04_PRODUCTOS'!$B$2:$B$501,0)),""))</f>
        <v/>
      </c>
      <c r="Q430" t="str">
        <f t="shared" si="41"/>
        <v/>
      </c>
    </row>
    <row r="431" spans="1:17" x14ac:dyDescent="0.25">
      <c r="A431" t="str">
        <f t="shared" si="36"/>
        <v/>
      </c>
      <c r="B431" s="4" t="str">
        <f t="shared" ca="1" si="37"/>
        <v/>
      </c>
      <c r="C431" s="5" t="str">
        <f t="shared" ca="1" si="38"/>
        <v/>
      </c>
      <c r="G431" s="6"/>
      <c r="H431" s="3" t="str">
        <f>IFERROR(IF(E431="Mayorista",IF(INDEX('04_PRODUCTOS'!$F$2:$F$501,MATCH(F431,'04_PRODUCTOS'!$B$2:$B$501,0))="",INDEX('04_PRODUCTOS'!$E$2:$E$501,MATCH(F431,'04_PRODUCTOS'!$B$2:$B$501,0)),INDEX('04_PRODUCTOS'!$F$2:$F$501,MATCH(F431,'04_PRODUCTOS'!$B$2:$B$501,0))),IF(E431="Especial",IF(INDEX('04_PRODUCTOS'!$G$2:$G$501,MATCH(F431,'04_PRODUCTOS'!$B$2:$B$501,0))="",INDEX('04_PRODUCTOS'!$E$2:$E$501,MATCH(F431,'04_PRODUCTOS'!$B$2:$B$501,0)),INDEX('04_PRODUCTOS'!$G$2:$G$501,MATCH(F431,'04_PRODUCTOS'!$B$2:$B$501,0))),INDEX('04_PRODUCTOS'!$E$2:$E$501,MATCH(F431,'04_PRODUCTOS'!$B$2:$B$501,0)))),"")</f>
        <v/>
      </c>
      <c r="I431" s="3" t="str">
        <f t="shared" si="39"/>
        <v/>
      </c>
      <c r="J431" s="3" t="str">
        <f>IFERROR(IF(INDEX('04_PRODUCTOS'!$D$2:$D$501,MATCH(F431,'04_PRODUCTOS'!$B$2:$B$501,0))="","",I431-(G431*INDEX('04_PRODUCTOS'!$D$2:$D$501,MATCH(F431,'04_PRODUCTOS'!$B$2:$B$501,0)))),"")</f>
        <v/>
      </c>
      <c r="K431" s="7" t="str">
        <f t="shared" si="40"/>
        <v/>
      </c>
      <c r="O431" t="str">
        <f>IF(D431="","",IFERROR(INDEX('03_CLIENTES'!$A$2:$A$501,MATCH(D431,'03_CLIENTES'!$B$2:$B$501,0)),""))</f>
        <v/>
      </c>
      <c r="P431" t="str">
        <f>IF(F431="","",IFERROR(INDEX('04_PRODUCTOS'!$A$2:$A$501,MATCH(F431,'04_PRODUCTOS'!$B$2:$B$501,0)),""))</f>
        <v/>
      </c>
      <c r="Q431" t="str">
        <f t="shared" si="41"/>
        <v/>
      </c>
    </row>
    <row r="432" spans="1:17" x14ac:dyDescent="0.25">
      <c r="A432" t="str">
        <f t="shared" si="36"/>
        <v/>
      </c>
      <c r="B432" s="4" t="str">
        <f t="shared" ca="1" si="37"/>
        <v/>
      </c>
      <c r="C432" s="5" t="str">
        <f t="shared" ca="1" si="38"/>
        <v/>
      </c>
      <c r="G432" s="6"/>
      <c r="H432" s="3" t="str">
        <f>IFERROR(IF(E432="Mayorista",IF(INDEX('04_PRODUCTOS'!$F$2:$F$501,MATCH(F432,'04_PRODUCTOS'!$B$2:$B$501,0))="",INDEX('04_PRODUCTOS'!$E$2:$E$501,MATCH(F432,'04_PRODUCTOS'!$B$2:$B$501,0)),INDEX('04_PRODUCTOS'!$F$2:$F$501,MATCH(F432,'04_PRODUCTOS'!$B$2:$B$501,0))),IF(E432="Especial",IF(INDEX('04_PRODUCTOS'!$G$2:$G$501,MATCH(F432,'04_PRODUCTOS'!$B$2:$B$501,0))="",INDEX('04_PRODUCTOS'!$E$2:$E$501,MATCH(F432,'04_PRODUCTOS'!$B$2:$B$501,0)),INDEX('04_PRODUCTOS'!$G$2:$G$501,MATCH(F432,'04_PRODUCTOS'!$B$2:$B$501,0))),INDEX('04_PRODUCTOS'!$E$2:$E$501,MATCH(F432,'04_PRODUCTOS'!$B$2:$B$501,0)))),"")</f>
        <v/>
      </c>
      <c r="I432" s="3" t="str">
        <f t="shared" si="39"/>
        <v/>
      </c>
      <c r="J432" s="3" t="str">
        <f>IFERROR(IF(INDEX('04_PRODUCTOS'!$D$2:$D$501,MATCH(F432,'04_PRODUCTOS'!$B$2:$B$501,0))="","",I432-(G432*INDEX('04_PRODUCTOS'!$D$2:$D$501,MATCH(F432,'04_PRODUCTOS'!$B$2:$B$501,0)))),"")</f>
        <v/>
      </c>
      <c r="K432" s="7" t="str">
        <f t="shared" si="40"/>
        <v/>
      </c>
      <c r="O432" t="str">
        <f>IF(D432="","",IFERROR(INDEX('03_CLIENTES'!$A$2:$A$501,MATCH(D432,'03_CLIENTES'!$B$2:$B$501,0)),""))</f>
        <v/>
      </c>
      <c r="P432" t="str">
        <f>IF(F432="","",IFERROR(INDEX('04_PRODUCTOS'!$A$2:$A$501,MATCH(F432,'04_PRODUCTOS'!$B$2:$B$501,0)),""))</f>
        <v/>
      </c>
      <c r="Q432" t="str">
        <f t="shared" si="41"/>
        <v/>
      </c>
    </row>
    <row r="433" spans="1:17" x14ac:dyDescent="0.25">
      <c r="A433" t="str">
        <f t="shared" si="36"/>
        <v/>
      </c>
      <c r="B433" s="4" t="str">
        <f t="shared" ca="1" si="37"/>
        <v/>
      </c>
      <c r="C433" s="5" t="str">
        <f t="shared" ca="1" si="38"/>
        <v/>
      </c>
      <c r="G433" s="6"/>
      <c r="H433" s="3" t="str">
        <f>IFERROR(IF(E433="Mayorista",IF(INDEX('04_PRODUCTOS'!$F$2:$F$501,MATCH(F433,'04_PRODUCTOS'!$B$2:$B$501,0))="",INDEX('04_PRODUCTOS'!$E$2:$E$501,MATCH(F433,'04_PRODUCTOS'!$B$2:$B$501,0)),INDEX('04_PRODUCTOS'!$F$2:$F$501,MATCH(F433,'04_PRODUCTOS'!$B$2:$B$501,0))),IF(E433="Especial",IF(INDEX('04_PRODUCTOS'!$G$2:$G$501,MATCH(F433,'04_PRODUCTOS'!$B$2:$B$501,0))="",INDEX('04_PRODUCTOS'!$E$2:$E$501,MATCH(F433,'04_PRODUCTOS'!$B$2:$B$501,0)),INDEX('04_PRODUCTOS'!$G$2:$G$501,MATCH(F433,'04_PRODUCTOS'!$B$2:$B$501,0))),INDEX('04_PRODUCTOS'!$E$2:$E$501,MATCH(F433,'04_PRODUCTOS'!$B$2:$B$501,0)))),"")</f>
        <v/>
      </c>
      <c r="I433" s="3" t="str">
        <f t="shared" si="39"/>
        <v/>
      </c>
      <c r="J433" s="3" t="str">
        <f>IFERROR(IF(INDEX('04_PRODUCTOS'!$D$2:$D$501,MATCH(F433,'04_PRODUCTOS'!$B$2:$B$501,0))="","",I433-(G433*INDEX('04_PRODUCTOS'!$D$2:$D$501,MATCH(F433,'04_PRODUCTOS'!$B$2:$B$501,0)))),"")</f>
        <v/>
      </c>
      <c r="K433" s="7" t="str">
        <f t="shared" si="40"/>
        <v/>
      </c>
      <c r="O433" t="str">
        <f>IF(D433="","",IFERROR(INDEX('03_CLIENTES'!$A$2:$A$501,MATCH(D433,'03_CLIENTES'!$B$2:$B$501,0)),""))</f>
        <v/>
      </c>
      <c r="P433" t="str">
        <f>IF(F433="","",IFERROR(INDEX('04_PRODUCTOS'!$A$2:$A$501,MATCH(F433,'04_PRODUCTOS'!$B$2:$B$501,0)),""))</f>
        <v/>
      </c>
      <c r="Q433" t="str">
        <f t="shared" si="41"/>
        <v/>
      </c>
    </row>
    <row r="434" spans="1:17" x14ac:dyDescent="0.25">
      <c r="A434" t="str">
        <f t="shared" si="36"/>
        <v/>
      </c>
      <c r="B434" s="4" t="str">
        <f t="shared" ca="1" si="37"/>
        <v/>
      </c>
      <c r="C434" s="5" t="str">
        <f t="shared" ca="1" si="38"/>
        <v/>
      </c>
      <c r="G434" s="6"/>
      <c r="H434" s="3" t="str">
        <f>IFERROR(IF(E434="Mayorista",IF(INDEX('04_PRODUCTOS'!$F$2:$F$501,MATCH(F434,'04_PRODUCTOS'!$B$2:$B$501,0))="",INDEX('04_PRODUCTOS'!$E$2:$E$501,MATCH(F434,'04_PRODUCTOS'!$B$2:$B$501,0)),INDEX('04_PRODUCTOS'!$F$2:$F$501,MATCH(F434,'04_PRODUCTOS'!$B$2:$B$501,0))),IF(E434="Especial",IF(INDEX('04_PRODUCTOS'!$G$2:$G$501,MATCH(F434,'04_PRODUCTOS'!$B$2:$B$501,0))="",INDEX('04_PRODUCTOS'!$E$2:$E$501,MATCH(F434,'04_PRODUCTOS'!$B$2:$B$501,0)),INDEX('04_PRODUCTOS'!$G$2:$G$501,MATCH(F434,'04_PRODUCTOS'!$B$2:$B$501,0))),INDEX('04_PRODUCTOS'!$E$2:$E$501,MATCH(F434,'04_PRODUCTOS'!$B$2:$B$501,0)))),"")</f>
        <v/>
      </c>
      <c r="I434" s="3" t="str">
        <f t="shared" si="39"/>
        <v/>
      </c>
      <c r="J434" s="3" t="str">
        <f>IFERROR(IF(INDEX('04_PRODUCTOS'!$D$2:$D$501,MATCH(F434,'04_PRODUCTOS'!$B$2:$B$501,0))="","",I434-(G434*INDEX('04_PRODUCTOS'!$D$2:$D$501,MATCH(F434,'04_PRODUCTOS'!$B$2:$B$501,0)))),"")</f>
        <v/>
      </c>
      <c r="K434" s="7" t="str">
        <f t="shared" si="40"/>
        <v/>
      </c>
      <c r="O434" t="str">
        <f>IF(D434="","",IFERROR(INDEX('03_CLIENTES'!$A$2:$A$501,MATCH(D434,'03_CLIENTES'!$B$2:$B$501,0)),""))</f>
        <v/>
      </c>
      <c r="P434" t="str">
        <f>IF(F434="","",IFERROR(INDEX('04_PRODUCTOS'!$A$2:$A$501,MATCH(F434,'04_PRODUCTOS'!$B$2:$B$501,0)),""))</f>
        <v/>
      </c>
      <c r="Q434" t="str">
        <f t="shared" si="41"/>
        <v/>
      </c>
    </row>
    <row r="435" spans="1:17" x14ac:dyDescent="0.25">
      <c r="A435" t="str">
        <f t="shared" si="36"/>
        <v/>
      </c>
      <c r="B435" s="4" t="str">
        <f t="shared" ca="1" si="37"/>
        <v/>
      </c>
      <c r="C435" s="5" t="str">
        <f t="shared" ca="1" si="38"/>
        <v/>
      </c>
      <c r="G435" s="6"/>
      <c r="H435" s="3" t="str">
        <f>IFERROR(IF(E435="Mayorista",IF(INDEX('04_PRODUCTOS'!$F$2:$F$501,MATCH(F435,'04_PRODUCTOS'!$B$2:$B$501,0))="",INDEX('04_PRODUCTOS'!$E$2:$E$501,MATCH(F435,'04_PRODUCTOS'!$B$2:$B$501,0)),INDEX('04_PRODUCTOS'!$F$2:$F$501,MATCH(F435,'04_PRODUCTOS'!$B$2:$B$501,0))),IF(E435="Especial",IF(INDEX('04_PRODUCTOS'!$G$2:$G$501,MATCH(F435,'04_PRODUCTOS'!$B$2:$B$501,0))="",INDEX('04_PRODUCTOS'!$E$2:$E$501,MATCH(F435,'04_PRODUCTOS'!$B$2:$B$501,0)),INDEX('04_PRODUCTOS'!$G$2:$G$501,MATCH(F435,'04_PRODUCTOS'!$B$2:$B$501,0))),INDEX('04_PRODUCTOS'!$E$2:$E$501,MATCH(F435,'04_PRODUCTOS'!$B$2:$B$501,0)))),"")</f>
        <v/>
      </c>
      <c r="I435" s="3" t="str">
        <f t="shared" si="39"/>
        <v/>
      </c>
      <c r="J435" s="3" t="str">
        <f>IFERROR(IF(INDEX('04_PRODUCTOS'!$D$2:$D$501,MATCH(F435,'04_PRODUCTOS'!$B$2:$B$501,0))="","",I435-(G435*INDEX('04_PRODUCTOS'!$D$2:$D$501,MATCH(F435,'04_PRODUCTOS'!$B$2:$B$501,0)))),"")</f>
        <v/>
      </c>
      <c r="K435" s="7" t="str">
        <f t="shared" si="40"/>
        <v/>
      </c>
      <c r="O435" t="str">
        <f>IF(D435="","",IFERROR(INDEX('03_CLIENTES'!$A$2:$A$501,MATCH(D435,'03_CLIENTES'!$B$2:$B$501,0)),""))</f>
        <v/>
      </c>
      <c r="P435" t="str">
        <f>IF(F435="","",IFERROR(INDEX('04_PRODUCTOS'!$A$2:$A$501,MATCH(F435,'04_PRODUCTOS'!$B$2:$B$501,0)),""))</f>
        <v/>
      </c>
      <c r="Q435" t="str">
        <f t="shared" si="41"/>
        <v/>
      </c>
    </row>
    <row r="436" spans="1:17" x14ac:dyDescent="0.25">
      <c r="A436" t="str">
        <f t="shared" si="36"/>
        <v/>
      </c>
      <c r="B436" s="4" t="str">
        <f t="shared" ca="1" si="37"/>
        <v/>
      </c>
      <c r="C436" s="5" t="str">
        <f t="shared" ca="1" si="38"/>
        <v/>
      </c>
      <c r="G436" s="6"/>
      <c r="H436" s="3" t="str">
        <f>IFERROR(IF(E436="Mayorista",IF(INDEX('04_PRODUCTOS'!$F$2:$F$501,MATCH(F436,'04_PRODUCTOS'!$B$2:$B$501,0))="",INDEX('04_PRODUCTOS'!$E$2:$E$501,MATCH(F436,'04_PRODUCTOS'!$B$2:$B$501,0)),INDEX('04_PRODUCTOS'!$F$2:$F$501,MATCH(F436,'04_PRODUCTOS'!$B$2:$B$501,0))),IF(E436="Especial",IF(INDEX('04_PRODUCTOS'!$G$2:$G$501,MATCH(F436,'04_PRODUCTOS'!$B$2:$B$501,0))="",INDEX('04_PRODUCTOS'!$E$2:$E$501,MATCH(F436,'04_PRODUCTOS'!$B$2:$B$501,0)),INDEX('04_PRODUCTOS'!$G$2:$G$501,MATCH(F436,'04_PRODUCTOS'!$B$2:$B$501,0))),INDEX('04_PRODUCTOS'!$E$2:$E$501,MATCH(F436,'04_PRODUCTOS'!$B$2:$B$501,0)))),"")</f>
        <v/>
      </c>
      <c r="I436" s="3" t="str">
        <f t="shared" si="39"/>
        <v/>
      </c>
      <c r="J436" s="3" t="str">
        <f>IFERROR(IF(INDEX('04_PRODUCTOS'!$D$2:$D$501,MATCH(F436,'04_PRODUCTOS'!$B$2:$B$501,0))="","",I436-(G436*INDEX('04_PRODUCTOS'!$D$2:$D$501,MATCH(F436,'04_PRODUCTOS'!$B$2:$B$501,0)))),"")</f>
        <v/>
      </c>
      <c r="K436" s="7" t="str">
        <f t="shared" si="40"/>
        <v/>
      </c>
      <c r="O436" t="str">
        <f>IF(D436="","",IFERROR(INDEX('03_CLIENTES'!$A$2:$A$501,MATCH(D436,'03_CLIENTES'!$B$2:$B$501,0)),""))</f>
        <v/>
      </c>
      <c r="P436" t="str">
        <f>IF(F436="","",IFERROR(INDEX('04_PRODUCTOS'!$A$2:$A$501,MATCH(F436,'04_PRODUCTOS'!$B$2:$B$501,0)),""))</f>
        <v/>
      </c>
      <c r="Q436" t="str">
        <f t="shared" si="41"/>
        <v/>
      </c>
    </row>
    <row r="437" spans="1:17" x14ac:dyDescent="0.25">
      <c r="A437" t="str">
        <f t="shared" si="36"/>
        <v/>
      </c>
      <c r="B437" s="4" t="str">
        <f t="shared" ca="1" si="37"/>
        <v/>
      </c>
      <c r="C437" s="5" t="str">
        <f t="shared" ca="1" si="38"/>
        <v/>
      </c>
      <c r="G437" s="6"/>
      <c r="H437" s="3" t="str">
        <f>IFERROR(IF(E437="Mayorista",IF(INDEX('04_PRODUCTOS'!$F$2:$F$501,MATCH(F437,'04_PRODUCTOS'!$B$2:$B$501,0))="",INDEX('04_PRODUCTOS'!$E$2:$E$501,MATCH(F437,'04_PRODUCTOS'!$B$2:$B$501,0)),INDEX('04_PRODUCTOS'!$F$2:$F$501,MATCH(F437,'04_PRODUCTOS'!$B$2:$B$501,0))),IF(E437="Especial",IF(INDEX('04_PRODUCTOS'!$G$2:$G$501,MATCH(F437,'04_PRODUCTOS'!$B$2:$B$501,0))="",INDEX('04_PRODUCTOS'!$E$2:$E$501,MATCH(F437,'04_PRODUCTOS'!$B$2:$B$501,0)),INDEX('04_PRODUCTOS'!$G$2:$G$501,MATCH(F437,'04_PRODUCTOS'!$B$2:$B$501,0))),INDEX('04_PRODUCTOS'!$E$2:$E$501,MATCH(F437,'04_PRODUCTOS'!$B$2:$B$501,0)))),"")</f>
        <v/>
      </c>
      <c r="I437" s="3" t="str">
        <f t="shared" si="39"/>
        <v/>
      </c>
      <c r="J437" s="3" t="str">
        <f>IFERROR(IF(INDEX('04_PRODUCTOS'!$D$2:$D$501,MATCH(F437,'04_PRODUCTOS'!$B$2:$B$501,0))="","",I437-(G437*INDEX('04_PRODUCTOS'!$D$2:$D$501,MATCH(F437,'04_PRODUCTOS'!$B$2:$B$501,0)))),"")</f>
        <v/>
      </c>
      <c r="K437" s="7" t="str">
        <f t="shared" si="40"/>
        <v/>
      </c>
      <c r="O437" t="str">
        <f>IF(D437="","",IFERROR(INDEX('03_CLIENTES'!$A$2:$A$501,MATCH(D437,'03_CLIENTES'!$B$2:$B$501,0)),""))</f>
        <v/>
      </c>
      <c r="P437" t="str">
        <f>IF(F437="","",IFERROR(INDEX('04_PRODUCTOS'!$A$2:$A$501,MATCH(F437,'04_PRODUCTOS'!$B$2:$B$501,0)),""))</f>
        <v/>
      </c>
      <c r="Q437" t="str">
        <f t="shared" si="41"/>
        <v/>
      </c>
    </row>
    <row r="438" spans="1:17" x14ac:dyDescent="0.25">
      <c r="A438" t="str">
        <f t="shared" si="36"/>
        <v/>
      </c>
      <c r="B438" s="4" t="str">
        <f t="shared" ca="1" si="37"/>
        <v/>
      </c>
      <c r="C438" s="5" t="str">
        <f t="shared" ca="1" si="38"/>
        <v/>
      </c>
      <c r="G438" s="6"/>
      <c r="H438" s="3" t="str">
        <f>IFERROR(IF(E438="Mayorista",IF(INDEX('04_PRODUCTOS'!$F$2:$F$501,MATCH(F438,'04_PRODUCTOS'!$B$2:$B$501,0))="",INDEX('04_PRODUCTOS'!$E$2:$E$501,MATCH(F438,'04_PRODUCTOS'!$B$2:$B$501,0)),INDEX('04_PRODUCTOS'!$F$2:$F$501,MATCH(F438,'04_PRODUCTOS'!$B$2:$B$501,0))),IF(E438="Especial",IF(INDEX('04_PRODUCTOS'!$G$2:$G$501,MATCH(F438,'04_PRODUCTOS'!$B$2:$B$501,0))="",INDEX('04_PRODUCTOS'!$E$2:$E$501,MATCH(F438,'04_PRODUCTOS'!$B$2:$B$501,0)),INDEX('04_PRODUCTOS'!$G$2:$G$501,MATCH(F438,'04_PRODUCTOS'!$B$2:$B$501,0))),INDEX('04_PRODUCTOS'!$E$2:$E$501,MATCH(F438,'04_PRODUCTOS'!$B$2:$B$501,0)))),"")</f>
        <v/>
      </c>
      <c r="I438" s="3" t="str">
        <f t="shared" si="39"/>
        <v/>
      </c>
      <c r="J438" s="3" t="str">
        <f>IFERROR(IF(INDEX('04_PRODUCTOS'!$D$2:$D$501,MATCH(F438,'04_PRODUCTOS'!$B$2:$B$501,0))="","",I438-(G438*INDEX('04_PRODUCTOS'!$D$2:$D$501,MATCH(F438,'04_PRODUCTOS'!$B$2:$B$501,0)))),"")</f>
        <v/>
      </c>
      <c r="K438" s="7" t="str">
        <f t="shared" si="40"/>
        <v/>
      </c>
      <c r="O438" t="str">
        <f>IF(D438="","",IFERROR(INDEX('03_CLIENTES'!$A$2:$A$501,MATCH(D438,'03_CLIENTES'!$B$2:$B$501,0)),""))</f>
        <v/>
      </c>
      <c r="P438" t="str">
        <f>IF(F438="","",IFERROR(INDEX('04_PRODUCTOS'!$A$2:$A$501,MATCH(F438,'04_PRODUCTOS'!$B$2:$B$501,0)),""))</f>
        <v/>
      </c>
      <c r="Q438" t="str">
        <f t="shared" si="41"/>
        <v/>
      </c>
    </row>
    <row r="439" spans="1:17" x14ac:dyDescent="0.25">
      <c r="A439" t="str">
        <f t="shared" si="36"/>
        <v/>
      </c>
      <c r="B439" s="4" t="str">
        <f t="shared" ca="1" si="37"/>
        <v/>
      </c>
      <c r="C439" s="5" t="str">
        <f t="shared" ca="1" si="38"/>
        <v/>
      </c>
      <c r="G439" s="6"/>
      <c r="H439" s="3" t="str">
        <f>IFERROR(IF(E439="Mayorista",IF(INDEX('04_PRODUCTOS'!$F$2:$F$501,MATCH(F439,'04_PRODUCTOS'!$B$2:$B$501,0))="",INDEX('04_PRODUCTOS'!$E$2:$E$501,MATCH(F439,'04_PRODUCTOS'!$B$2:$B$501,0)),INDEX('04_PRODUCTOS'!$F$2:$F$501,MATCH(F439,'04_PRODUCTOS'!$B$2:$B$501,0))),IF(E439="Especial",IF(INDEX('04_PRODUCTOS'!$G$2:$G$501,MATCH(F439,'04_PRODUCTOS'!$B$2:$B$501,0))="",INDEX('04_PRODUCTOS'!$E$2:$E$501,MATCH(F439,'04_PRODUCTOS'!$B$2:$B$501,0)),INDEX('04_PRODUCTOS'!$G$2:$G$501,MATCH(F439,'04_PRODUCTOS'!$B$2:$B$501,0))),INDEX('04_PRODUCTOS'!$E$2:$E$501,MATCH(F439,'04_PRODUCTOS'!$B$2:$B$501,0)))),"")</f>
        <v/>
      </c>
      <c r="I439" s="3" t="str">
        <f t="shared" si="39"/>
        <v/>
      </c>
      <c r="J439" s="3" t="str">
        <f>IFERROR(IF(INDEX('04_PRODUCTOS'!$D$2:$D$501,MATCH(F439,'04_PRODUCTOS'!$B$2:$B$501,0))="","",I439-(G439*INDEX('04_PRODUCTOS'!$D$2:$D$501,MATCH(F439,'04_PRODUCTOS'!$B$2:$B$501,0)))),"")</f>
        <v/>
      </c>
      <c r="K439" s="7" t="str">
        <f t="shared" si="40"/>
        <v/>
      </c>
      <c r="O439" t="str">
        <f>IF(D439="","",IFERROR(INDEX('03_CLIENTES'!$A$2:$A$501,MATCH(D439,'03_CLIENTES'!$B$2:$B$501,0)),""))</f>
        <v/>
      </c>
      <c r="P439" t="str">
        <f>IF(F439="","",IFERROR(INDEX('04_PRODUCTOS'!$A$2:$A$501,MATCH(F439,'04_PRODUCTOS'!$B$2:$B$501,0)),""))</f>
        <v/>
      </c>
      <c r="Q439" t="str">
        <f t="shared" si="41"/>
        <v/>
      </c>
    </row>
    <row r="440" spans="1:17" x14ac:dyDescent="0.25">
      <c r="A440" t="str">
        <f t="shared" si="36"/>
        <v/>
      </c>
      <c r="B440" s="4" t="str">
        <f t="shared" ca="1" si="37"/>
        <v/>
      </c>
      <c r="C440" s="5" t="str">
        <f t="shared" ca="1" si="38"/>
        <v/>
      </c>
      <c r="G440" s="6"/>
      <c r="H440" s="3" t="str">
        <f>IFERROR(IF(E440="Mayorista",IF(INDEX('04_PRODUCTOS'!$F$2:$F$501,MATCH(F440,'04_PRODUCTOS'!$B$2:$B$501,0))="",INDEX('04_PRODUCTOS'!$E$2:$E$501,MATCH(F440,'04_PRODUCTOS'!$B$2:$B$501,0)),INDEX('04_PRODUCTOS'!$F$2:$F$501,MATCH(F440,'04_PRODUCTOS'!$B$2:$B$501,0))),IF(E440="Especial",IF(INDEX('04_PRODUCTOS'!$G$2:$G$501,MATCH(F440,'04_PRODUCTOS'!$B$2:$B$501,0))="",INDEX('04_PRODUCTOS'!$E$2:$E$501,MATCH(F440,'04_PRODUCTOS'!$B$2:$B$501,0)),INDEX('04_PRODUCTOS'!$G$2:$G$501,MATCH(F440,'04_PRODUCTOS'!$B$2:$B$501,0))),INDEX('04_PRODUCTOS'!$E$2:$E$501,MATCH(F440,'04_PRODUCTOS'!$B$2:$B$501,0)))),"")</f>
        <v/>
      </c>
      <c r="I440" s="3" t="str">
        <f t="shared" si="39"/>
        <v/>
      </c>
      <c r="J440" s="3" t="str">
        <f>IFERROR(IF(INDEX('04_PRODUCTOS'!$D$2:$D$501,MATCH(F440,'04_PRODUCTOS'!$B$2:$B$501,0))="","",I440-(G440*INDEX('04_PRODUCTOS'!$D$2:$D$501,MATCH(F440,'04_PRODUCTOS'!$B$2:$B$501,0)))),"")</f>
        <v/>
      </c>
      <c r="K440" s="7" t="str">
        <f t="shared" si="40"/>
        <v/>
      </c>
      <c r="O440" t="str">
        <f>IF(D440="","",IFERROR(INDEX('03_CLIENTES'!$A$2:$A$501,MATCH(D440,'03_CLIENTES'!$B$2:$B$501,0)),""))</f>
        <v/>
      </c>
      <c r="P440" t="str">
        <f>IF(F440="","",IFERROR(INDEX('04_PRODUCTOS'!$A$2:$A$501,MATCH(F440,'04_PRODUCTOS'!$B$2:$B$501,0)),""))</f>
        <v/>
      </c>
      <c r="Q440" t="str">
        <f t="shared" si="41"/>
        <v/>
      </c>
    </row>
    <row r="441" spans="1:17" x14ac:dyDescent="0.25">
      <c r="A441" t="str">
        <f t="shared" si="36"/>
        <v/>
      </c>
      <c r="B441" s="4" t="str">
        <f t="shared" ca="1" si="37"/>
        <v/>
      </c>
      <c r="C441" s="5" t="str">
        <f t="shared" ca="1" si="38"/>
        <v/>
      </c>
      <c r="G441" s="6"/>
      <c r="H441" s="3" t="str">
        <f>IFERROR(IF(E441="Mayorista",IF(INDEX('04_PRODUCTOS'!$F$2:$F$501,MATCH(F441,'04_PRODUCTOS'!$B$2:$B$501,0))="",INDEX('04_PRODUCTOS'!$E$2:$E$501,MATCH(F441,'04_PRODUCTOS'!$B$2:$B$501,0)),INDEX('04_PRODUCTOS'!$F$2:$F$501,MATCH(F441,'04_PRODUCTOS'!$B$2:$B$501,0))),IF(E441="Especial",IF(INDEX('04_PRODUCTOS'!$G$2:$G$501,MATCH(F441,'04_PRODUCTOS'!$B$2:$B$501,0))="",INDEX('04_PRODUCTOS'!$E$2:$E$501,MATCH(F441,'04_PRODUCTOS'!$B$2:$B$501,0)),INDEX('04_PRODUCTOS'!$G$2:$G$501,MATCH(F441,'04_PRODUCTOS'!$B$2:$B$501,0))),INDEX('04_PRODUCTOS'!$E$2:$E$501,MATCH(F441,'04_PRODUCTOS'!$B$2:$B$501,0)))),"")</f>
        <v/>
      </c>
      <c r="I441" s="3" t="str">
        <f t="shared" si="39"/>
        <v/>
      </c>
      <c r="J441" s="3" t="str">
        <f>IFERROR(IF(INDEX('04_PRODUCTOS'!$D$2:$D$501,MATCH(F441,'04_PRODUCTOS'!$B$2:$B$501,0))="","",I441-(G441*INDEX('04_PRODUCTOS'!$D$2:$D$501,MATCH(F441,'04_PRODUCTOS'!$B$2:$B$501,0)))),"")</f>
        <v/>
      </c>
      <c r="K441" s="7" t="str">
        <f t="shared" si="40"/>
        <v/>
      </c>
      <c r="O441" t="str">
        <f>IF(D441="","",IFERROR(INDEX('03_CLIENTES'!$A$2:$A$501,MATCH(D441,'03_CLIENTES'!$B$2:$B$501,0)),""))</f>
        <v/>
      </c>
      <c r="P441" t="str">
        <f>IF(F441="","",IFERROR(INDEX('04_PRODUCTOS'!$A$2:$A$501,MATCH(F441,'04_PRODUCTOS'!$B$2:$B$501,0)),""))</f>
        <v/>
      </c>
      <c r="Q441" t="str">
        <f t="shared" si="41"/>
        <v/>
      </c>
    </row>
    <row r="442" spans="1:17" x14ac:dyDescent="0.25">
      <c r="A442" t="str">
        <f t="shared" si="36"/>
        <v/>
      </c>
      <c r="B442" s="4" t="str">
        <f t="shared" ca="1" si="37"/>
        <v/>
      </c>
      <c r="C442" s="5" t="str">
        <f t="shared" ca="1" si="38"/>
        <v/>
      </c>
      <c r="G442" s="6"/>
      <c r="H442" s="3" t="str">
        <f>IFERROR(IF(E442="Mayorista",IF(INDEX('04_PRODUCTOS'!$F$2:$F$501,MATCH(F442,'04_PRODUCTOS'!$B$2:$B$501,0))="",INDEX('04_PRODUCTOS'!$E$2:$E$501,MATCH(F442,'04_PRODUCTOS'!$B$2:$B$501,0)),INDEX('04_PRODUCTOS'!$F$2:$F$501,MATCH(F442,'04_PRODUCTOS'!$B$2:$B$501,0))),IF(E442="Especial",IF(INDEX('04_PRODUCTOS'!$G$2:$G$501,MATCH(F442,'04_PRODUCTOS'!$B$2:$B$501,0))="",INDEX('04_PRODUCTOS'!$E$2:$E$501,MATCH(F442,'04_PRODUCTOS'!$B$2:$B$501,0)),INDEX('04_PRODUCTOS'!$G$2:$G$501,MATCH(F442,'04_PRODUCTOS'!$B$2:$B$501,0))),INDEX('04_PRODUCTOS'!$E$2:$E$501,MATCH(F442,'04_PRODUCTOS'!$B$2:$B$501,0)))),"")</f>
        <v/>
      </c>
      <c r="I442" s="3" t="str">
        <f t="shared" si="39"/>
        <v/>
      </c>
      <c r="J442" s="3" t="str">
        <f>IFERROR(IF(INDEX('04_PRODUCTOS'!$D$2:$D$501,MATCH(F442,'04_PRODUCTOS'!$B$2:$B$501,0))="","",I442-(G442*INDEX('04_PRODUCTOS'!$D$2:$D$501,MATCH(F442,'04_PRODUCTOS'!$B$2:$B$501,0)))),"")</f>
        <v/>
      </c>
      <c r="K442" s="7" t="str">
        <f t="shared" si="40"/>
        <v/>
      </c>
      <c r="O442" t="str">
        <f>IF(D442="","",IFERROR(INDEX('03_CLIENTES'!$A$2:$A$501,MATCH(D442,'03_CLIENTES'!$B$2:$B$501,0)),""))</f>
        <v/>
      </c>
      <c r="P442" t="str">
        <f>IF(F442="","",IFERROR(INDEX('04_PRODUCTOS'!$A$2:$A$501,MATCH(F442,'04_PRODUCTOS'!$B$2:$B$501,0)),""))</f>
        <v/>
      </c>
      <c r="Q442" t="str">
        <f t="shared" si="41"/>
        <v/>
      </c>
    </row>
    <row r="443" spans="1:17" x14ac:dyDescent="0.25">
      <c r="A443" t="str">
        <f t="shared" si="36"/>
        <v/>
      </c>
      <c r="B443" s="4" t="str">
        <f t="shared" ca="1" si="37"/>
        <v/>
      </c>
      <c r="C443" s="5" t="str">
        <f t="shared" ca="1" si="38"/>
        <v/>
      </c>
      <c r="G443" s="6"/>
      <c r="H443" s="3" t="str">
        <f>IFERROR(IF(E443="Mayorista",IF(INDEX('04_PRODUCTOS'!$F$2:$F$501,MATCH(F443,'04_PRODUCTOS'!$B$2:$B$501,0))="",INDEX('04_PRODUCTOS'!$E$2:$E$501,MATCH(F443,'04_PRODUCTOS'!$B$2:$B$501,0)),INDEX('04_PRODUCTOS'!$F$2:$F$501,MATCH(F443,'04_PRODUCTOS'!$B$2:$B$501,0))),IF(E443="Especial",IF(INDEX('04_PRODUCTOS'!$G$2:$G$501,MATCH(F443,'04_PRODUCTOS'!$B$2:$B$501,0))="",INDEX('04_PRODUCTOS'!$E$2:$E$501,MATCH(F443,'04_PRODUCTOS'!$B$2:$B$501,0)),INDEX('04_PRODUCTOS'!$G$2:$G$501,MATCH(F443,'04_PRODUCTOS'!$B$2:$B$501,0))),INDEX('04_PRODUCTOS'!$E$2:$E$501,MATCH(F443,'04_PRODUCTOS'!$B$2:$B$501,0)))),"")</f>
        <v/>
      </c>
      <c r="I443" s="3" t="str">
        <f t="shared" si="39"/>
        <v/>
      </c>
      <c r="J443" s="3" t="str">
        <f>IFERROR(IF(INDEX('04_PRODUCTOS'!$D$2:$D$501,MATCH(F443,'04_PRODUCTOS'!$B$2:$B$501,0))="","",I443-(G443*INDEX('04_PRODUCTOS'!$D$2:$D$501,MATCH(F443,'04_PRODUCTOS'!$B$2:$B$501,0)))),"")</f>
        <v/>
      </c>
      <c r="K443" s="7" t="str">
        <f t="shared" si="40"/>
        <v/>
      </c>
      <c r="O443" t="str">
        <f>IF(D443="","",IFERROR(INDEX('03_CLIENTES'!$A$2:$A$501,MATCH(D443,'03_CLIENTES'!$B$2:$B$501,0)),""))</f>
        <v/>
      </c>
      <c r="P443" t="str">
        <f>IF(F443="","",IFERROR(INDEX('04_PRODUCTOS'!$A$2:$A$501,MATCH(F443,'04_PRODUCTOS'!$B$2:$B$501,0)),""))</f>
        <v/>
      </c>
      <c r="Q443" t="str">
        <f t="shared" si="41"/>
        <v/>
      </c>
    </row>
    <row r="444" spans="1:17" x14ac:dyDescent="0.25">
      <c r="A444" t="str">
        <f t="shared" si="36"/>
        <v/>
      </c>
      <c r="B444" s="4" t="str">
        <f t="shared" ca="1" si="37"/>
        <v/>
      </c>
      <c r="C444" s="5" t="str">
        <f t="shared" ca="1" si="38"/>
        <v/>
      </c>
      <c r="G444" s="6"/>
      <c r="H444" s="3" t="str">
        <f>IFERROR(IF(E444="Mayorista",IF(INDEX('04_PRODUCTOS'!$F$2:$F$501,MATCH(F444,'04_PRODUCTOS'!$B$2:$B$501,0))="",INDEX('04_PRODUCTOS'!$E$2:$E$501,MATCH(F444,'04_PRODUCTOS'!$B$2:$B$501,0)),INDEX('04_PRODUCTOS'!$F$2:$F$501,MATCH(F444,'04_PRODUCTOS'!$B$2:$B$501,0))),IF(E444="Especial",IF(INDEX('04_PRODUCTOS'!$G$2:$G$501,MATCH(F444,'04_PRODUCTOS'!$B$2:$B$501,0))="",INDEX('04_PRODUCTOS'!$E$2:$E$501,MATCH(F444,'04_PRODUCTOS'!$B$2:$B$501,0)),INDEX('04_PRODUCTOS'!$G$2:$G$501,MATCH(F444,'04_PRODUCTOS'!$B$2:$B$501,0))),INDEX('04_PRODUCTOS'!$E$2:$E$501,MATCH(F444,'04_PRODUCTOS'!$B$2:$B$501,0)))),"")</f>
        <v/>
      </c>
      <c r="I444" s="3" t="str">
        <f t="shared" si="39"/>
        <v/>
      </c>
      <c r="J444" s="3" t="str">
        <f>IFERROR(IF(INDEX('04_PRODUCTOS'!$D$2:$D$501,MATCH(F444,'04_PRODUCTOS'!$B$2:$B$501,0))="","",I444-(G444*INDEX('04_PRODUCTOS'!$D$2:$D$501,MATCH(F444,'04_PRODUCTOS'!$B$2:$B$501,0)))),"")</f>
        <v/>
      </c>
      <c r="K444" s="7" t="str">
        <f t="shared" si="40"/>
        <v/>
      </c>
      <c r="O444" t="str">
        <f>IF(D444="","",IFERROR(INDEX('03_CLIENTES'!$A$2:$A$501,MATCH(D444,'03_CLIENTES'!$B$2:$B$501,0)),""))</f>
        <v/>
      </c>
      <c r="P444" t="str">
        <f>IF(F444="","",IFERROR(INDEX('04_PRODUCTOS'!$A$2:$A$501,MATCH(F444,'04_PRODUCTOS'!$B$2:$B$501,0)),""))</f>
        <v/>
      </c>
      <c r="Q444" t="str">
        <f t="shared" si="41"/>
        <v/>
      </c>
    </row>
    <row r="445" spans="1:17" x14ac:dyDescent="0.25">
      <c r="A445" t="str">
        <f t="shared" si="36"/>
        <v/>
      </c>
      <c r="B445" s="4" t="str">
        <f t="shared" ca="1" si="37"/>
        <v/>
      </c>
      <c r="C445" s="5" t="str">
        <f t="shared" ca="1" si="38"/>
        <v/>
      </c>
      <c r="G445" s="6"/>
      <c r="H445" s="3" t="str">
        <f>IFERROR(IF(E445="Mayorista",IF(INDEX('04_PRODUCTOS'!$F$2:$F$501,MATCH(F445,'04_PRODUCTOS'!$B$2:$B$501,0))="",INDEX('04_PRODUCTOS'!$E$2:$E$501,MATCH(F445,'04_PRODUCTOS'!$B$2:$B$501,0)),INDEX('04_PRODUCTOS'!$F$2:$F$501,MATCH(F445,'04_PRODUCTOS'!$B$2:$B$501,0))),IF(E445="Especial",IF(INDEX('04_PRODUCTOS'!$G$2:$G$501,MATCH(F445,'04_PRODUCTOS'!$B$2:$B$501,0))="",INDEX('04_PRODUCTOS'!$E$2:$E$501,MATCH(F445,'04_PRODUCTOS'!$B$2:$B$501,0)),INDEX('04_PRODUCTOS'!$G$2:$G$501,MATCH(F445,'04_PRODUCTOS'!$B$2:$B$501,0))),INDEX('04_PRODUCTOS'!$E$2:$E$501,MATCH(F445,'04_PRODUCTOS'!$B$2:$B$501,0)))),"")</f>
        <v/>
      </c>
      <c r="I445" s="3" t="str">
        <f t="shared" si="39"/>
        <v/>
      </c>
      <c r="J445" s="3" t="str">
        <f>IFERROR(IF(INDEX('04_PRODUCTOS'!$D$2:$D$501,MATCH(F445,'04_PRODUCTOS'!$B$2:$B$501,0))="","",I445-(G445*INDEX('04_PRODUCTOS'!$D$2:$D$501,MATCH(F445,'04_PRODUCTOS'!$B$2:$B$501,0)))),"")</f>
        <v/>
      </c>
      <c r="K445" s="7" t="str">
        <f t="shared" si="40"/>
        <v/>
      </c>
      <c r="O445" t="str">
        <f>IF(D445="","",IFERROR(INDEX('03_CLIENTES'!$A$2:$A$501,MATCH(D445,'03_CLIENTES'!$B$2:$B$501,0)),""))</f>
        <v/>
      </c>
      <c r="P445" t="str">
        <f>IF(F445="","",IFERROR(INDEX('04_PRODUCTOS'!$A$2:$A$501,MATCH(F445,'04_PRODUCTOS'!$B$2:$B$501,0)),""))</f>
        <v/>
      </c>
      <c r="Q445" t="str">
        <f t="shared" si="41"/>
        <v/>
      </c>
    </row>
    <row r="446" spans="1:17" x14ac:dyDescent="0.25">
      <c r="A446" t="str">
        <f t="shared" si="36"/>
        <v/>
      </c>
      <c r="B446" s="4" t="str">
        <f t="shared" ca="1" si="37"/>
        <v/>
      </c>
      <c r="C446" s="5" t="str">
        <f t="shared" ca="1" si="38"/>
        <v/>
      </c>
      <c r="G446" s="6"/>
      <c r="H446" s="3" t="str">
        <f>IFERROR(IF(E446="Mayorista",IF(INDEX('04_PRODUCTOS'!$F$2:$F$501,MATCH(F446,'04_PRODUCTOS'!$B$2:$B$501,0))="",INDEX('04_PRODUCTOS'!$E$2:$E$501,MATCH(F446,'04_PRODUCTOS'!$B$2:$B$501,0)),INDEX('04_PRODUCTOS'!$F$2:$F$501,MATCH(F446,'04_PRODUCTOS'!$B$2:$B$501,0))),IF(E446="Especial",IF(INDEX('04_PRODUCTOS'!$G$2:$G$501,MATCH(F446,'04_PRODUCTOS'!$B$2:$B$501,0))="",INDEX('04_PRODUCTOS'!$E$2:$E$501,MATCH(F446,'04_PRODUCTOS'!$B$2:$B$501,0)),INDEX('04_PRODUCTOS'!$G$2:$G$501,MATCH(F446,'04_PRODUCTOS'!$B$2:$B$501,0))),INDEX('04_PRODUCTOS'!$E$2:$E$501,MATCH(F446,'04_PRODUCTOS'!$B$2:$B$501,0)))),"")</f>
        <v/>
      </c>
      <c r="I446" s="3" t="str">
        <f t="shared" si="39"/>
        <v/>
      </c>
      <c r="J446" s="3" t="str">
        <f>IFERROR(IF(INDEX('04_PRODUCTOS'!$D$2:$D$501,MATCH(F446,'04_PRODUCTOS'!$B$2:$B$501,0))="","",I446-(G446*INDEX('04_PRODUCTOS'!$D$2:$D$501,MATCH(F446,'04_PRODUCTOS'!$B$2:$B$501,0)))),"")</f>
        <v/>
      </c>
      <c r="K446" s="7" t="str">
        <f t="shared" si="40"/>
        <v/>
      </c>
      <c r="O446" t="str">
        <f>IF(D446="","",IFERROR(INDEX('03_CLIENTES'!$A$2:$A$501,MATCH(D446,'03_CLIENTES'!$B$2:$B$501,0)),""))</f>
        <v/>
      </c>
      <c r="P446" t="str">
        <f>IF(F446="","",IFERROR(INDEX('04_PRODUCTOS'!$A$2:$A$501,MATCH(F446,'04_PRODUCTOS'!$B$2:$B$501,0)),""))</f>
        <v/>
      </c>
      <c r="Q446" t="str">
        <f t="shared" si="41"/>
        <v/>
      </c>
    </row>
    <row r="447" spans="1:17" x14ac:dyDescent="0.25">
      <c r="A447" t="str">
        <f t="shared" si="36"/>
        <v/>
      </c>
      <c r="B447" s="4" t="str">
        <f t="shared" ca="1" si="37"/>
        <v/>
      </c>
      <c r="C447" s="5" t="str">
        <f t="shared" ca="1" si="38"/>
        <v/>
      </c>
      <c r="G447" s="6"/>
      <c r="H447" s="3" t="str">
        <f>IFERROR(IF(E447="Mayorista",IF(INDEX('04_PRODUCTOS'!$F$2:$F$501,MATCH(F447,'04_PRODUCTOS'!$B$2:$B$501,0))="",INDEX('04_PRODUCTOS'!$E$2:$E$501,MATCH(F447,'04_PRODUCTOS'!$B$2:$B$501,0)),INDEX('04_PRODUCTOS'!$F$2:$F$501,MATCH(F447,'04_PRODUCTOS'!$B$2:$B$501,0))),IF(E447="Especial",IF(INDEX('04_PRODUCTOS'!$G$2:$G$501,MATCH(F447,'04_PRODUCTOS'!$B$2:$B$501,0))="",INDEX('04_PRODUCTOS'!$E$2:$E$501,MATCH(F447,'04_PRODUCTOS'!$B$2:$B$501,0)),INDEX('04_PRODUCTOS'!$G$2:$G$501,MATCH(F447,'04_PRODUCTOS'!$B$2:$B$501,0))),INDEX('04_PRODUCTOS'!$E$2:$E$501,MATCH(F447,'04_PRODUCTOS'!$B$2:$B$501,0)))),"")</f>
        <v/>
      </c>
      <c r="I447" s="3" t="str">
        <f t="shared" si="39"/>
        <v/>
      </c>
      <c r="J447" s="3" t="str">
        <f>IFERROR(IF(INDEX('04_PRODUCTOS'!$D$2:$D$501,MATCH(F447,'04_PRODUCTOS'!$B$2:$B$501,0))="","",I447-(G447*INDEX('04_PRODUCTOS'!$D$2:$D$501,MATCH(F447,'04_PRODUCTOS'!$B$2:$B$501,0)))),"")</f>
        <v/>
      </c>
      <c r="K447" s="7" t="str">
        <f t="shared" si="40"/>
        <v/>
      </c>
      <c r="O447" t="str">
        <f>IF(D447="","",IFERROR(INDEX('03_CLIENTES'!$A$2:$A$501,MATCH(D447,'03_CLIENTES'!$B$2:$B$501,0)),""))</f>
        <v/>
      </c>
      <c r="P447" t="str">
        <f>IF(F447="","",IFERROR(INDEX('04_PRODUCTOS'!$A$2:$A$501,MATCH(F447,'04_PRODUCTOS'!$B$2:$B$501,0)),""))</f>
        <v/>
      </c>
      <c r="Q447" t="str">
        <f t="shared" si="41"/>
        <v/>
      </c>
    </row>
    <row r="448" spans="1:17" x14ac:dyDescent="0.25">
      <c r="A448" t="str">
        <f t="shared" si="36"/>
        <v/>
      </c>
      <c r="B448" s="4" t="str">
        <f t="shared" ca="1" si="37"/>
        <v/>
      </c>
      <c r="C448" s="5" t="str">
        <f t="shared" ca="1" si="38"/>
        <v/>
      </c>
      <c r="G448" s="6"/>
      <c r="H448" s="3" t="str">
        <f>IFERROR(IF(E448="Mayorista",IF(INDEX('04_PRODUCTOS'!$F$2:$F$501,MATCH(F448,'04_PRODUCTOS'!$B$2:$B$501,0))="",INDEX('04_PRODUCTOS'!$E$2:$E$501,MATCH(F448,'04_PRODUCTOS'!$B$2:$B$501,0)),INDEX('04_PRODUCTOS'!$F$2:$F$501,MATCH(F448,'04_PRODUCTOS'!$B$2:$B$501,0))),IF(E448="Especial",IF(INDEX('04_PRODUCTOS'!$G$2:$G$501,MATCH(F448,'04_PRODUCTOS'!$B$2:$B$501,0))="",INDEX('04_PRODUCTOS'!$E$2:$E$501,MATCH(F448,'04_PRODUCTOS'!$B$2:$B$501,0)),INDEX('04_PRODUCTOS'!$G$2:$G$501,MATCH(F448,'04_PRODUCTOS'!$B$2:$B$501,0))),INDEX('04_PRODUCTOS'!$E$2:$E$501,MATCH(F448,'04_PRODUCTOS'!$B$2:$B$501,0)))),"")</f>
        <v/>
      </c>
      <c r="I448" s="3" t="str">
        <f t="shared" si="39"/>
        <v/>
      </c>
      <c r="J448" s="3" t="str">
        <f>IFERROR(IF(INDEX('04_PRODUCTOS'!$D$2:$D$501,MATCH(F448,'04_PRODUCTOS'!$B$2:$B$501,0))="","",I448-(G448*INDEX('04_PRODUCTOS'!$D$2:$D$501,MATCH(F448,'04_PRODUCTOS'!$B$2:$B$501,0)))),"")</f>
        <v/>
      </c>
      <c r="K448" s="7" t="str">
        <f t="shared" si="40"/>
        <v/>
      </c>
      <c r="O448" t="str">
        <f>IF(D448="","",IFERROR(INDEX('03_CLIENTES'!$A$2:$A$501,MATCH(D448,'03_CLIENTES'!$B$2:$B$501,0)),""))</f>
        <v/>
      </c>
      <c r="P448" t="str">
        <f>IF(F448="","",IFERROR(INDEX('04_PRODUCTOS'!$A$2:$A$501,MATCH(F448,'04_PRODUCTOS'!$B$2:$B$501,0)),""))</f>
        <v/>
      </c>
      <c r="Q448" t="str">
        <f t="shared" si="41"/>
        <v/>
      </c>
    </row>
    <row r="449" spans="1:17" x14ac:dyDescent="0.25">
      <c r="A449" t="str">
        <f t="shared" si="36"/>
        <v/>
      </c>
      <c r="B449" s="4" t="str">
        <f t="shared" ca="1" si="37"/>
        <v/>
      </c>
      <c r="C449" s="5" t="str">
        <f t="shared" ca="1" si="38"/>
        <v/>
      </c>
      <c r="G449" s="6"/>
      <c r="H449" s="3" t="str">
        <f>IFERROR(IF(E449="Mayorista",IF(INDEX('04_PRODUCTOS'!$F$2:$F$501,MATCH(F449,'04_PRODUCTOS'!$B$2:$B$501,0))="",INDEX('04_PRODUCTOS'!$E$2:$E$501,MATCH(F449,'04_PRODUCTOS'!$B$2:$B$501,0)),INDEX('04_PRODUCTOS'!$F$2:$F$501,MATCH(F449,'04_PRODUCTOS'!$B$2:$B$501,0))),IF(E449="Especial",IF(INDEX('04_PRODUCTOS'!$G$2:$G$501,MATCH(F449,'04_PRODUCTOS'!$B$2:$B$501,0))="",INDEX('04_PRODUCTOS'!$E$2:$E$501,MATCH(F449,'04_PRODUCTOS'!$B$2:$B$501,0)),INDEX('04_PRODUCTOS'!$G$2:$G$501,MATCH(F449,'04_PRODUCTOS'!$B$2:$B$501,0))),INDEX('04_PRODUCTOS'!$E$2:$E$501,MATCH(F449,'04_PRODUCTOS'!$B$2:$B$501,0)))),"")</f>
        <v/>
      </c>
      <c r="I449" s="3" t="str">
        <f t="shared" si="39"/>
        <v/>
      </c>
      <c r="J449" s="3" t="str">
        <f>IFERROR(IF(INDEX('04_PRODUCTOS'!$D$2:$D$501,MATCH(F449,'04_PRODUCTOS'!$B$2:$B$501,0))="","",I449-(G449*INDEX('04_PRODUCTOS'!$D$2:$D$501,MATCH(F449,'04_PRODUCTOS'!$B$2:$B$501,0)))),"")</f>
        <v/>
      </c>
      <c r="K449" s="7" t="str">
        <f t="shared" si="40"/>
        <v/>
      </c>
      <c r="O449" t="str">
        <f>IF(D449="","",IFERROR(INDEX('03_CLIENTES'!$A$2:$A$501,MATCH(D449,'03_CLIENTES'!$B$2:$B$501,0)),""))</f>
        <v/>
      </c>
      <c r="P449" t="str">
        <f>IF(F449="","",IFERROR(INDEX('04_PRODUCTOS'!$A$2:$A$501,MATCH(F449,'04_PRODUCTOS'!$B$2:$B$501,0)),""))</f>
        <v/>
      </c>
      <c r="Q449" t="str">
        <f t="shared" si="41"/>
        <v/>
      </c>
    </row>
    <row r="450" spans="1:17" x14ac:dyDescent="0.25">
      <c r="A450" t="str">
        <f t="shared" ref="A450:A500" si="42">IF(OR(D450="",F450=""),"","VEN"&amp;TEXT(ROW()-1,"000000"))</f>
        <v/>
      </c>
      <c r="B450" s="4" t="str">
        <f t="shared" ref="B450:B513" ca="1" si="43">IF(A450="","",TODAY())</f>
        <v/>
      </c>
      <c r="C450" s="5" t="str">
        <f t="shared" ref="C450:C500" ca="1" si="44">IF(A450="","",NOW())</f>
        <v/>
      </c>
      <c r="G450" s="6"/>
      <c r="H450" s="3" t="str">
        <f>IFERROR(IF(E450="Mayorista",IF(INDEX('04_PRODUCTOS'!$F$2:$F$501,MATCH(F450,'04_PRODUCTOS'!$B$2:$B$501,0))="",INDEX('04_PRODUCTOS'!$E$2:$E$501,MATCH(F450,'04_PRODUCTOS'!$B$2:$B$501,0)),INDEX('04_PRODUCTOS'!$F$2:$F$501,MATCH(F450,'04_PRODUCTOS'!$B$2:$B$501,0))),IF(E450="Especial",IF(INDEX('04_PRODUCTOS'!$G$2:$G$501,MATCH(F450,'04_PRODUCTOS'!$B$2:$B$501,0))="",INDEX('04_PRODUCTOS'!$E$2:$E$501,MATCH(F450,'04_PRODUCTOS'!$B$2:$B$501,0)),INDEX('04_PRODUCTOS'!$G$2:$G$501,MATCH(F450,'04_PRODUCTOS'!$B$2:$B$501,0))),INDEX('04_PRODUCTOS'!$E$2:$E$501,MATCH(F450,'04_PRODUCTOS'!$B$2:$B$501,0)))),"")</f>
        <v/>
      </c>
      <c r="I450" s="3" t="str">
        <f t="shared" ref="I450:I513" si="45">IF(AND(G450&lt;&gt;"",H450&lt;&gt;""),G450*H450,"")</f>
        <v/>
      </c>
      <c r="J450" s="3" t="str">
        <f>IFERROR(IF(INDEX('04_PRODUCTOS'!$D$2:$D$501,MATCH(F450,'04_PRODUCTOS'!$B$2:$B$501,0))="","",I450-(G450*INDEX('04_PRODUCTOS'!$D$2:$D$501,MATCH(F450,'04_PRODUCTOS'!$B$2:$B$501,0)))),"")</f>
        <v/>
      </c>
      <c r="K450" s="7" t="str">
        <f t="shared" ref="K450:K513" si="46">IF(OR(I450="",J450=""),"",IFERROR(J450/I450,""))</f>
        <v/>
      </c>
      <c r="O450" t="str">
        <f>IF(D450="","",IFERROR(INDEX('03_CLIENTES'!$A$2:$A$501,MATCH(D450,'03_CLIENTES'!$B$2:$B$501,0)),""))</f>
        <v/>
      </c>
      <c r="P450" t="str">
        <f>IF(F450="","",IFERROR(INDEX('04_PRODUCTOS'!$A$2:$A$501,MATCH(F450,'04_PRODUCTOS'!$B$2:$B$501,0)),""))</f>
        <v/>
      </c>
      <c r="Q450" t="str">
        <f t="shared" ref="Q450:Q513" si="47">IF(AND(D450&lt;&gt;"",F450&lt;&gt;"",G450&gt;0,H450&lt;&gt;""),IF(O450="","CLIENTE NO ENCONTRADO",IF(P450="","PRODUCTO NO ENCONTRADO","OK")),"")</f>
        <v/>
      </c>
    </row>
    <row r="451" spans="1:17" x14ac:dyDescent="0.25">
      <c r="A451" t="str">
        <f t="shared" si="42"/>
        <v/>
      </c>
      <c r="B451" s="4" t="str">
        <f t="shared" ca="1" si="43"/>
        <v/>
      </c>
      <c r="C451" s="5" t="str">
        <f t="shared" ca="1" si="44"/>
        <v/>
      </c>
      <c r="G451" s="6"/>
      <c r="H451" s="3" t="str">
        <f>IFERROR(IF(E451="Mayorista",IF(INDEX('04_PRODUCTOS'!$F$2:$F$501,MATCH(F451,'04_PRODUCTOS'!$B$2:$B$501,0))="",INDEX('04_PRODUCTOS'!$E$2:$E$501,MATCH(F451,'04_PRODUCTOS'!$B$2:$B$501,0)),INDEX('04_PRODUCTOS'!$F$2:$F$501,MATCH(F451,'04_PRODUCTOS'!$B$2:$B$501,0))),IF(E451="Especial",IF(INDEX('04_PRODUCTOS'!$G$2:$G$501,MATCH(F451,'04_PRODUCTOS'!$B$2:$B$501,0))="",INDEX('04_PRODUCTOS'!$E$2:$E$501,MATCH(F451,'04_PRODUCTOS'!$B$2:$B$501,0)),INDEX('04_PRODUCTOS'!$G$2:$G$501,MATCH(F451,'04_PRODUCTOS'!$B$2:$B$501,0))),INDEX('04_PRODUCTOS'!$E$2:$E$501,MATCH(F451,'04_PRODUCTOS'!$B$2:$B$501,0)))),"")</f>
        <v/>
      </c>
      <c r="I451" s="3" t="str">
        <f t="shared" si="45"/>
        <v/>
      </c>
      <c r="J451" s="3" t="str">
        <f>IFERROR(IF(INDEX('04_PRODUCTOS'!$D$2:$D$501,MATCH(F451,'04_PRODUCTOS'!$B$2:$B$501,0))="","",I451-(G451*INDEX('04_PRODUCTOS'!$D$2:$D$501,MATCH(F451,'04_PRODUCTOS'!$B$2:$B$501,0)))),"")</f>
        <v/>
      </c>
      <c r="K451" s="7" t="str">
        <f t="shared" si="46"/>
        <v/>
      </c>
      <c r="O451" t="str">
        <f>IF(D451="","",IFERROR(INDEX('03_CLIENTES'!$A$2:$A$501,MATCH(D451,'03_CLIENTES'!$B$2:$B$501,0)),""))</f>
        <v/>
      </c>
      <c r="P451" t="str">
        <f>IF(F451="","",IFERROR(INDEX('04_PRODUCTOS'!$A$2:$A$501,MATCH(F451,'04_PRODUCTOS'!$B$2:$B$501,0)),""))</f>
        <v/>
      </c>
      <c r="Q451" t="str">
        <f t="shared" si="47"/>
        <v/>
      </c>
    </row>
    <row r="452" spans="1:17" x14ac:dyDescent="0.25">
      <c r="A452" t="str">
        <f t="shared" si="42"/>
        <v/>
      </c>
      <c r="B452" s="4" t="str">
        <f t="shared" ca="1" si="43"/>
        <v/>
      </c>
      <c r="C452" s="5" t="str">
        <f t="shared" ca="1" si="44"/>
        <v/>
      </c>
      <c r="G452" s="6"/>
      <c r="H452" s="3" t="str">
        <f>IFERROR(IF(E452="Mayorista",IF(INDEX('04_PRODUCTOS'!$F$2:$F$501,MATCH(F452,'04_PRODUCTOS'!$B$2:$B$501,0))="",INDEX('04_PRODUCTOS'!$E$2:$E$501,MATCH(F452,'04_PRODUCTOS'!$B$2:$B$501,0)),INDEX('04_PRODUCTOS'!$F$2:$F$501,MATCH(F452,'04_PRODUCTOS'!$B$2:$B$501,0))),IF(E452="Especial",IF(INDEX('04_PRODUCTOS'!$G$2:$G$501,MATCH(F452,'04_PRODUCTOS'!$B$2:$B$501,0))="",INDEX('04_PRODUCTOS'!$E$2:$E$501,MATCH(F452,'04_PRODUCTOS'!$B$2:$B$501,0)),INDEX('04_PRODUCTOS'!$G$2:$G$501,MATCH(F452,'04_PRODUCTOS'!$B$2:$B$501,0))),INDEX('04_PRODUCTOS'!$E$2:$E$501,MATCH(F452,'04_PRODUCTOS'!$B$2:$B$501,0)))),"")</f>
        <v/>
      </c>
      <c r="I452" s="3" t="str">
        <f t="shared" si="45"/>
        <v/>
      </c>
      <c r="J452" s="3" t="str">
        <f>IFERROR(IF(INDEX('04_PRODUCTOS'!$D$2:$D$501,MATCH(F452,'04_PRODUCTOS'!$B$2:$B$501,0))="","",I452-(G452*INDEX('04_PRODUCTOS'!$D$2:$D$501,MATCH(F452,'04_PRODUCTOS'!$B$2:$B$501,0)))),"")</f>
        <v/>
      </c>
      <c r="K452" s="7" t="str">
        <f t="shared" si="46"/>
        <v/>
      </c>
      <c r="O452" t="str">
        <f>IF(D452="","",IFERROR(INDEX('03_CLIENTES'!$A$2:$A$501,MATCH(D452,'03_CLIENTES'!$B$2:$B$501,0)),""))</f>
        <v/>
      </c>
      <c r="P452" t="str">
        <f>IF(F452="","",IFERROR(INDEX('04_PRODUCTOS'!$A$2:$A$501,MATCH(F452,'04_PRODUCTOS'!$B$2:$B$501,0)),""))</f>
        <v/>
      </c>
      <c r="Q452" t="str">
        <f t="shared" si="47"/>
        <v/>
      </c>
    </row>
    <row r="453" spans="1:17" x14ac:dyDescent="0.25">
      <c r="A453" t="str">
        <f t="shared" si="42"/>
        <v/>
      </c>
      <c r="B453" s="4" t="str">
        <f t="shared" ca="1" si="43"/>
        <v/>
      </c>
      <c r="C453" s="5" t="str">
        <f t="shared" ca="1" si="44"/>
        <v/>
      </c>
      <c r="G453" s="6"/>
      <c r="H453" s="3" t="str">
        <f>IFERROR(IF(E453="Mayorista",IF(INDEX('04_PRODUCTOS'!$F$2:$F$501,MATCH(F453,'04_PRODUCTOS'!$B$2:$B$501,0))="",INDEX('04_PRODUCTOS'!$E$2:$E$501,MATCH(F453,'04_PRODUCTOS'!$B$2:$B$501,0)),INDEX('04_PRODUCTOS'!$F$2:$F$501,MATCH(F453,'04_PRODUCTOS'!$B$2:$B$501,0))),IF(E453="Especial",IF(INDEX('04_PRODUCTOS'!$G$2:$G$501,MATCH(F453,'04_PRODUCTOS'!$B$2:$B$501,0))="",INDEX('04_PRODUCTOS'!$E$2:$E$501,MATCH(F453,'04_PRODUCTOS'!$B$2:$B$501,0)),INDEX('04_PRODUCTOS'!$G$2:$G$501,MATCH(F453,'04_PRODUCTOS'!$B$2:$B$501,0))),INDEX('04_PRODUCTOS'!$E$2:$E$501,MATCH(F453,'04_PRODUCTOS'!$B$2:$B$501,0)))),"")</f>
        <v/>
      </c>
      <c r="I453" s="3" t="str">
        <f t="shared" si="45"/>
        <v/>
      </c>
      <c r="J453" s="3" t="str">
        <f>IFERROR(IF(INDEX('04_PRODUCTOS'!$D$2:$D$501,MATCH(F453,'04_PRODUCTOS'!$B$2:$B$501,0))="","",I453-(G453*INDEX('04_PRODUCTOS'!$D$2:$D$501,MATCH(F453,'04_PRODUCTOS'!$B$2:$B$501,0)))),"")</f>
        <v/>
      </c>
      <c r="K453" s="7" t="str">
        <f t="shared" si="46"/>
        <v/>
      </c>
      <c r="O453" t="str">
        <f>IF(D453="","",IFERROR(INDEX('03_CLIENTES'!$A$2:$A$501,MATCH(D453,'03_CLIENTES'!$B$2:$B$501,0)),""))</f>
        <v/>
      </c>
      <c r="P453" t="str">
        <f>IF(F453="","",IFERROR(INDEX('04_PRODUCTOS'!$A$2:$A$501,MATCH(F453,'04_PRODUCTOS'!$B$2:$B$501,0)),""))</f>
        <v/>
      </c>
      <c r="Q453" t="str">
        <f t="shared" si="47"/>
        <v/>
      </c>
    </row>
    <row r="454" spans="1:17" x14ac:dyDescent="0.25">
      <c r="A454" t="str">
        <f t="shared" si="42"/>
        <v/>
      </c>
      <c r="B454" s="4" t="str">
        <f t="shared" ca="1" si="43"/>
        <v/>
      </c>
      <c r="C454" s="5" t="str">
        <f t="shared" ca="1" si="44"/>
        <v/>
      </c>
      <c r="G454" s="6"/>
      <c r="H454" s="3" t="str">
        <f>IFERROR(IF(E454="Mayorista",IF(INDEX('04_PRODUCTOS'!$F$2:$F$501,MATCH(F454,'04_PRODUCTOS'!$B$2:$B$501,0))="",INDEX('04_PRODUCTOS'!$E$2:$E$501,MATCH(F454,'04_PRODUCTOS'!$B$2:$B$501,0)),INDEX('04_PRODUCTOS'!$F$2:$F$501,MATCH(F454,'04_PRODUCTOS'!$B$2:$B$501,0))),IF(E454="Especial",IF(INDEX('04_PRODUCTOS'!$G$2:$G$501,MATCH(F454,'04_PRODUCTOS'!$B$2:$B$501,0))="",INDEX('04_PRODUCTOS'!$E$2:$E$501,MATCH(F454,'04_PRODUCTOS'!$B$2:$B$501,0)),INDEX('04_PRODUCTOS'!$G$2:$G$501,MATCH(F454,'04_PRODUCTOS'!$B$2:$B$501,0))),INDEX('04_PRODUCTOS'!$E$2:$E$501,MATCH(F454,'04_PRODUCTOS'!$B$2:$B$501,0)))),"")</f>
        <v/>
      </c>
      <c r="I454" s="3" t="str">
        <f t="shared" si="45"/>
        <v/>
      </c>
      <c r="J454" s="3" t="str">
        <f>IFERROR(IF(INDEX('04_PRODUCTOS'!$D$2:$D$501,MATCH(F454,'04_PRODUCTOS'!$B$2:$B$501,0))="","",I454-(G454*INDEX('04_PRODUCTOS'!$D$2:$D$501,MATCH(F454,'04_PRODUCTOS'!$B$2:$B$501,0)))),"")</f>
        <v/>
      </c>
      <c r="K454" s="7" t="str">
        <f t="shared" si="46"/>
        <v/>
      </c>
      <c r="O454" t="str">
        <f>IF(D454="","",IFERROR(INDEX('03_CLIENTES'!$A$2:$A$501,MATCH(D454,'03_CLIENTES'!$B$2:$B$501,0)),""))</f>
        <v/>
      </c>
      <c r="P454" t="str">
        <f>IF(F454="","",IFERROR(INDEX('04_PRODUCTOS'!$A$2:$A$501,MATCH(F454,'04_PRODUCTOS'!$B$2:$B$501,0)),""))</f>
        <v/>
      </c>
      <c r="Q454" t="str">
        <f t="shared" si="47"/>
        <v/>
      </c>
    </row>
    <row r="455" spans="1:17" x14ac:dyDescent="0.25">
      <c r="A455" t="str">
        <f t="shared" si="42"/>
        <v/>
      </c>
      <c r="B455" s="4" t="str">
        <f t="shared" ca="1" si="43"/>
        <v/>
      </c>
      <c r="C455" s="5" t="str">
        <f t="shared" ca="1" si="44"/>
        <v/>
      </c>
      <c r="G455" s="6"/>
      <c r="H455" s="3" t="str">
        <f>IFERROR(IF(E455="Mayorista",IF(INDEX('04_PRODUCTOS'!$F$2:$F$501,MATCH(F455,'04_PRODUCTOS'!$B$2:$B$501,0))="",INDEX('04_PRODUCTOS'!$E$2:$E$501,MATCH(F455,'04_PRODUCTOS'!$B$2:$B$501,0)),INDEX('04_PRODUCTOS'!$F$2:$F$501,MATCH(F455,'04_PRODUCTOS'!$B$2:$B$501,0))),IF(E455="Especial",IF(INDEX('04_PRODUCTOS'!$G$2:$G$501,MATCH(F455,'04_PRODUCTOS'!$B$2:$B$501,0))="",INDEX('04_PRODUCTOS'!$E$2:$E$501,MATCH(F455,'04_PRODUCTOS'!$B$2:$B$501,0)),INDEX('04_PRODUCTOS'!$G$2:$G$501,MATCH(F455,'04_PRODUCTOS'!$B$2:$B$501,0))),INDEX('04_PRODUCTOS'!$E$2:$E$501,MATCH(F455,'04_PRODUCTOS'!$B$2:$B$501,0)))),"")</f>
        <v/>
      </c>
      <c r="I455" s="3" t="str">
        <f t="shared" si="45"/>
        <v/>
      </c>
      <c r="J455" s="3" t="str">
        <f>IFERROR(IF(INDEX('04_PRODUCTOS'!$D$2:$D$501,MATCH(F455,'04_PRODUCTOS'!$B$2:$B$501,0))="","",I455-(G455*INDEX('04_PRODUCTOS'!$D$2:$D$501,MATCH(F455,'04_PRODUCTOS'!$B$2:$B$501,0)))),"")</f>
        <v/>
      </c>
      <c r="K455" s="7" t="str">
        <f t="shared" si="46"/>
        <v/>
      </c>
      <c r="O455" t="str">
        <f>IF(D455="","",IFERROR(INDEX('03_CLIENTES'!$A$2:$A$501,MATCH(D455,'03_CLIENTES'!$B$2:$B$501,0)),""))</f>
        <v/>
      </c>
      <c r="P455" t="str">
        <f>IF(F455="","",IFERROR(INDEX('04_PRODUCTOS'!$A$2:$A$501,MATCH(F455,'04_PRODUCTOS'!$B$2:$B$501,0)),""))</f>
        <v/>
      </c>
      <c r="Q455" t="str">
        <f t="shared" si="47"/>
        <v/>
      </c>
    </row>
    <row r="456" spans="1:17" x14ac:dyDescent="0.25">
      <c r="A456" t="str">
        <f t="shared" si="42"/>
        <v/>
      </c>
      <c r="B456" s="4" t="str">
        <f t="shared" ca="1" si="43"/>
        <v/>
      </c>
      <c r="C456" s="5" t="str">
        <f t="shared" ca="1" si="44"/>
        <v/>
      </c>
      <c r="G456" s="6"/>
      <c r="H456" s="3" t="str">
        <f>IFERROR(IF(E456="Mayorista",IF(INDEX('04_PRODUCTOS'!$F$2:$F$501,MATCH(F456,'04_PRODUCTOS'!$B$2:$B$501,0))="",INDEX('04_PRODUCTOS'!$E$2:$E$501,MATCH(F456,'04_PRODUCTOS'!$B$2:$B$501,0)),INDEX('04_PRODUCTOS'!$F$2:$F$501,MATCH(F456,'04_PRODUCTOS'!$B$2:$B$501,0))),IF(E456="Especial",IF(INDEX('04_PRODUCTOS'!$G$2:$G$501,MATCH(F456,'04_PRODUCTOS'!$B$2:$B$501,0))="",INDEX('04_PRODUCTOS'!$E$2:$E$501,MATCH(F456,'04_PRODUCTOS'!$B$2:$B$501,0)),INDEX('04_PRODUCTOS'!$G$2:$G$501,MATCH(F456,'04_PRODUCTOS'!$B$2:$B$501,0))),INDEX('04_PRODUCTOS'!$E$2:$E$501,MATCH(F456,'04_PRODUCTOS'!$B$2:$B$501,0)))),"")</f>
        <v/>
      </c>
      <c r="I456" s="3" t="str">
        <f t="shared" si="45"/>
        <v/>
      </c>
      <c r="J456" s="3" t="str">
        <f>IFERROR(IF(INDEX('04_PRODUCTOS'!$D$2:$D$501,MATCH(F456,'04_PRODUCTOS'!$B$2:$B$501,0))="","",I456-(G456*INDEX('04_PRODUCTOS'!$D$2:$D$501,MATCH(F456,'04_PRODUCTOS'!$B$2:$B$501,0)))),"")</f>
        <v/>
      </c>
      <c r="K456" s="7" t="str">
        <f t="shared" si="46"/>
        <v/>
      </c>
      <c r="O456" t="str">
        <f>IF(D456="","",IFERROR(INDEX('03_CLIENTES'!$A$2:$A$501,MATCH(D456,'03_CLIENTES'!$B$2:$B$501,0)),""))</f>
        <v/>
      </c>
      <c r="P456" t="str">
        <f>IF(F456="","",IFERROR(INDEX('04_PRODUCTOS'!$A$2:$A$501,MATCH(F456,'04_PRODUCTOS'!$B$2:$B$501,0)),""))</f>
        <v/>
      </c>
      <c r="Q456" t="str">
        <f t="shared" si="47"/>
        <v/>
      </c>
    </row>
    <row r="457" spans="1:17" x14ac:dyDescent="0.25">
      <c r="A457" t="str">
        <f t="shared" si="42"/>
        <v/>
      </c>
      <c r="B457" s="4" t="str">
        <f t="shared" ca="1" si="43"/>
        <v/>
      </c>
      <c r="C457" s="5" t="str">
        <f t="shared" ca="1" si="44"/>
        <v/>
      </c>
      <c r="G457" s="6"/>
      <c r="H457" s="3" t="str">
        <f>IFERROR(IF(E457="Mayorista",IF(INDEX('04_PRODUCTOS'!$F$2:$F$501,MATCH(F457,'04_PRODUCTOS'!$B$2:$B$501,0))="",INDEX('04_PRODUCTOS'!$E$2:$E$501,MATCH(F457,'04_PRODUCTOS'!$B$2:$B$501,0)),INDEX('04_PRODUCTOS'!$F$2:$F$501,MATCH(F457,'04_PRODUCTOS'!$B$2:$B$501,0))),IF(E457="Especial",IF(INDEX('04_PRODUCTOS'!$G$2:$G$501,MATCH(F457,'04_PRODUCTOS'!$B$2:$B$501,0))="",INDEX('04_PRODUCTOS'!$E$2:$E$501,MATCH(F457,'04_PRODUCTOS'!$B$2:$B$501,0)),INDEX('04_PRODUCTOS'!$G$2:$G$501,MATCH(F457,'04_PRODUCTOS'!$B$2:$B$501,0))),INDEX('04_PRODUCTOS'!$E$2:$E$501,MATCH(F457,'04_PRODUCTOS'!$B$2:$B$501,0)))),"")</f>
        <v/>
      </c>
      <c r="I457" s="3" t="str">
        <f t="shared" si="45"/>
        <v/>
      </c>
      <c r="J457" s="3" t="str">
        <f>IFERROR(IF(INDEX('04_PRODUCTOS'!$D$2:$D$501,MATCH(F457,'04_PRODUCTOS'!$B$2:$B$501,0))="","",I457-(G457*INDEX('04_PRODUCTOS'!$D$2:$D$501,MATCH(F457,'04_PRODUCTOS'!$B$2:$B$501,0)))),"")</f>
        <v/>
      </c>
      <c r="K457" s="7" t="str">
        <f t="shared" si="46"/>
        <v/>
      </c>
      <c r="O457" t="str">
        <f>IF(D457="","",IFERROR(INDEX('03_CLIENTES'!$A$2:$A$501,MATCH(D457,'03_CLIENTES'!$B$2:$B$501,0)),""))</f>
        <v/>
      </c>
      <c r="P457" t="str">
        <f>IF(F457="","",IFERROR(INDEX('04_PRODUCTOS'!$A$2:$A$501,MATCH(F457,'04_PRODUCTOS'!$B$2:$B$501,0)),""))</f>
        <v/>
      </c>
      <c r="Q457" t="str">
        <f t="shared" si="47"/>
        <v/>
      </c>
    </row>
    <row r="458" spans="1:17" x14ac:dyDescent="0.25">
      <c r="A458" t="str">
        <f t="shared" si="42"/>
        <v/>
      </c>
      <c r="B458" s="4" t="str">
        <f t="shared" ca="1" si="43"/>
        <v/>
      </c>
      <c r="C458" s="5" t="str">
        <f t="shared" ca="1" si="44"/>
        <v/>
      </c>
      <c r="G458" s="6"/>
      <c r="H458" s="3" t="str">
        <f>IFERROR(IF(E458="Mayorista",IF(INDEX('04_PRODUCTOS'!$F$2:$F$501,MATCH(F458,'04_PRODUCTOS'!$B$2:$B$501,0))="",INDEX('04_PRODUCTOS'!$E$2:$E$501,MATCH(F458,'04_PRODUCTOS'!$B$2:$B$501,0)),INDEX('04_PRODUCTOS'!$F$2:$F$501,MATCH(F458,'04_PRODUCTOS'!$B$2:$B$501,0))),IF(E458="Especial",IF(INDEX('04_PRODUCTOS'!$G$2:$G$501,MATCH(F458,'04_PRODUCTOS'!$B$2:$B$501,0))="",INDEX('04_PRODUCTOS'!$E$2:$E$501,MATCH(F458,'04_PRODUCTOS'!$B$2:$B$501,0)),INDEX('04_PRODUCTOS'!$G$2:$G$501,MATCH(F458,'04_PRODUCTOS'!$B$2:$B$501,0))),INDEX('04_PRODUCTOS'!$E$2:$E$501,MATCH(F458,'04_PRODUCTOS'!$B$2:$B$501,0)))),"")</f>
        <v/>
      </c>
      <c r="I458" s="3" t="str">
        <f t="shared" si="45"/>
        <v/>
      </c>
      <c r="J458" s="3" t="str">
        <f>IFERROR(IF(INDEX('04_PRODUCTOS'!$D$2:$D$501,MATCH(F458,'04_PRODUCTOS'!$B$2:$B$501,0))="","",I458-(G458*INDEX('04_PRODUCTOS'!$D$2:$D$501,MATCH(F458,'04_PRODUCTOS'!$B$2:$B$501,0)))),"")</f>
        <v/>
      </c>
      <c r="K458" s="7" t="str">
        <f t="shared" si="46"/>
        <v/>
      </c>
      <c r="O458" t="str">
        <f>IF(D458="","",IFERROR(INDEX('03_CLIENTES'!$A$2:$A$501,MATCH(D458,'03_CLIENTES'!$B$2:$B$501,0)),""))</f>
        <v/>
      </c>
      <c r="P458" t="str">
        <f>IF(F458="","",IFERROR(INDEX('04_PRODUCTOS'!$A$2:$A$501,MATCH(F458,'04_PRODUCTOS'!$B$2:$B$501,0)),""))</f>
        <v/>
      </c>
      <c r="Q458" t="str">
        <f t="shared" si="47"/>
        <v/>
      </c>
    </row>
    <row r="459" spans="1:17" x14ac:dyDescent="0.25">
      <c r="A459" t="str">
        <f t="shared" si="42"/>
        <v/>
      </c>
      <c r="B459" s="4" t="str">
        <f t="shared" ca="1" si="43"/>
        <v/>
      </c>
      <c r="C459" s="5" t="str">
        <f t="shared" ca="1" si="44"/>
        <v/>
      </c>
      <c r="G459" s="6"/>
      <c r="H459" s="3" t="str">
        <f>IFERROR(IF(E459="Mayorista",IF(INDEX('04_PRODUCTOS'!$F$2:$F$501,MATCH(F459,'04_PRODUCTOS'!$B$2:$B$501,0))="",INDEX('04_PRODUCTOS'!$E$2:$E$501,MATCH(F459,'04_PRODUCTOS'!$B$2:$B$501,0)),INDEX('04_PRODUCTOS'!$F$2:$F$501,MATCH(F459,'04_PRODUCTOS'!$B$2:$B$501,0))),IF(E459="Especial",IF(INDEX('04_PRODUCTOS'!$G$2:$G$501,MATCH(F459,'04_PRODUCTOS'!$B$2:$B$501,0))="",INDEX('04_PRODUCTOS'!$E$2:$E$501,MATCH(F459,'04_PRODUCTOS'!$B$2:$B$501,0)),INDEX('04_PRODUCTOS'!$G$2:$G$501,MATCH(F459,'04_PRODUCTOS'!$B$2:$B$501,0))),INDEX('04_PRODUCTOS'!$E$2:$E$501,MATCH(F459,'04_PRODUCTOS'!$B$2:$B$501,0)))),"")</f>
        <v/>
      </c>
      <c r="I459" s="3" t="str">
        <f t="shared" si="45"/>
        <v/>
      </c>
      <c r="J459" s="3" t="str">
        <f>IFERROR(IF(INDEX('04_PRODUCTOS'!$D$2:$D$501,MATCH(F459,'04_PRODUCTOS'!$B$2:$B$501,0))="","",I459-(G459*INDEX('04_PRODUCTOS'!$D$2:$D$501,MATCH(F459,'04_PRODUCTOS'!$B$2:$B$501,0)))),"")</f>
        <v/>
      </c>
      <c r="K459" s="7" t="str">
        <f t="shared" si="46"/>
        <v/>
      </c>
      <c r="O459" t="str">
        <f>IF(D459="","",IFERROR(INDEX('03_CLIENTES'!$A$2:$A$501,MATCH(D459,'03_CLIENTES'!$B$2:$B$501,0)),""))</f>
        <v/>
      </c>
      <c r="P459" t="str">
        <f>IF(F459="","",IFERROR(INDEX('04_PRODUCTOS'!$A$2:$A$501,MATCH(F459,'04_PRODUCTOS'!$B$2:$B$501,0)),""))</f>
        <v/>
      </c>
      <c r="Q459" t="str">
        <f t="shared" si="47"/>
        <v/>
      </c>
    </row>
    <row r="460" spans="1:17" x14ac:dyDescent="0.25">
      <c r="A460" t="str">
        <f t="shared" si="42"/>
        <v/>
      </c>
      <c r="B460" s="4" t="str">
        <f t="shared" ca="1" si="43"/>
        <v/>
      </c>
      <c r="C460" s="5" t="str">
        <f t="shared" ca="1" si="44"/>
        <v/>
      </c>
      <c r="G460" s="6"/>
      <c r="H460" s="3" t="str">
        <f>IFERROR(IF(E460="Mayorista",IF(INDEX('04_PRODUCTOS'!$F$2:$F$501,MATCH(F460,'04_PRODUCTOS'!$B$2:$B$501,0))="",INDEX('04_PRODUCTOS'!$E$2:$E$501,MATCH(F460,'04_PRODUCTOS'!$B$2:$B$501,0)),INDEX('04_PRODUCTOS'!$F$2:$F$501,MATCH(F460,'04_PRODUCTOS'!$B$2:$B$501,0))),IF(E460="Especial",IF(INDEX('04_PRODUCTOS'!$G$2:$G$501,MATCH(F460,'04_PRODUCTOS'!$B$2:$B$501,0))="",INDEX('04_PRODUCTOS'!$E$2:$E$501,MATCH(F460,'04_PRODUCTOS'!$B$2:$B$501,0)),INDEX('04_PRODUCTOS'!$G$2:$G$501,MATCH(F460,'04_PRODUCTOS'!$B$2:$B$501,0))),INDEX('04_PRODUCTOS'!$E$2:$E$501,MATCH(F460,'04_PRODUCTOS'!$B$2:$B$501,0)))),"")</f>
        <v/>
      </c>
      <c r="I460" s="3" t="str">
        <f t="shared" si="45"/>
        <v/>
      </c>
      <c r="J460" s="3" t="str">
        <f>IFERROR(IF(INDEX('04_PRODUCTOS'!$D$2:$D$501,MATCH(F460,'04_PRODUCTOS'!$B$2:$B$501,0))="","",I460-(G460*INDEX('04_PRODUCTOS'!$D$2:$D$501,MATCH(F460,'04_PRODUCTOS'!$B$2:$B$501,0)))),"")</f>
        <v/>
      </c>
      <c r="K460" s="7" t="str">
        <f t="shared" si="46"/>
        <v/>
      </c>
      <c r="O460" t="str">
        <f>IF(D460="","",IFERROR(INDEX('03_CLIENTES'!$A$2:$A$501,MATCH(D460,'03_CLIENTES'!$B$2:$B$501,0)),""))</f>
        <v/>
      </c>
      <c r="P460" t="str">
        <f>IF(F460="","",IFERROR(INDEX('04_PRODUCTOS'!$A$2:$A$501,MATCH(F460,'04_PRODUCTOS'!$B$2:$B$501,0)),""))</f>
        <v/>
      </c>
      <c r="Q460" t="str">
        <f t="shared" si="47"/>
        <v/>
      </c>
    </row>
    <row r="461" spans="1:17" x14ac:dyDescent="0.25">
      <c r="A461" t="str">
        <f t="shared" si="42"/>
        <v/>
      </c>
      <c r="B461" s="4" t="str">
        <f t="shared" ca="1" si="43"/>
        <v/>
      </c>
      <c r="C461" s="5" t="str">
        <f t="shared" ca="1" si="44"/>
        <v/>
      </c>
      <c r="G461" s="6"/>
      <c r="H461" s="3" t="str">
        <f>IFERROR(IF(E461="Mayorista",IF(INDEX('04_PRODUCTOS'!$F$2:$F$501,MATCH(F461,'04_PRODUCTOS'!$B$2:$B$501,0))="",INDEX('04_PRODUCTOS'!$E$2:$E$501,MATCH(F461,'04_PRODUCTOS'!$B$2:$B$501,0)),INDEX('04_PRODUCTOS'!$F$2:$F$501,MATCH(F461,'04_PRODUCTOS'!$B$2:$B$501,0))),IF(E461="Especial",IF(INDEX('04_PRODUCTOS'!$G$2:$G$501,MATCH(F461,'04_PRODUCTOS'!$B$2:$B$501,0))="",INDEX('04_PRODUCTOS'!$E$2:$E$501,MATCH(F461,'04_PRODUCTOS'!$B$2:$B$501,0)),INDEX('04_PRODUCTOS'!$G$2:$G$501,MATCH(F461,'04_PRODUCTOS'!$B$2:$B$501,0))),INDEX('04_PRODUCTOS'!$E$2:$E$501,MATCH(F461,'04_PRODUCTOS'!$B$2:$B$501,0)))),"")</f>
        <v/>
      </c>
      <c r="I461" s="3" t="str">
        <f t="shared" si="45"/>
        <v/>
      </c>
      <c r="J461" s="3" t="str">
        <f>IFERROR(IF(INDEX('04_PRODUCTOS'!$D$2:$D$501,MATCH(F461,'04_PRODUCTOS'!$B$2:$B$501,0))="","",I461-(G461*INDEX('04_PRODUCTOS'!$D$2:$D$501,MATCH(F461,'04_PRODUCTOS'!$B$2:$B$501,0)))),"")</f>
        <v/>
      </c>
      <c r="K461" s="7" t="str">
        <f t="shared" si="46"/>
        <v/>
      </c>
      <c r="O461" t="str">
        <f>IF(D461="","",IFERROR(INDEX('03_CLIENTES'!$A$2:$A$501,MATCH(D461,'03_CLIENTES'!$B$2:$B$501,0)),""))</f>
        <v/>
      </c>
      <c r="P461" t="str">
        <f>IF(F461="","",IFERROR(INDEX('04_PRODUCTOS'!$A$2:$A$501,MATCH(F461,'04_PRODUCTOS'!$B$2:$B$501,0)),""))</f>
        <v/>
      </c>
      <c r="Q461" t="str">
        <f t="shared" si="47"/>
        <v/>
      </c>
    </row>
    <row r="462" spans="1:17" x14ac:dyDescent="0.25">
      <c r="A462" t="str">
        <f t="shared" si="42"/>
        <v/>
      </c>
      <c r="B462" s="4" t="str">
        <f t="shared" ca="1" si="43"/>
        <v/>
      </c>
      <c r="C462" s="5" t="str">
        <f t="shared" ca="1" si="44"/>
        <v/>
      </c>
      <c r="G462" s="6"/>
      <c r="H462" s="3" t="str">
        <f>IFERROR(IF(E462="Mayorista",IF(INDEX('04_PRODUCTOS'!$F$2:$F$501,MATCH(F462,'04_PRODUCTOS'!$B$2:$B$501,0))="",INDEX('04_PRODUCTOS'!$E$2:$E$501,MATCH(F462,'04_PRODUCTOS'!$B$2:$B$501,0)),INDEX('04_PRODUCTOS'!$F$2:$F$501,MATCH(F462,'04_PRODUCTOS'!$B$2:$B$501,0))),IF(E462="Especial",IF(INDEX('04_PRODUCTOS'!$G$2:$G$501,MATCH(F462,'04_PRODUCTOS'!$B$2:$B$501,0))="",INDEX('04_PRODUCTOS'!$E$2:$E$501,MATCH(F462,'04_PRODUCTOS'!$B$2:$B$501,0)),INDEX('04_PRODUCTOS'!$G$2:$G$501,MATCH(F462,'04_PRODUCTOS'!$B$2:$B$501,0))),INDEX('04_PRODUCTOS'!$E$2:$E$501,MATCH(F462,'04_PRODUCTOS'!$B$2:$B$501,0)))),"")</f>
        <v/>
      </c>
      <c r="I462" s="3" t="str">
        <f t="shared" si="45"/>
        <v/>
      </c>
      <c r="J462" s="3" t="str">
        <f>IFERROR(IF(INDEX('04_PRODUCTOS'!$D$2:$D$501,MATCH(F462,'04_PRODUCTOS'!$B$2:$B$501,0))="","",I462-(G462*INDEX('04_PRODUCTOS'!$D$2:$D$501,MATCH(F462,'04_PRODUCTOS'!$B$2:$B$501,0)))),"")</f>
        <v/>
      </c>
      <c r="K462" s="7" t="str">
        <f t="shared" si="46"/>
        <v/>
      </c>
      <c r="O462" t="str">
        <f>IF(D462="","",IFERROR(INDEX('03_CLIENTES'!$A$2:$A$501,MATCH(D462,'03_CLIENTES'!$B$2:$B$501,0)),""))</f>
        <v/>
      </c>
      <c r="P462" t="str">
        <f>IF(F462="","",IFERROR(INDEX('04_PRODUCTOS'!$A$2:$A$501,MATCH(F462,'04_PRODUCTOS'!$B$2:$B$501,0)),""))</f>
        <v/>
      </c>
      <c r="Q462" t="str">
        <f t="shared" si="47"/>
        <v/>
      </c>
    </row>
    <row r="463" spans="1:17" x14ac:dyDescent="0.25">
      <c r="A463" t="str">
        <f t="shared" si="42"/>
        <v/>
      </c>
      <c r="B463" s="4" t="str">
        <f t="shared" ca="1" si="43"/>
        <v/>
      </c>
      <c r="C463" s="5" t="str">
        <f t="shared" ca="1" si="44"/>
        <v/>
      </c>
      <c r="G463" s="6"/>
      <c r="H463" s="3" t="str">
        <f>IFERROR(IF(E463="Mayorista",IF(INDEX('04_PRODUCTOS'!$F$2:$F$501,MATCH(F463,'04_PRODUCTOS'!$B$2:$B$501,0))="",INDEX('04_PRODUCTOS'!$E$2:$E$501,MATCH(F463,'04_PRODUCTOS'!$B$2:$B$501,0)),INDEX('04_PRODUCTOS'!$F$2:$F$501,MATCH(F463,'04_PRODUCTOS'!$B$2:$B$501,0))),IF(E463="Especial",IF(INDEX('04_PRODUCTOS'!$G$2:$G$501,MATCH(F463,'04_PRODUCTOS'!$B$2:$B$501,0))="",INDEX('04_PRODUCTOS'!$E$2:$E$501,MATCH(F463,'04_PRODUCTOS'!$B$2:$B$501,0)),INDEX('04_PRODUCTOS'!$G$2:$G$501,MATCH(F463,'04_PRODUCTOS'!$B$2:$B$501,0))),INDEX('04_PRODUCTOS'!$E$2:$E$501,MATCH(F463,'04_PRODUCTOS'!$B$2:$B$501,0)))),"")</f>
        <v/>
      </c>
      <c r="I463" s="3" t="str">
        <f t="shared" si="45"/>
        <v/>
      </c>
      <c r="J463" s="3" t="str">
        <f>IFERROR(IF(INDEX('04_PRODUCTOS'!$D$2:$D$501,MATCH(F463,'04_PRODUCTOS'!$B$2:$B$501,0))="","",I463-(G463*INDEX('04_PRODUCTOS'!$D$2:$D$501,MATCH(F463,'04_PRODUCTOS'!$B$2:$B$501,0)))),"")</f>
        <v/>
      </c>
      <c r="K463" s="7" t="str">
        <f t="shared" si="46"/>
        <v/>
      </c>
      <c r="O463" t="str">
        <f>IF(D463="","",IFERROR(INDEX('03_CLIENTES'!$A$2:$A$501,MATCH(D463,'03_CLIENTES'!$B$2:$B$501,0)),""))</f>
        <v/>
      </c>
      <c r="P463" t="str">
        <f>IF(F463="","",IFERROR(INDEX('04_PRODUCTOS'!$A$2:$A$501,MATCH(F463,'04_PRODUCTOS'!$B$2:$B$501,0)),""))</f>
        <v/>
      </c>
      <c r="Q463" t="str">
        <f t="shared" si="47"/>
        <v/>
      </c>
    </row>
    <row r="464" spans="1:17" x14ac:dyDescent="0.25">
      <c r="A464" t="str">
        <f t="shared" si="42"/>
        <v/>
      </c>
      <c r="B464" s="4" t="str">
        <f t="shared" ca="1" si="43"/>
        <v/>
      </c>
      <c r="C464" s="5" t="str">
        <f t="shared" ca="1" si="44"/>
        <v/>
      </c>
      <c r="G464" s="6"/>
      <c r="H464" s="3" t="str">
        <f>IFERROR(IF(E464="Mayorista",IF(INDEX('04_PRODUCTOS'!$F$2:$F$501,MATCH(F464,'04_PRODUCTOS'!$B$2:$B$501,0))="",INDEX('04_PRODUCTOS'!$E$2:$E$501,MATCH(F464,'04_PRODUCTOS'!$B$2:$B$501,0)),INDEX('04_PRODUCTOS'!$F$2:$F$501,MATCH(F464,'04_PRODUCTOS'!$B$2:$B$501,0))),IF(E464="Especial",IF(INDEX('04_PRODUCTOS'!$G$2:$G$501,MATCH(F464,'04_PRODUCTOS'!$B$2:$B$501,0))="",INDEX('04_PRODUCTOS'!$E$2:$E$501,MATCH(F464,'04_PRODUCTOS'!$B$2:$B$501,0)),INDEX('04_PRODUCTOS'!$G$2:$G$501,MATCH(F464,'04_PRODUCTOS'!$B$2:$B$501,0))),INDEX('04_PRODUCTOS'!$E$2:$E$501,MATCH(F464,'04_PRODUCTOS'!$B$2:$B$501,0)))),"")</f>
        <v/>
      </c>
      <c r="I464" s="3" t="str">
        <f t="shared" si="45"/>
        <v/>
      </c>
      <c r="J464" s="3" t="str">
        <f>IFERROR(IF(INDEX('04_PRODUCTOS'!$D$2:$D$501,MATCH(F464,'04_PRODUCTOS'!$B$2:$B$501,0))="","",I464-(G464*INDEX('04_PRODUCTOS'!$D$2:$D$501,MATCH(F464,'04_PRODUCTOS'!$B$2:$B$501,0)))),"")</f>
        <v/>
      </c>
      <c r="K464" s="7" t="str">
        <f t="shared" si="46"/>
        <v/>
      </c>
      <c r="O464" t="str">
        <f>IF(D464="","",IFERROR(INDEX('03_CLIENTES'!$A$2:$A$501,MATCH(D464,'03_CLIENTES'!$B$2:$B$501,0)),""))</f>
        <v/>
      </c>
      <c r="P464" t="str">
        <f>IF(F464="","",IFERROR(INDEX('04_PRODUCTOS'!$A$2:$A$501,MATCH(F464,'04_PRODUCTOS'!$B$2:$B$501,0)),""))</f>
        <v/>
      </c>
      <c r="Q464" t="str">
        <f t="shared" si="47"/>
        <v/>
      </c>
    </row>
    <row r="465" spans="1:17" x14ac:dyDescent="0.25">
      <c r="A465" t="str">
        <f t="shared" si="42"/>
        <v/>
      </c>
      <c r="B465" s="4" t="str">
        <f t="shared" ca="1" si="43"/>
        <v/>
      </c>
      <c r="C465" s="5" t="str">
        <f t="shared" ca="1" si="44"/>
        <v/>
      </c>
      <c r="G465" s="6"/>
      <c r="H465" s="3" t="str">
        <f>IFERROR(IF(E465="Mayorista",IF(INDEX('04_PRODUCTOS'!$F$2:$F$501,MATCH(F465,'04_PRODUCTOS'!$B$2:$B$501,0))="",INDEX('04_PRODUCTOS'!$E$2:$E$501,MATCH(F465,'04_PRODUCTOS'!$B$2:$B$501,0)),INDEX('04_PRODUCTOS'!$F$2:$F$501,MATCH(F465,'04_PRODUCTOS'!$B$2:$B$501,0))),IF(E465="Especial",IF(INDEX('04_PRODUCTOS'!$G$2:$G$501,MATCH(F465,'04_PRODUCTOS'!$B$2:$B$501,0))="",INDEX('04_PRODUCTOS'!$E$2:$E$501,MATCH(F465,'04_PRODUCTOS'!$B$2:$B$501,0)),INDEX('04_PRODUCTOS'!$G$2:$G$501,MATCH(F465,'04_PRODUCTOS'!$B$2:$B$501,0))),INDEX('04_PRODUCTOS'!$E$2:$E$501,MATCH(F465,'04_PRODUCTOS'!$B$2:$B$501,0)))),"")</f>
        <v/>
      </c>
      <c r="I465" s="3" t="str">
        <f t="shared" si="45"/>
        <v/>
      </c>
      <c r="J465" s="3" t="str">
        <f>IFERROR(IF(INDEX('04_PRODUCTOS'!$D$2:$D$501,MATCH(F465,'04_PRODUCTOS'!$B$2:$B$501,0))="","",I465-(G465*INDEX('04_PRODUCTOS'!$D$2:$D$501,MATCH(F465,'04_PRODUCTOS'!$B$2:$B$501,0)))),"")</f>
        <v/>
      </c>
      <c r="K465" s="7" t="str">
        <f t="shared" si="46"/>
        <v/>
      </c>
      <c r="O465" t="str">
        <f>IF(D465="","",IFERROR(INDEX('03_CLIENTES'!$A$2:$A$501,MATCH(D465,'03_CLIENTES'!$B$2:$B$501,0)),""))</f>
        <v/>
      </c>
      <c r="P465" t="str">
        <f>IF(F465="","",IFERROR(INDEX('04_PRODUCTOS'!$A$2:$A$501,MATCH(F465,'04_PRODUCTOS'!$B$2:$B$501,0)),""))</f>
        <v/>
      </c>
      <c r="Q465" t="str">
        <f t="shared" si="47"/>
        <v/>
      </c>
    </row>
    <row r="466" spans="1:17" x14ac:dyDescent="0.25">
      <c r="A466" t="str">
        <f t="shared" si="42"/>
        <v/>
      </c>
      <c r="B466" s="4" t="str">
        <f t="shared" ca="1" si="43"/>
        <v/>
      </c>
      <c r="C466" s="5" t="str">
        <f t="shared" ca="1" si="44"/>
        <v/>
      </c>
      <c r="G466" s="6"/>
      <c r="H466" s="3" t="str">
        <f>IFERROR(IF(E466="Mayorista",IF(INDEX('04_PRODUCTOS'!$F$2:$F$501,MATCH(F466,'04_PRODUCTOS'!$B$2:$B$501,0))="",INDEX('04_PRODUCTOS'!$E$2:$E$501,MATCH(F466,'04_PRODUCTOS'!$B$2:$B$501,0)),INDEX('04_PRODUCTOS'!$F$2:$F$501,MATCH(F466,'04_PRODUCTOS'!$B$2:$B$501,0))),IF(E466="Especial",IF(INDEX('04_PRODUCTOS'!$G$2:$G$501,MATCH(F466,'04_PRODUCTOS'!$B$2:$B$501,0))="",INDEX('04_PRODUCTOS'!$E$2:$E$501,MATCH(F466,'04_PRODUCTOS'!$B$2:$B$501,0)),INDEX('04_PRODUCTOS'!$G$2:$G$501,MATCH(F466,'04_PRODUCTOS'!$B$2:$B$501,0))),INDEX('04_PRODUCTOS'!$E$2:$E$501,MATCH(F466,'04_PRODUCTOS'!$B$2:$B$501,0)))),"")</f>
        <v/>
      </c>
      <c r="I466" s="3" t="str">
        <f t="shared" si="45"/>
        <v/>
      </c>
      <c r="J466" s="3" t="str">
        <f>IFERROR(IF(INDEX('04_PRODUCTOS'!$D$2:$D$501,MATCH(F466,'04_PRODUCTOS'!$B$2:$B$501,0))="","",I466-(G466*INDEX('04_PRODUCTOS'!$D$2:$D$501,MATCH(F466,'04_PRODUCTOS'!$B$2:$B$501,0)))),"")</f>
        <v/>
      </c>
      <c r="K466" s="7" t="str">
        <f t="shared" si="46"/>
        <v/>
      </c>
      <c r="O466" t="str">
        <f>IF(D466="","",IFERROR(INDEX('03_CLIENTES'!$A$2:$A$501,MATCH(D466,'03_CLIENTES'!$B$2:$B$501,0)),""))</f>
        <v/>
      </c>
      <c r="P466" t="str">
        <f>IF(F466="","",IFERROR(INDEX('04_PRODUCTOS'!$A$2:$A$501,MATCH(F466,'04_PRODUCTOS'!$B$2:$B$501,0)),""))</f>
        <v/>
      </c>
      <c r="Q466" t="str">
        <f t="shared" si="47"/>
        <v/>
      </c>
    </row>
    <row r="467" spans="1:17" x14ac:dyDescent="0.25">
      <c r="A467" t="str">
        <f t="shared" si="42"/>
        <v/>
      </c>
      <c r="B467" s="4" t="str">
        <f t="shared" ca="1" si="43"/>
        <v/>
      </c>
      <c r="C467" s="5" t="str">
        <f t="shared" ca="1" si="44"/>
        <v/>
      </c>
      <c r="G467" s="6"/>
      <c r="H467" s="3" t="str">
        <f>IFERROR(IF(E467="Mayorista",IF(INDEX('04_PRODUCTOS'!$F$2:$F$501,MATCH(F467,'04_PRODUCTOS'!$B$2:$B$501,0))="",INDEX('04_PRODUCTOS'!$E$2:$E$501,MATCH(F467,'04_PRODUCTOS'!$B$2:$B$501,0)),INDEX('04_PRODUCTOS'!$F$2:$F$501,MATCH(F467,'04_PRODUCTOS'!$B$2:$B$501,0))),IF(E467="Especial",IF(INDEX('04_PRODUCTOS'!$G$2:$G$501,MATCH(F467,'04_PRODUCTOS'!$B$2:$B$501,0))="",INDEX('04_PRODUCTOS'!$E$2:$E$501,MATCH(F467,'04_PRODUCTOS'!$B$2:$B$501,0)),INDEX('04_PRODUCTOS'!$G$2:$G$501,MATCH(F467,'04_PRODUCTOS'!$B$2:$B$501,0))),INDEX('04_PRODUCTOS'!$E$2:$E$501,MATCH(F467,'04_PRODUCTOS'!$B$2:$B$501,0)))),"")</f>
        <v/>
      </c>
      <c r="I467" s="3" t="str">
        <f t="shared" si="45"/>
        <v/>
      </c>
      <c r="J467" s="3" t="str">
        <f>IFERROR(IF(INDEX('04_PRODUCTOS'!$D$2:$D$501,MATCH(F467,'04_PRODUCTOS'!$B$2:$B$501,0))="","",I467-(G467*INDEX('04_PRODUCTOS'!$D$2:$D$501,MATCH(F467,'04_PRODUCTOS'!$B$2:$B$501,0)))),"")</f>
        <v/>
      </c>
      <c r="K467" s="7" t="str">
        <f t="shared" si="46"/>
        <v/>
      </c>
      <c r="O467" t="str">
        <f>IF(D467="","",IFERROR(INDEX('03_CLIENTES'!$A$2:$A$501,MATCH(D467,'03_CLIENTES'!$B$2:$B$501,0)),""))</f>
        <v/>
      </c>
      <c r="P467" t="str">
        <f>IF(F467="","",IFERROR(INDEX('04_PRODUCTOS'!$A$2:$A$501,MATCH(F467,'04_PRODUCTOS'!$B$2:$B$501,0)),""))</f>
        <v/>
      </c>
      <c r="Q467" t="str">
        <f t="shared" si="47"/>
        <v/>
      </c>
    </row>
    <row r="468" spans="1:17" x14ac:dyDescent="0.25">
      <c r="A468" t="str">
        <f t="shared" si="42"/>
        <v/>
      </c>
      <c r="B468" s="4" t="str">
        <f t="shared" ca="1" si="43"/>
        <v/>
      </c>
      <c r="C468" s="5" t="str">
        <f t="shared" ca="1" si="44"/>
        <v/>
      </c>
      <c r="G468" s="6"/>
      <c r="H468" s="3" t="str">
        <f>IFERROR(IF(E468="Mayorista",IF(INDEX('04_PRODUCTOS'!$F$2:$F$501,MATCH(F468,'04_PRODUCTOS'!$B$2:$B$501,0))="",INDEX('04_PRODUCTOS'!$E$2:$E$501,MATCH(F468,'04_PRODUCTOS'!$B$2:$B$501,0)),INDEX('04_PRODUCTOS'!$F$2:$F$501,MATCH(F468,'04_PRODUCTOS'!$B$2:$B$501,0))),IF(E468="Especial",IF(INDEX('04_PRODUCTOS'!$G$2:$G$501,MATCH(F468,'04_PRODUCTOS'!$B$2:$B$501,0))="",INDEX('04_PRODUCTOS'!$E$2:$E$501,MATCH(F468,'04_PRODUCTOS'!$B$2:$B$501,0)),INDEX('04_PRODUCTOS'!$G$2:$G$501,MATCH(F468,'04_PRODUCTOS'!$B$2:$B$501,0))),INDEX('04_PRODUCTOS'!$E$2:$E$501,MATCH(F468,'04_PRODUCTOS'!$B$2:$B$501,0)))),"")</f>
        <v/>
      </c>
      <c r="I468" s="3" t="str">
        <f t="shared" si="45"/>
        <v/>
      </c>
      <c r="J468" s="3" t="str">
        <f>IFERROR(IF(INDEX('04_PRODUCTOS'!$D$2:$D$501,MATCH(F468,'04_PRODUCTOS'!$B$2:$B$501,0))="","",I468-(G468*INDEX('04_PRODUCTOS'!$D$2:$D$501,MATCH(F468,'04_PRODUCTOS'!$B$2:$B$501,0)))),"")</f>
        <v/>
      </c>
      <c r="K468" s="7" t="str">
        <f t="shared" si="46"/>
        <v/>
      </c>
      <c r="O468" t="str">
        <f>IF(D468="","",IFERROR(INDEX('03_CLIENTES'!$A$2:$A$501,MATCH(D468,'03_CLIENTES'!$B$2:$B$501,0)),""))</f>
        <v/>
      </c>
      <c r="P468" t="str">
        <f>IF(F468="","",IFERROR(INDEX('04_PRODUCTOS'!$A$2:$A$501,MATCH(F468,'04_PRODUCTOS'!$B$2:$B$501,0)),""))</f>
        <v/>
      </c>
      <c r="Q468" t="str">
        <f t="shared" si="47"/>
        <v/>
      </c>
    </row>
    <row r="469" spans="1:17" x14ac:dyDescent="0.25">
      <c r="A469" t="str">
        <f t="shared" si="42"/>
        <v/>
      </c>
      <c r="B469" s="4" t="str">
        <f t="shared" ca="1" si="43"/>
        <v/>
      </c>
      <c r="C469" s="5" t="str">
        <f t="shared" ca="1" si="44"/>
        <v/>
      </c>
      <c r="G469" s="6"/>
      <c r="H469" s="3" t="str">
        <f>IFERROR(IF(E469="Mayorista",IF(INDEX('04_PRODUCTOS'!$F$2:$F$501,MATCH(F469,'04_PRODUCTOS'!$B$2:$B$501,0))="",INDEX('04_PRODUCTOS'!$E$2:$E$501,MATCH(F469,'04_PRODUCTOS'!$B$2:$B$501,0)),INDEX('04_PRODUCTOS'!$F$2:$F$501,MATCH(F469,'04_PRODUCTOS'!$B$2:$B$501,0))),IF(E469="Especial",IF(INDEX('04_PRODUCTOS'!$G$2:$G$501,MATCH(F469,'04_PRODUCTOS'!$B$2:$B$501,0))="",INDEX('04_PRODUCTOS'!$E$2:$E$501,MATCH(F469,'04_PRODUCTOS'!$B$2:$B$501,0)),INDEX('04_PRODUCTOS'!$G$2:$G$501,MATCH(F469,'04_PRODUCTOS'!$B$2:$B$501,0))),INDEX('04_PRODUCTOS'!$E$2:$E$501,MATCH(F469,'04_PRODUCTOS'!$B$2:$B$501,0)))),"")</f>
        <v/>
      </c>
      <c r="I469" s="3" t="str">
        <f t="shared" si="45"/>
        <v/>
      </c>
      <c r="J469" s="3" t="str">
        <f>IFERROR(IF(INDEX('04_PRODUCTOS'!$D$2:$D$501,MATCH(F469,'04_PRODUCTOS'!$B$2:$B$501,0))="","",I469-(G469*INDEX('04_PRODUCTOS'!$D$2:$D$501,MATCH(F469,'04_PRODUCTOS'!$B$2:$B$501,0)))),"")</f>
        <v/>
      </c>
      <c r="K469" s="7" t="str">
        <f t="shared" si="46"/>
        <v/>
      </c>
      <c r="O469" t="str">
        <f>IF(D469="","",IFERROR(INDEX('03_CLIENTES'!$A$2:$A$501,MATCH(D469,'03_CLIENTES'!$B$2:$B$501,0)),""))</f>
        <v/>
      </c>
      <c r="P469" t="str">
        <f>IF(F469="","",IFERROR(INDEX('04_PRODUCTOS'!$A$2:$A$501,MATCH(F469,'04_PRODUCTOS'!$B$2:$B$501,0)),""))</f>
        <v/>
      </c>
      <c r="Q469" t="str">
        <f t="shared" si="47"/>
        <v/>
      </c>
    </row>
    <row r="470" spans="1:17" x14ac:dyDescent="0.25">
      <c r="A470" t="str">
        <f t="shared" si="42"/>
        <v/>
      </c>
      <c r="B470" s="4" t="str">
        <f t="shared" ca="1" si="43"/>
        <v/>
      </c>
      <c r="C470" s="5" t="str">
        <f t="shared" ca="1" si="44"/>
        <v/>
      </c>
      <c r="G470" s="6"/>
      <c r="H470" s="3" t="str">
        <f>IFERROR(IF(E470="Mayorista",IF(INDEX('04_PRODUCTOS'!$F$2:$F$501,MATCH(F470,'04_PRODUCTOS'!$B$2:$B$501,0))="",INDEX('04_PRODUCTOS'!$E$2:$E$501,MATCH(F470,'04_PRODUCTOS'!$B$2:$B$501,0)),INDEX('04_PRODUCTOS'!$F$2:$F$501,MATCH(F470,'04_PRODUCTOS'!$B$2:$B$501,0))),IF(E470="Especial",IF(INDEX('04_PRODUCTOS'!$G$2:$G$501,MATCH(F470,'04_PRODUCTOS'!$B$2:$B$501,0))="",INDEX('04_PRODUCTOS'!$E$2:$E$501,MATCH(F470,'04_PRODUCTOS'!$B$2:$B$501,0)),INDEX('04_PRODUCTOS'!$G$2:$G$501,MATCH(F470,'04_PRODUCTOS'!$B$2:$B$501,0))),INDEX('04_PRODUCTOS'!$E$2:$E$501,MATCH(F470,'04_PRODUCTOS'!$B$2:$B$501,0)))),"")</f>
        <v/>
      </c>
      <c r="I470" s="3" t="str">
        <f t="shared" si="45"/>
        <v/>
      </c>
      <c r="J470" s="3" t="str">
        <f>IFERROR(IF(INDEX('04_PRODUCTOS'!$D$2:$D$501,MATCH(F470,'04_PRODUCTOS'!$B$2:$B$501,0))="","",I470-(G470*INDEX('04_PRODUCTOS'!$D$2:$D$501,MATCH(F470,'04_PRODUCTOS'!$B$2:$B$501,0)))),"")</f>
        <v/>
      </c>
      <c r="K470" s="7" t="str">
        <f t="shared" si="46"/>
        <v/>
      </c>
      <c r="O470" t="str">
        <f>IF(D470="","",IFERROR(INDEX('03_CLIENTES'!$A$2:$A$501,MATCH(D470,'03_CLIENTES'!$B$2:$B$501,0)),""))</f>
        <v/>
      </c>
      <c r="P470" t="str">
        <f>IF(F470="","",IFERROR(INDEX('04_PRODUCTOS'!$A$2:$A$501,MATCH(F470,'04_PRODUCTOS'!$B$2:$B$501,0)),""))</f>
        <v/>
      </c>
      <c r="Q470" t="str">
        <f t="shared" si="47"/>
        <v/>
      </c>
    </row>
    <row r="471" spans="1:17" x14ac:dyDescent="0.25">
      <c r="A471" t="str">
        <f t="shared" si="42"/>
        <v/>
      </c>
      <c r="B471" s="4" t="str">
        <f t="shared" ca="1" si="43"/>
        <v/>
      </c>
      <c r="C471" s="5" t="str">
        <f t="shared" ca="1" si="44"/>
        <v/>
      </c>
      <c r="G471" s="6"/>
      <c r="H471" s="3" t="str">
        <f>IFERROR(IF(E471="Mayorista",IF(INDEX('04_PRODUCTOS'!$F$2:$F$501,MATCH(F471,'04_PRODUCTOS'!$B$2:$B$501,0))="",INDEX('04_PRODUCTOS'!$E$2:$E$501,MATCH(F471,'04_PRODUCTOS'!$B$2:$B$501,0)),INDEX('04_PRODUCTOS'!$F$2:$F$501,MATCH(F471,'04_PRODUCTOS'!$B$2:$B$501,0))),IF(E471="Especial",IF(INDEX('04_PRODUCTOS'!$G$2:$G$501,MATCH(F471,'04_PRODUCTOS'!$B$2:$B$501,0))="",INDEX('04_PRODUCTOS'!$E$2:$E$501,MATCH(F471,'04_PRODUCTOS'!$B$2:$B$501,0)),INDEX('04_PRODUCTOS'!$G$2:$G$501,MATCH(F471,'04_PRODUCTOS'!$B$2:$B$501,0))),INDEX('04_PRODUCTOS'!$E$2:$E$501,MATCH(F471,'04_PRODUCTOS'!$B$2:$B$501,0)))),"")</f>
        <v/>
      </c>
      <c r="I471" s="3" t="str">
        <f t="shared" si="45"/>
        <v/>
      </c>
      <c r="J471" s="3" t="str">
        <f>IFERROR(IF(INDEX('04_PRODUCTOS'!$D$2:$D$501,MATCH(F471,'04_PRODUCTOS'!$B$2:$B$501,0))="","",I471-(G471*INDEX('04_PRODUCTOS'!$D$2:$D$501,MATCH(F471,'04_PRODUCTOS'!$B$2:$B$501,0)))),"")</f>
        <v/>
      </c>
      <c r="K471" s="7" t="str">
        <f t="shared" si="46"/>
        <v/>
      </c>
      <c r="O471" t="str">
        <f>IF(D471="","",IFERROR(INDEX('03_CLIENTES'!$A$2:$A$501,MATCH(D471,'03_CLIENTES'!$B$2:$B$501,0)),""))</f>
        <v/>
      </c>
      <c r="P471" t="str">
        <f>IF(F471="","",IFERROR(INDEX('04_PRODUCTOS'!$A$2:$A$501,MATCH(F471,'04_PRODUCTOS'!$B$2:$B$501,0)),""))</f>
        <v/>
      </c>
      <c r="Q471" t="str">
        <f t="shared" si="47"/>
        <v/>
      </c>
    </row>
    <row r="472" spans="1:17" x14ac:dyDescent="0.25">
      <c r="A472" t="str">
        <f t="shared" si="42"/>
        <v/>
      </c>
      <c r="B472" s="4" t="str">
        <f t="shared" ca="1" si="43"/>
        <v/>
      </c>
      <c r="C472" s="5" t="str">
        <f t="shared" ca="1" si="44"/>
        <v/>
      </c>
      <c r="G472" s="6"/>
      <c r="H472" s="3" t="str">
        <f>IFERROR(IF(E472="Mayorista",IF(INDEX('04_PRODUCTOS'!$F$2:$F$501,MATCH(F472,'04_PRODUCTOS'!$B$2:$B$501,0))="",INDEX('04_PRODUCTOS'!$E$2:$E$501,MATCH(F472,'04_PRODUCTOS'!$B$2:$B$501,0)),INDEX('04_PRODUCTOS'!$F$2:$F$501,MATCH(F472,'04_PRODUCTOS'!$B$2:$B$501,0))),IF(E472="Especial",IF(INDEX('04_PRODUCTOS'!$G$2:$G$501,MATCH(F472,'04_PRODUCTOS'!$B$2:$B$501,0))="",INDEX('04_PRODUCTOS'!$E$2:$E$501,MATCH(F472,'04_PRODUCTOS'!$B$2:$B$501,0)),INDEX('04_PRODUCTOS'!$G$2:$G$501,MATCH(F472,'04_PRODUCTOS'!$B$2:$B$501,0))),INDEX('04_PRODUCTOS'!$E$2:$E$501,MATCH(F472,'04_PRODUCTOS'!$B$2:$B$501,0)))),"")</f>
        <v/>
      </c>
      <c r="I472" s="3" t="str">
        <f t="shared" si="45"/>
        <v/>
      </c>
      <c r="J472" s="3" t="str">
        <f>IFERROR(IF(INDEX('04_PRODUCTOS'!$D$2:$D$501,MATCH(F472,'04_PRODUCTOS'!$B$2:$B$501,0))="","",I472-(G472*INDEX('04_PRODUCTOS'!$D$2:$D$501,MATCH(F472,'04_PRODUCTOS'!$B$2:$B$501,0)))),"")</f>
        <v/>
      </c>
      <c r="K472" s="7" t="str">
        <f t="shared" si="46"/>
        <v/>
      </c>
      <c r="O472" t="str">
        <f>IF(D472="","",IFERROR(INDEX('03_CLIENTES'!$A$2:$A$501,MATCH(D472,'03_CLIENTES'!$B$2:$B$501,0)),""))</f>
        <v/>
      </c>
      <c r="P472" t="str">
        <f>IF(F472="","",IFERROR(INDEX('04_PRODUCTOS'!$A$2:$A$501,MATCH(F472,'04_PRODUCTOS'!$B$2:$B$501,0)),""))</f>
        <v/>
      </c>
      <c r="Q472" t="str">
        <f t="shared" si="47"/>
        <v/>
      </c>
    </row>
    <row r="473" spans="1:17" x14ac:dyDescent="0.25">
      <c r="A473" t="str">
        <f t="shared" si="42"/>
        <v/>
      </c>
      <c r="B473" s="4" t="str">
        <f t="shared" ca="1" si="43"/>
        <v/>
      </c>
      <c r="C473" s="5" t="str">
        <f t="shared" ca="1" si="44"/>
        <v/>
      </c>
      <c r="G473" s="6"/>
      <c r="H473" s="3" t="str">
        <f>IFERROR(IF(E473="Mayorista",IF(INDEX('04_PRODUCTOS'!$F$2:$F$501,MATCH(F473,'04_PRODUCTOS'!$B$2:$B$501,0))="",INDEX('04_PRODUCTOS'!$E$2:$E$501,MATCH(F473,'04_PRODUCTOS'!$B$2:$B$501,0)),INDEX('04_PRODUCTOS'!$F$2:$F$501,MATCH(F473,'04_PRODUCTOS'!$B$2:$B$501,0))),IF(E473="Especial",IF(INDEX('04_PRODUCTOS'!$G$2:$G$501,MATCH(F473,'04_PRODUCTOS'!$B$2:$B$501,0))="",INDEX('04_PRODUCTOS'!$E$2:$E$501,MATCH(F473,'04_PRODUCTOS'!$B$2:$B$501,0)),INDEX('04_PRODUCTOS'!$G$2:$G$501,MATCH(F473,'04_PRODUCTOS'!$B$2:$B$501,0))),INDEX('04_PRODUCTOS'!$E$2:$E$501,MATCH(F473,'04_PRODUCTOS'!$B$2:$B$501,0)))),"")</f>
        <v/>
      </c>
      <c r="I473" s="3" t="str">
        <f t="shared" si="45"/>
        <v/>
      </c>
      <c r="J473" s="3" t="str">
        <f>IFERROR(IF(INDEX('04_PRODUCTOS'!$D$2:$D$501,MATCH(F473,'04_PRODUCTOS'!$B$2:$B$501,0))="","",I473-(G473*INDEX('04_PRODUCTOS'!$D$2:$D$501,MATCH(F473,'04_PRODUCTOS'!$B$2:$B$501,0)))),"")</f>
        <v/>
      </c>
      <c r="K473" s="7" t="str">
        <f t="shared" si="46"/>
        <v/>
      </c>
      <c r="O473" t="str">
        <f>IF(D473="","",IFERROR(INDEX('03_CLIENTES'!$A$2:$A$501,MATCH(D473,'03_CLIENTES'!$B$2:$B$501,0)),""))</f>
        <v/>
      </c>
      <c r="P473" t="str">
        <f>IF(F473="","",IFERROR(INDEX('04_PRODUCTOS'!$A$2:$A$501,MATCH(F473,'04_PRODUCTOS'!$B$2:$B$501,0)),""))</f>
        <v/>
      </c>
      <c r="Q473" t="str">
        <f t="shared" si="47"/>
        <v/>
      </c>
    </row>
    <row r="474" spans="1:17" x14ac:dyDescent="0.25">
      <c r="A474" t="str">
        <f t="shared" si="42"/>
        <v/>
      </c>
      <c r="B474" s="4" t="str">
        <f t="shared" ca="1" si="43"/>
        <v/>
      </c>
      <c r="C474" s="5" t="str">
        <f t="shared" ca="1" si="44"/>
        <v/>
      </c>
      <c r="G474" s="6"/>
      <c r="H474" s="3" t="str">
        <f>IFERROR(IF(E474="Mayorista",IF(INDEX('04_PRODUCTOS'!$F$2:$F$501,MATCH(F474,'04_PRODUCTOS'!$B$2:$B$501,0))="",INDEX('04_PRODUCTOS'!$E$2:$E$501,MATCH(F474,'04_PRODUCTOS'!$B$2:$B$501,0)),INDEX('04_PRODUCTOS'!$F$2:$F$501,MATCH(F474,'04_PRODUCTOS'!$B$2:$B$501,0))),IF(E474="Especial",IF(INDEX('04_PRODUCTOS'!$G$2:$G$501,MATCH(F474,'04_PRODUCTOS'!$B$2:$B$501,0))="",INDEX('04_PRODUCTOS'!$E$2:$E$501,MATCH(F474,'04_PRODUCTOS'!$B$2:$B$501,0)),INDEX('04_PRODUCTOS'!$G$2:$G$501,MATCH(F474,'04_PRODUCTOS'!$B$2:$B$501,0))),INDEX('04_PRODUCTOS'!$E$2:$E$501,MATCH(F474,'04_PRODUCTOS'!$B$2:$B$501,0)))),"")</f>
        <v/>
      </c>
      <c r="I474" s="3" t="str">
        <f t="shared" si="45"/>
        <v/>
      </c>
      <c r="J474" s="3" t="str">
        <f>IFERROR(IF(INDEX('04_PRODUCTOS'!$D$2:$D$501,MATCH(F474,'04_PRODUCTOS'!$B$2:$B$501,0))="","",I474-(G474*INDEX('04_PRODUCTOS'!$D$2:$D$501,MATCH(F474,'04_PRODUCTOS'!$B$2:$B$501,0)))),"")</f>
        <v/>
      </c>
      <c r="K474" s="7" t="str">
        <f t="shared" si="46"/>
        <v/>
      </c>
      <c r="O474" t="str">
        <f>IF(D474="","",IFERROR(INDEX('03_CLIENTES'!$A$2:$A$501,MATCH(D474,'03_CLIENTES'!$B$2:$B$501,0)),""))</f>
        <v/>
      </c>
      <c r="P474" t="str">
        <f>IF(F474="","",IFERROR(INDEX('04_PRODUCTOS'!$A$2:$A$501,MATCH(F474,'04_PRODUCTOS'!$B$2:$B$501,0)),""))</f>
        <v/>
      </c>
      <c r="Q474" t="str">
        <f t="shared" si="47"/>
        <v/>
      </c>
    </row>
    <row r="475" spans="1:17" x14ac:dyDescent="0.25">
      <c r="A475" t="str">
        <f t="shared" si="42"/>
        <v/>
      </c>
      <c r="B475" s="4" t="str">
        <f t="shared" ca="1" si="43"/>
        <v/>
      </c>
      <c r="C475" s="5" t="str">
        <f t="shared" ca="1" si="44"/>
        <v/>
      </c>
      <c r="G475" s="6"/>
      <c r="H475" s="3" t="str">
        <f>IFERROR(IF(E475="Mayorista",IF(INDEX('04_PRODUCTOS'!$F$2:$F$501,MATCH(F475,'04_PRODUCTOS'!$B$2:$B$501,0))="",INDEX('04_PRODUCTOS'!$E$2:$E$501,MATCH(F475,'04_PRODUCTOS'!$B$2:$B$501,0)),INDEX('04_PRODUCTOS'!$F$2:$F$501,MATCH(F475,'04_PRODUCTOS'!$B$2:$B$501,0))),IF(E475="Especial",IF(INDEX('04_PRODUCTOS'!$G$2:$G$501,MATCH(F475,'04_PRODUCTOS'!$B$2:$B$501,0))="",INDEX('04_PRODUCTOS'!$E$2:$E$501,MATCH(F475,'04_PRODUCTOS'!$B$2:$B$501,0)),INDEX('04_PRODUCTOS'!$G$2:$G$501,MATCH(F475,'04_PRODUCTOS'!$B$2:$B$501,0))),INDEX('04_PRODUCTOS'!$E$2:$E$501,MATCH(F475,'04_PRODUCTOS'!$B$2:$B$501,0)))),"")</f>
        <v/>
      </c>
      <c r="I475" s="3" t="str">
        <f t="shared" si="45"/>
        <v/>
      </c>
      <c r="J475" s="3" t="str">
        <f>IFERROR(IF(INDEX('04_PRODUCTOS'!$D$2:$D$501,MATCH(F475,'04_PRODUCTOS'!$B$2:$B$501,0))="","",I475-(G475*INDEX('04_PRODUCTOS'!$D$2:$D$501,MATCH(F475,'04_PRODUCTOS'!$B$2:$B$501,0)))),"")</f>
        <v/>
      </c>
      <c r="K475" s="7" t="str">
        <f t="shared" si="46"/>
        <v/>
      </c>
      <c r="O475" t="str">
        <f>IF(D475="","",IFERROR(INDEX('03_CLIENTES'!$A$2:$A$501,MATCH(D475,'03_CLIENTES'!$B$2:$B$501,0)),""))</f>
        <v/>
      </c>
      <c r="P475" t="str">
        <f>IF(F475="","",IFERROR(INDEX('04_PRODUCTOS'!$A$2:$A$501,MATCH(F475,'04_PRODUCTOS'!$B$2:$B$501,0)),""))</f>
        <v/>
      </c>
      <c r="Q475" t="str">
        <f t="shared" si="47"/>
        <v/>
      </c>
    </row>
    <row r="476" spans="1:17" x14ac:dyDescent="0.25">
      <c r="A476" t="str">
        <f t="shared" si="42"/>
        <v/>
      </c>
      <c r="B476" s="4" t="str">
        <f t="shared" ca="1" si="43"/>
        <v/>
      </c>
      <c r="C476" s="5" t="str">
        <f t="shared" ca="1" si="44"/>
        <v/>
      </c>
      <c r="G476" s="6"/>
      <c r="H476" s="3" t="str">
        <f>IFERROR(IF(E476="Mayorista",IF(INDEX('04_PRODUCTOS'!$F$2:$F$501,MATCH(F476,'04_PRODUCTOS'!$B$2:$B$501,0))="",INDEX('04_PRODUCTOS'!$E$2:$E$501,MATCH(F476,'04_PRODUCTOS'!$B$2:$B$501,0)),INDEX('04_PRODUCTOS'!$F$2:$F$501,MATCH(F476,'04_PRODUCTOS'!$B$2:$B$501,0))),IF(E476="Especial",IF(INDEX('04_PRODUCTOS'!$G$2:$G$501,MATCH(F476,'04_PRODUCTOS'!$B$2:$B$501,0))="",INDEX('04_PRODUCTOS'!$E$2:$E$501,MATCH(F476,'04_PRODUCTOS'!$B$2:$B$501,0)),INDEX('04_PRODUCTOS'!$G$2:$G$501,MATCH(F476,'04_PRODUCTOS'!$B$2:$B$501,0))),INDEX('04_PRODUCTOS'!$E$2:$E$501,MATCH(F476,'04_PRODUCTOS'!$B$2:$B$501,0)))),"")</f>
        <v/>
      </c>
      <c r="I476" s="3" t="str">
        <f t="shared" si="45"/>
        <v/>
      </c>
      <c r="J476" s="3" t="str">
        <f>IFERROR(IF(INDEX('04_PRODUCTOS'!$D$2:$D$501,MATCH(F476,'04_PRODUCTOS'!$B$2:$B$501,0))="","",I476-(G476*INDEX('04_PRODUCTOS'!$D$2:$D$501,MATCH(F476,'04_PRODUCTOS'!$B$2:$B$501,0)))),"")</f>
        <v/>
      </c>
      <c r="K476" s="7" t="str">
        <f t="shared" si="46"/>
        <v/>
      </c>
      <c r="O476" t="str">
        <f>IF(D476="","",IFERROR(INDEX('03_CLIENTES'!$A$2:$A$501,MATCH(D476,'03_CLIENTES'!$B$2:$B$501,0)),""))</f>
        <v/>
      </c>
      <c r="P476" t="str">
        <f>IF(F476="","",IFERROR(INDEX('04_PRODUCTOS'!$A$2:$A$501,MATCH(F476,'04_PRODUCTOS'!$B$2:$B$501,0)),""))</f>
        <v/>
      </c>
      <c r="Q476" t="str">
        <f t="shared" si="47"/>
        <v/>
      </c>
    </row>
    <row r="477" spans="1:17" x14ac:dyDescent="0.25">
      <c r="A477" t="str">
        <f t="shared" si="42"/>
        <v/>
      </c>
      <c r="B477" s="4" t="str">
        <f t="shared" ca="1" si="43"/>
        <v/>
      </c>
      <c r="C477" s="5" t="str">
        <f t="shared" ca="1" si="44"/>
        <v/>
      </c>
      <c r="G477" s="6"/>
      <c r="H477" s="3" t="str">
        <f>IFERROR(IF(E477="Mayorista",IF(INDEX('04_PRODUCTOS'!$F$2:$F$501,MATCH(F477,'04_PRODUCTOS'!$B$2:$B$501,0))="",INDEX('04_PRODUCTOS'!$E$2:$E$501,MATCH(F477,'04_PRODUCTOS'!$B$2:$B$501,0)),INDEX('04_PRODUCTOS'!$F$2:$F$501,MATCH(F477,'04_PRODUCTOS'!$B$2:$B$501,0))),IF(E477="Especial",IF(INDEX('04_PRODUCTOS'!$G$2:$G$501,MATCH(F477,'04_PRODUCTOS'!$B$2:$B$501,0))="",INDEX('04_PRODUCTOS'!$E$2:$E$501,MATCH(F477,'04_PRODUCTOS'!$B$2:$B$501,0)),INDEX('04_PRODUCTOS'!$G$2:$G$501,MATCH(F477,'04_PRODUCTOS'!$B$2:$B$501,0))),INDEX('04_PRODUCTOS'!$E$2:$E$501,MATCH(F477,'04_PRODUCTOS'!$B$2:$B$501,0)))),"")</f>
        <v/>
      </c>
      <c r="I477" s="3" t="str">
        <f t="shared" si="45"/>
        <v/>
      </c>
      <c r="J477" s="3" t="str">
        <f>IFERROR(IF(INDEX('04_PRODUCTOS'!$D$2:$D$501,MATCH(F477,'04_PRODUCTOS'!$B$2:$B$501,0))="","",I477-(G477*INDEX('04_PRODUCTOS'!$D$2:$D$501,MATCH(F477,'04_PRODUCTOS'!$B$2:$B$501,0)))),"")</f>
        <v/>
      </c>
      <c r="K477" s="7" t="str">
        <f t="shared" si="46"/>
        <v/>
      </c>
      <c r="O477" t="str">
        <f>IF(D477="","",IFERROR(INDEX('03_CLIENTES'!$A$2:$A$501,MATCH(D477,'03_CLIENTES'!$B$2:$B$501,0)),""))</f>
        <v/>
      </c>
      <c r="P477" t="str">
        <f>IF(F477="","",IFERROR(INDEX('04_PRODUCTOS'!$A$2:$A$501,MATCH(F477,'04_PRODUCTOS'!$B$2:$B$501,0)),""))</f>
        <v/>
      </c>
      <c r="Q477" t="str">
        <f t="shared" si="47"/>
        <v/>
      </c>
    </row>
    <row r="478" spans="1:17" x14ac:dyDescent="0.25">
      <c r="A478" t="str">
        <f t="shared" si="42"/>
        <v/>
      </c>
      <c r="B478" s="4" t="str">
        <f t="shared" ca="1" si="43"/>
        <v/>
      </c>
      <c r="C478" s="5" t="str">
        <f t="shared" ca="1" si="44"/>
        <v/>
      </c>
      <c r="G478" s="6"/>
      <c r="H478" s="3" t="str">
        <f>IFERROR(IF(E478="Mayorista",IF(INDEX('04_PRODUCTOS'!$F$2:$F$501,MATCH(F478,'04_PRODUCTOS'!$B$2:$B$501,0))="",INDEX('04_PRODUCTOS'!$E$2:$E$501,MATCH(F478,'04_PRODUCTOS'!$B$2:$B$501,0)),INDEX('04_PRODUCTOS'!$F$2:$F$501,MATCH(F478,'04_PRODUCTOS'!$B$2:$B$501,0))),IF(E478="Especial",IF(INDEX('04_PRODUCTOS'!$G$2:$G$501,MATCH(F478,'04_PRODUCTOS'!$B$2:$B$501,0))="",INDEX('04_PRODUCTOS'!$E$2:$E$501,MATCH(F478,'04_PRODUCTOS'!$B$2:$B$501,0)),INDEX('04_PRODUCTOS'!$G$2:$G$501,MATCH(F478,'04_PRODUCTOS'!$B$2:$B$501,0))),INDEX('04_PRODUCTOS'!$E$2:$E$501,MATCH(F478,'04_PRODUCTOS'!$B$2:$B$501,0)))),"")</f>
        <v/>
      </c>
      <c r="I478" s="3" t="str">
        <f t="shared" si="45"/>
        <v/>
      </c>
      <c r="J478" s="3" t="str">
        <f>IFERROR(IF(INDEX('04_PRODUCTOS'!$D$2:$D$501,MATCH(F478,'04_PRODUCTOS'!$B$2:$B$501,0))="","",I478-(G478*INDEX('04_PRODUCTOS'!$D$2:$D$501,MATCH(F478,'04_PRODUCTOS'!$B$2:$B$501,0)))),"")</f>
        <v/>
      </c>
      <c r="K478" s="7" t="str">
        <f t="shared" si="46"/>
        <v/>
      </c>
      <c r="O478" t="str">
        <f>IF(D478="","",IFERROR(INDEX('03_CLIENTES'!$A$2:$A$501,MATCH(D478,'03_CLIENTES'!$B$2:$B$501,0)),""))</f>
        <v/>
      </c>
      <c r="P478" t="str">
        <f>IF(F478="","",IFERROR(INDEX('04_PRODUCTOS'!$A$2:$A$501,MATCH(F478,'04_PRODUCTOS'!$B$2:$B$501,0)),""))</f>
        <v/>
      </c>
      <c r="Q478" t="str">
        <f t="shared" si="47"/>
        <v/>
      </c>
    </row>
    <row r="479" spans="1:17" x14ac:dyDescent="0.25">
      <c r="A479" t="str">
        <f t="shared" si="42"/>
        <v/>
      </c>
      <c r="B479" s="4" t="str">
        <f t="shared" ca="1" si="43"/>
        <v/>
      </c>
      <c r="C479" s="5" t="str">
        <f t="shared" ca="1" si="44"/>
        <v/>
      </c>
      <c r="G479" s="6"/>
      <c r="H479" s="3" t="str">
        <f>IFERROR(IF(E479="Mayorista",IF(INDEX('04_PRODUCTOS'!$F$2:$F$501,MATCH(F479,'04_PRODUCTOS'!$B$2:$B$501,0))="",INDEX('04_PRODUCTOS'!$E$2:$E$501,MATCH(F479,'04_PRODUCTOS'!$B$2:$B$501,0)),INDEX('04_PRODUCTOS'!$F$2:$F$501,MATCH(F479,'04_PRODUCTOS'!$B$2:$B$501,0))),IF(E479="Especial",IF(INDEX('04_PRODUCTOS'!$G$2:$G$501,MATCH(F479,'04_PRODUCTOS'!$B$2:$B$501,0))="",INDEX('04_PRODUCTOS'!$E$2:$E$501,MATCH(F479,'04_PRODUCTOS'!$B$2:$B$501,0)),INDEX('04_PRODUCTOS'!$G$2:$G$501,MATCH(F479,'04_PRODUCTOS'!$B$2:$B$501,0))),INDEX('04_PRODUCTOS'!$E$2:$E$501,MATCH(F479,'04_PRODUCTOS'!$B$2:$B$501,0)))),"")</f>
        <v/>
      </c>
      <c r="I479" s="3" t="str">
        <f t="shared" si="45"/>
        <v/>
      </c>
      <c r="J479" s="3" t="str">
        <f>IFERROR(IF(INDEX('04_PRODUCTOS'!$D$2:$D$501,MATCH(F479,'04_PRODUCTOS'!$B$2:$B$501,0))="","",I479-(G479*INDEX('04_PRODUCTOS'!$D$2:$D$501,MATCH(F479,'04_PRODUCTOS'!$B$2:$B$501,0)))),"")</f>
        <v/>
      </c>
      <c r="K479" s="7" t="str">
        <f t="shared" si="46"/>
        <v/>
      </c>
      <c r="O479" t="str">
        <f>IF(D479="","",IFERROR(INDEX('03_CLIENTES'!$A$2:$A$501,MATCH(D479,'03_CLIENTES'!$B$2:$B$501,0)),""))</f>
        <v/>
      </c>
      <c r="P479" t="str">
        <f>IF(F479="","",IFERROR(INDEX('04_PRODUCTOS'!$A$2:$A$501,MATCH(F479,'04_PRODUCTOS'!$B$2:$B$501,0)),""))</f>
        <v/>
      </c>
      <c r="Q479" t="str">
        <f t="shared" si="47"/>
        <v/>
      </c>
    </row>
    <row r="480" spans="1:17" x14ac:dyDescent="0.25">
      <c r="A480" t="str">
        <f t="shared" si="42"/>
        <v/>
      </c>
      <c r="B480" s="4" t="str">
        <f t="shared" ca="1" si="43"/>
        <v/>
      </c>
      <c r="C480" s="5" t="str">
        <f t="shared" ca="1" si="44"/>
        <v/>
      </c>
      <c r="G480" s="6"/>
      <c r="H480" s="3" t="str">
        <f>IFERROR(IF(E480="Mayorista",IF(INDEX('04_PRODUCTOS'!$F$2:$F$501,MATCH(F480,'04_PRODUCTOS'!$B$2:$B$501,0))="",INDEX('04_PRODUCTOS'!$E$2:$E$501,MATCH(F480,'04_PRODUCTOS'!$B$2:$B$501,0)),INDEX('04_PRODUCTOS'!$F$2:$F$501,MATCH(F480,'04_PRODUCTOS'!$B$2:$B$501,0))),IF(E480="Especial",IF(INDEX('04_PRODUCTOS'!$G$2:$G$501,MATCH(F480,'04_PRODUCTOS'!$B$2:$B$501,0))="",INDEX('04_PRODUCTOS'!$E$2:$E$501,MATCH(F480,'04_PRODUCTOS'!$B$2:$B$501,0)),INDEX('04_PRODUCTOS'!$G$2:$G$501,MATCH(F480,'04_PRODUCTOS'!$B$2:$B$501,0))),INDEX('04_PRODUCTOS'!$E$2:$E$501,MATCH(F480,'04_PRODUCTOS'!$B$2:$B$501,0)))),"")</f>
        <v/>
      </c>
      <c r="I480" s="3" t="str">
        <f t="shared" si="45"/>
        <v/>
      </c>
      <c r="J480" s="3" t="str">
        <f>IFERROR(IF(INDEX('04_PRODUCTOS'!$D$2:$D$501,MATCH(F480,'04_PRODUCTOS'!$B$2:$B$501,0))="","",I480-(G480*INDEX('04_PRODUCTOS'!$D$2:$D$501,MATCH(F480,'04_PRODUCTOS'!$B$2:$B$501,0)))),"")</f>
        <v/>
      </c>
      <c r="K480" s="7" t="str">
        <f t="shared" si="46"/>
        <v/>
      </c>
      <c r="O480" t="str">
        <f>IF(D480="","",IFERROR(INDEX('03_CLIENTES'!$A$2:$A$501,MATCH(D480,'03_CLIENTES'!$B$2:$B$501,0)),""))</f>
        <v/>
      </c>
      <c r="P480" t="str">
        <f>IF(F480="","",IFERROR(INDEX('04_PRODUCTOS'!$A$2:$A$501,MATCH(F480,'04_PRODUCTOS'!$B$2:$B$501,0)),""))</f>
        <v/>
      </c>
      <c r="Q480" t="str">
        <f t="shared" si="47"/>
        <v/>
      </c>
    </row>
    <row r="481" spans="1:17" x14ac:dyDescent="0.25">
      <c r="A481" t="str">
        <f t="shared" si="42"/>
        <v/>
      </c>
      <c r="B481" s="4" t="str">
        <f t="shared" ca="1" si="43"/>
        <v/>
      </c>
      <c r="C481" s="5" t="str">
        <f t="shared" ca="1" si="44"/>
        <v/>
      </c>
      <c r="G481" s="6"/>
      <c r="H481" s="3" t="str">
        <f>IFERROR(IF(E481="Mayorista",IF(INDEX('04_PRODUCTOS'!$F$2:$F$501,MATCH(F481,'04_PRODUCTOS'!$B$2:$B$501,0))="",INDEX('04_PRODUCTOS'!$E$2:$E$501,MATCH(F481,'04_PRODUCTOS'!$B$2:$B$501,0)),INDEX('04_PRODUCTOS'!$F$2:$F$501,MATCH(F481,'04_PRODUCTOS'!$B$2:$B$501,0))),IF(E481="Especial",IF(INDEX('04_PRODUCTOS'!$G$2:$G$501,MATCH(F481,'04_PRODUCTOS'!$B$2:$B$501,0))="",INDEX('04_PRODUCTOS'!$E$2:$E$501,MATCH(F481,'04_PRODUCTOS'!$B$2:$B$501,0)),INDEX('04_PRODUCTOS'!$G$2:$G$501,MATCH(F481,'04_PRODUCTOS'!$B$2:$B$501,0))),INDEX('04_PRODUCTOS'!$E$2:$E$501,MATCH(F481,'04_PRODUCTOS'!$B$2:$B$501,0)))),"")</f>
        <v/>
      </c>
      <c r="I481" s="3" t="str">
        <f t="shared" si="45"/>
        <v/>
      </c>
      <c r="J481" s="3" t="str">
        <f>IFERROR(IF(INDEX('04_PRODUCTOS'!$D$2:$D$501,MATCH(F481,'04_PRODUCTOS'!$B$2:$B$501,0))="","",I481-(G481*INDEX('04_PRODUCTOS'!$D$2:$D$501,MATCH(F481,'04_PRODUCTOS'!$B$2:$B$501,0)))),"")</f>
        <v/>
      </c>
      <c r="K481" s="7" t="str">
        <f t="shared" si="46"/>
        <v/>
      </c>
      <c r="O481" t="str">
        <f>IF(D481="","",IFERROR(INDEX('03_CLIENTES'!$A$2:$A$501,MATCH(D481,'03_CLIENTES'!$B$2:$B$501,0)),""))</f>
        <v/>
      </c>
      <c r="P481" t="str">
        <f>IF(F481="","",IFERROR(INDEX('04_PRODUCTOS'!$A$2:$A$501,MATCH(F481,'04_PRODUCTOS'!$B$2:$B$501,0)),""))</f>
        <v/>
      </c>
      <c r="Q481" t="str">
        <f t="shared" si="47"/>
        <v/>
      </c>
    </row>
    <row r="482" spans="1:17" x14ac:dyDescent="0.25">
      <c r="A482" t="str">
        <f t="shared" si="42"/>
        <v/>
      </c>
      <c r="B482" s="4" t="str">
        <f t="shared" ca="1" si="43"/>
        <v/>
      </c>
      <c r="C482" s="5" t="str">
        <f t="shared" ca="1" si="44"/>
        <v/>
      </c>
      <c r="G482" s="6"/>
      <c r="H482" s="3" t="str">
        <f>IFERROR(IF(E482="Mayorista",IF(INDEX('04_PRODUCTOS'!$F$2:$F$501,MATCH(F482,'04_PRODUCTOS'!$B$2:$B$501,0))="",INDEX('04_PRODUCTOS'!$E$2:$E$501,MATCH(F482,'04_PRODUCTOS'!$B$2:$B$501,0)),INDEX('04_PRODUCTOS'!$F$2:$F$501,MATCH(F482,'04_PRODUCTOS'!$B$2:$B$501,0))),IF(E482="Especial",IF(INDEX('04_PRODUCTOS'!$G$2:$G$501,MATCH(F482,'04_PRODUCTOS'!$B$2:$B$501,0))="",INDEX('04_PRODUCTOS'!$E$2:$E$501,MATCH(F482,'04_PRODUCTOS'!$B$2:$B$501,0)),INDEX('04_PRODUCTOS'!$G$2:$G$501,MATCH(F482,'04_PRODUCTOS'!$B$2:$B$501,0))),INDEX('04_PRODUCTOS'!$E$2:$E$501,MATCH(F482,'04_PRODUCTOS'!$B$2:$B$501,0)))),"")</f>
        <v/>
      </c>
      <c r="I482" s="3" t="str">
        <f t="shared" si="45"/>
        <v/>
      </c>
      <c r="J482" s="3" t="str">
        <f>IFERROR(IF(INDEX('04_PRODUCTOS'!$D$2:$D$501,MATCH(F482,'04_PRODUCTOS'!$B$2:$B$501,0))="","",I482-(G482*INDEX('04_PRODUCTOS'!$D$2:$D$501,MATCH(F482,'04_PRODUCTOS'!$B$2:$B$501,0)))),"")</f>
        <v/>
      </c>
      <c r="K482" s="7" t="str">
        <f t="shared" si="46"/>
        <v/>
      </c>
      <c r="O482" t="str">
        <f>IF(D482="","",IFERROR(INDEX('03_CLIENTES'!$A$2:$A$501,MATCH(D482,'03_CLIENTES'!$B$2:$B$501,0)),""))</f>
        <v/>
      </c>
      <c r="P482" t="str">
        <f>IF(F482="","",IFERROR(INDEX('04_PRODUCTOS'!$A$2:$A$501,MATCH(F482,'04_PRODUCTOS'!$B$2:$B$501,0)),""))</f>
        <v/>
      </c>
      <c r="Q482" t="str">
        <f t="shared" si="47"/>
        <v/>
      </c>
    </row>
    <row r="483" spans="1:17" x14ac:dyDescent="0.25">
      <c r="A483" t="str">
        <f t="shared" si="42"/>
        <v/>
      </c>
      <c r="B483" s="4" t="str">
        <f t="shared" ca="1" si="43"/>
        <v/>
      </c>
      <c r="C483" s="5" t="str">
        <f t="shared" ca="1" si="44"/>
        <v/>
      </c>
      <c r="G483" s="6"/>
      <c r="H483" s="3" t="str">
        <f>IFERROR(IF(E483="Mayorista",IF(INDEX('04_PRODUCTOS'!$F$2:$F$501,MATCH(F483,'04_PRODUCTOS'!$B$2:$B$501,0))="",INDEX('04_PRODUCTOS'!$E$2:$E$501,MATCH(F483,'04_PRODUCTOS'!$B$2:$B$501,0)),INDEX('04_PRODUCTOS'!$F$2:$F$501,MATCH(F483,'04_PRODUCTOS'!$B$2:$B$501,0))),IF(E483="Especial",IF(INDEX('04_PRODUCTOS'!$G$2:$G$501,MATCH(F483,'04_PRODUCTOS'!$B$2:$B$501,0))="",INDEX('04_PRODUCTOS'!$E$2:$E$501,MATCH(F483,'04_PRODUCTOS'!$B$2:$B$501,0)),INDEX('04_PRODUCTOS'!$G$2:$G$501,MATCH(F483,'04_PRODUCTOS'!$B$2:$B$501,0))),INDEX('04_PRODUCTOS'!$E$2:$E$501,MATCH(F483,'04_PRODUCTOS'!$B$2:$B$501,0)))),"")</f>
        <v/>
      </c>
      <c r="I483" s="3" t="str">
        <f t="shared" si="45"/>
        <v/>
      </c>
      <c r="J483" s="3" t="str">
        <f>IFERROR(IF(INDEX('04_PRODUCTOS'!$D$2:$D$501,MATCH(F483,'04_PRODUCTOS'!$B$2:$B$501,0))="","",I483-(G483*INDEX('04_PRODUCTOS'!$D$2:$D$501,MATCH(F483,'04_PRODUCTOS'!$B$2:$B$501,0)))),"")</f>
        <v/>
      </c>
      <c r="K483" s="7" t="str">
        <f t="shared" si="46"/>
        <v/>
      </c>
      <c r="O483" t="str">
        <f>IF(D483="","",IFERROR(INDEX('03_CLIENTES'!$A$2:$A$501,MATCH(D483,'03_CLIENTES'!$B$2:$B$501,0)),""))</f>
        <v/>
      </c>
      <c r="P483" t="str">
        <f>IF(F483="","",IFERROR(INDEX('04_PRODUCTOS'!$A$2:$A$501,MATCH(F483,'04_PRODUCTOS'!$B$2:$B$501,0)),""))</f>
        <v/>
      </c>
      <c r="Q483" t="str">
        <f t="shared" si="47"/>
        <v/>
      </c>
    </row>
    <row r="484" spans="1:17" x14ac:dyDescent="0.25">
      <c r="A484" t="str">
        <f t="shared" si="42"/>
        <v/>
      </c>
      <c r="B484" s="4" t="str">
        <f t="shared" ca="1" si="43"/>
        <v/>
      </c>
      <c r="C484" s="5" t="str">
        <f t="shared" ca="1" si="44"/>
        <v/>
      </c>
      <c r="G484" s="6"/>
      <c r="H484" s="3" t="str">
        <f>IFERROR(IF(E484="Mayorista",IF(INDEX('04_PRODUCTOS'!$F$2:$F$501,MATCH(F484,'04_PRODUCTOS'!$B$2:$B$501,0))="",INDEX('04_PRODUCTOS'!$E$2:$E$501,MATCH(F484,'04_PRODUCTOS'!$B$2:$B$501,0)),INDEX('04_PRODUCTOS'!$F$2:$F$501,MATCH(F484,'04_PRODUCTOS'!$B$2:$B$501,0))),IF(E484="Especial",IF(INDEX('04_PRODUCTOS'!$G$2:$G$501,MATCH(F484,'04_PRODUCTOS'!$B$2:$B$501,0))="",INDEX('04_PRODUCTOS'!$E$2:$E$501,MATCH(F484,'04_PRODUCTOS'!$B$2:$B$501,0)),INDEX('04_PRODUCTOS'!$G$2:$G$501,MATCH(F484,'04_PRODUCTOS'!$B$2:$B$501,0))),INDEX('04_PRODUCTOS'!$E$2:$E$501,MATCH(F484,'04_PRODUCTOS'!$B$2:$B$501,0)))),"")</f>
        <v/>
      </c>
      <c r="I484" s="3" t="str">
        <f t="shared" si="45"/>
        <v/>
      </c>
      <c r="J484" s="3" t="str">
        <f>IFERROR(IF(INDEX('04_PRODUCTOS'!$D$2:$D$501,MATCH(F484,'04_PRODUCTOS'!$B$2:$B$501,0))="","",I484-(G484*INDEX('04_PRODUCTOS'!$D$2:$D$501,MATCH(F484,'04_PRODUCTOS'!$B$2:$B$501,0)))),"")</f>
        <v/>
      </c>
      <c r="K484" s="7" t="str">
        <f t="shared" si="46"/>
        <v/>
      </c>
      <c r="O484" t="str">
        <f>IF(D484="","",IFERROR(INDEX('03_CLIENTES'!$A$2:$A$501,MATCH(D484,'03_CLIENTES'!$B$2:$B$501,0)),""))</f>
        <v/>
      </c>
      <c r="P484" t="str">
        <f>IF(F484="","",IFERROR(INDEX('04_PRODUCTOS'!$A$2:$A$501,MATCH(F484,'04_PRODUCTOS'!$B$2:$B$501,0)),""))</f>
        <v/>
      </c>
      <c r="Q484" t="str">
        <f t="shared" si="47"/>
        <v/>
      </c>
    </row>
    <row r="485" spans="1:17" x14ac:dyDescent="0.25">
      <c r="A485" t="str">
        <f t="shared" si="42"/>
        <v/>
      </c>
      <c r="B485" s="4" t="str">
        <f t="shared" ca="1" si="43"/>
        <v/>
      </c>
      <c r="C485" s="5" t="str">
        <f t="shared" ca="1" si="44"/>
        <v/>
      </c>
      <c r="G485" s="6"/>
      <c r="H485" s="3" t="str">
        <f>IFERROR(IF(E485="Mayorista",IF(INDEX('04_PRODUCTOS'!$F$2:$F$501,MATCH(F485,'04_PRODUCTOS'!$B$2:$B$501,0))="",INDEX('04_PRODUCTOS'!$E$2:$E$501,MATCH(F485,'04_PRODUCTOS'!$B$2:$B$501,0)),INDEX('04_PRODUCTOS'!$F$2:$F$501,MATCH(F485,'04_PRODUCTOS'!$B$2:$B$501,0))),IF(E485="Especial",IF(INDEX('04_PRODUCTOS'!$G$2:$G$501,MATCH(F485,'04_PRODUCTOS'!$B$2:$B$501,0))="",INDEX('04_PRODUCTOS'!$E$2:$E$501,MATCH(F485,'04_PRODUCTOS'!$B$2:$B$501,0)),INDEX('04_PRODUCTOS'!$G$2:$G$501,MATCH(F485,'04_PRODUCTOS'!$B$2:$B$501,0))),INDEX('04_PRODUCTOS'!$E$2:$E$501,MATCH(F485,'04_PRODUCTOS'!$B$2:$B$501,0)))),"")</f>
        <v/>
      </c>
      <c r="I485" s="3" t="str">
        <f t="shared" si="45"/>
        <v/>
      </c>
      <c r="J485" s="3" t="str">
        <f>IFERROR(IF(INDEX('04_PRODUCTOS'!$D$2:$D$501,MATCH(F485,'04_PRODUCTOS'!$B$2:$B$501,0))="","",I485-(G485*INDEX('04_PRODUCTOS'!$D$2:$D$501,MATCH(F485,'04_PRODUCTOS'!$B$2:$B$501,0)))),"")</f>
        <v/>
      </c>
      <c r="K485" s="7" t="str">
        <f t="shared" si="46"/>
        <v/>
      </c>
      <c r="O485" t="str">
        <f>IF(D485="","",IFERROR(INDEX('03_CLIENTES'!$A$2:$A$501,MATCH(D485,'03_CLIENTES'!$B$2:$B$501,0)),""))</f>
        <v/>
      </c>
      <c r="P485" t="str">
        <f>IF(F485="","",IFERROR(INDEX('04_PRODUCTOS'!$A$2:$A$501,MATCH(F485,'04_PRODUCTOS'!$B$2:$B$501,0)),""))</f>
        <v/>
      </c>
      <c r="Q485" t="str">
        <f t="shared" si="47"/>
        <v/>
      </c>
    </row>
    <row r="486" spans="1:17" x14ac:dyDescent="0.25">
      <c r="A486" t="str">
        <f t="shared" si="42"/>
        <v/>
      </c>
      <c r="B486" s="4" t="str">
        <f t="shared" ca="1" si="43"/>
        <v/>
      </c>
      <c r="C486" s="5" t="str">
        <f t="shared" ca="1" si="44"/>
        <v/>
      </c>
      <c r="G486" s="6"/>
      <c r="H486" s="3" t="str">
        <f>IFERROR(IF(E486="Mayorista",IF(INDEX('04_PRODUCTOS'!$F$2:$F$501,MATCH(F486,'04_PRODUCTOS'!$B$2:$B$501,0))="",INDEX('04_PRODUCTOS'!$E$2:$E$501,MATCH(F486,'04_PRODUCTOS'!$B$2:$B$501,0)),INDEX('04_PRODUCTOS'!$F$2:$F$501,MATCH(F486,'04_PRODUCTOS'!$B$2:$B$501,0))),IF(E486="Especial",IF(INDEX('04_PRODUCTOS'!$G$2:$G$501,MATCH(F486,'04_PRODUCTOS'!$B$2:$B$501,0))="",INDEX('04_PRODUCTOS'!$E$2:$E$501,MATCH(F486,'04_PRODUCTOS'!$B$2:$B$501,0)),INDEX('04_PRODUCTOS'!$G$2:$G$501,MATCH(F486,'04_PRODUCTOS'!$B$2:$B$501,0))),INDEX('04_PRODUCTOS'!$E$2:$E$501,MATCH(F486,'04_PRODUCTOS'!$B$2:$B$501,0)))),"")</f>
        <v/>
      </c>
      <c r="I486" s="3" t="str">
        <f t="shared" si="45"/>
        <v/>
      </c>
      <c r="J486" s="3" t="str">
        <f>IFERROR(IF(INDEX('04_PRODUCTOS'!$D$2:$D$501,MATCH(F486,'04_PRODUCTOS'!$B$2:$B$501,0))="","",I486-(G486*INDEX('04_PRODUCTOS'!$D$2:$D$501,MATCH(F486,'04_PRODUCTOS'!$B$2:$B$501,0)))),"")</f>
        <v/>
      </c>
      <c r="K486" s="7" t="str">
        <f t="shared" si="46"/>
        <v/>
      </c>
      <c r="O486" t="str">
        <f>IF(D486="","",IFERROR(INDEX('03_CLIENTES'!$A$2:$A$501,MATCH(D486,'03_CLIENTES'!$B$2:$B$501,0)),""))</f>
        <v/>
      </c>
      <c r="P486" t="str">
        <f>IF(F486="","",IFERROR(INDEX('04_PRODUCTOS'!$A$2:$A$501,MATCH(F486,'04_PRODUCTOS'!$B$2:$B$501,0)),""))</f>
        <v/>
      </c>
      <c r="Q486" t="str">
        <f t="shared" si="47"/>
        <v/>
      </c>
    </row>
    <row r="487" spans="1:17" x14ac:dyDescent="0.25">
      <c r="A487" t="str">
        <f t="shared" si="42"/>
        <v/>
      </c>
      <c r="B487" s="4" t="str">
        <f t="shared" ca="1" si="43"/>
        <v/>
      </c>
      <c r="C487" s="5" t="str">
        <f t="shared" ca="1" si="44"/>
        <v/>
      </c>
      <c r="G487" s="6"/>
      <c r="H487" s="3" t="str">
        <f>IFERROR(IF(E487="Mayorista",IF(INDEX('04_PRODUCTOS'!$F$2:$F$501,MATCH(F487,'04_PRODUCTOS'!$B$2:$B$501,0))="",INDEX('04_PRODUCTOS'!$E$2:$E$501,MATCH(F487,'04_PRODUCTOS'!$B$2:$B$501,0)),INDEX('04_PRODUCTOS'!$F$2:$F$501,MATCH(F487,'04_PRODUCTOS'!$B$2:$B$501,0))),IF(E487="Especial",IF(INDEX('04_PRODUCTOS'!$G$2:$G$501,MATCH(F487,'04_PRODUCTOS'!$B$2:$B$501,0))="",INDEX('04_PRODUCTOS'!$E$2:$E$501,MATCH(F487,'04_PRODUCTOS'!$B$2:$B$501,0)),INDEX('04_PRODUCTOS'!$G$2:$G$501,MATCH(F487,'04_PRODUCTOS'!$B$2:$B$501,0))),INDEX('04_PRODUCTOS'!$E$2:$E$501,MATCH(F487,'04_PRODUCTOS'!$B$2:$B$501,0)))),"")</f>
        <v/>
      </c>
      <c r="I487" s="3" t="str">
        <f t="shared" si="45"/>
        <v/>
      </c>
      <c r="J487" s="3" t="str">
        <f>IFERROR(IF(INDEX('04_PRODUCTOS'!$D$2:$D$501,MATCH(F487,'04_PRODUCTOS'!$B$2:$B$501,0))="","",I487-(G487*INDEX('04_PRODUCTOS'!$D$2:$D$501,MATCH(F487,'04_PRODUCTOS'!$B$2:$B$501,0)))),"")</f>
        <v/>
      </c>
      <c r="K487" s="7" t="str">
        <f t="shared" si="46"/>
        <v/>
      </c>
      <c r="O487" t="str">
        <f>IF(D487="","",IFERROR(INDEX('03_CLIENTES'!$A$2:$A$501,MATCH(D487,'03_CLIENTES'!$B$2:$B$501,0)),""))</f>
        <v/>
      </c>
      <c r="P487" t="str">
        <f>IF(F487="","",IFERROR(INDEX('04_PRODUCTOS'!$A$2:$A$501,MATCH(F487,'04_PRODUCTOS'!$B$2:$B$501,0)),""))</f>
        <v/>
      </c>
      <c r="Q487" t="str">
        <f t="shared" si="47"/>
        <v/>
      </c>
    </row>
    <row r="488" spans="1:17" x14ac:dyDescent="0.25">
      <c r="A488" t="str">
        <f t="shared" si="42"/>
        <v/>
      </c>
      <c r="B488" s="4" t="str">
        <f t="shared" ca="1" si="43"/>
        <v/>
      </c>
      <c r="C488" s="5" t="str">
        <f t="shared" ca="1" si="44"/>
        <v/>
      </c>
      <c r="G488" s="6"/>
      <c r="H488" s="3" t="str">
        <f>IFERROR(IF(E488="Mayorista",IF(INDEX('04_PRODUCTOS'!$F$2:$F$501,MATCH(F488,'04_PRODUCTOS'!$B$2:$B$501,0))="",INDEX('04_PRODUCTOS'!$E$2:$E$501,MATCH(F488,'04_PRODUCTOS'!$B$2:$B$501,0)),INDEX('04_PRODUCTOS'!$F$2:$F$501,MATCH(F488,'04_PRODUCTOS'!$B$2:$B$501,0))),IF(E488="Especial",IF(INDEX('04_PRODUCTOS'!$G$2:$G$501,MATCH(F488,'04_PRODUCTOS'!$B$2:$B$501,0))="",INDEX('04_PRODUCTOS'!$E$2:$E$501,MATCH(F488,'04_PRODUCTOS'!$B$2:$B$501,0)),INDEX('04_PRODUCTOS'!$G$2:$G$501,MATCH(F488,'04_PRODUCTOS'!$B$2:$B$501,0))),INDEX('04_PRODUCTOS'!$E$2:$E$501,MATCH(F488,'04_PRODUCTOS'!$B$2:$B$501,0)))),"")</f>
        <v/>
      </c>
      <c r="I488" s="3" t="str">
        <f t="shared" si="45"/>
        <v/>
      </c>
      <c r="J488" s="3" t="str">
        <f>IFERROR(IF(INDEX('04_PRODUCTOS'!$D$2:$D$501,MATCH(F488,'04_PRODUCTOS'!$B$2:$B$501,0))="","",I488-(G488*INDEX('04_PRODUCTOS'!$D$2:$D$501,MATCH(F488,'04_PRODUCTOS'!$B$2:$B$501,0)))),"")</f>
        <v/>
      </c>
      <c r="K488" s="7" t="str">
        <f t="shared" si="46"/>
        <v/>
      </c>
      <c r="O488" t="str">
        <f>IF(D488="","",IFERROR(INDEX('03_CLIENTES'!$A$2:$A$501,MATCH(D488,'03_CLIENTES'!$B$2:$B$501,0)),""))</f>
        <v/>
      </c>
      <c r="P488" t="str">
        <f>IF(F488="","",IFERROR(INDEX('04_PRODUCTOS'!$A$2:$A$501,MATCH(F488,'04_PRODUCTOS'!$B$2:$B$501,0)),""))</f>
        <v/>
      </c>
      <c r="Q488" t="str">
        <f t="shared" si="47"/>
        <v/>
      </c>
    </row>
    <row r="489" spans="1:17" x14ac:dyDescent="0.25">
      <c r="A489" t="str">
        <f t="shared" si="42"/>
        <v/>
      </c>
      <c r="B489" s="4" t="str">
        <f t="shared" ca="1" si="43"/>
        <v/>
      </c>
      <c r="C489" s="5" t="str">
        <f t="shared" ca="1" si="44"/>
        <v/>
      </c>
      <c r="G489" s="6"/>
      <c r="H489" s="3" t="str">
        <f>IFERROR(IF(E489="Mayorista",IF(INDEX('04_PRODUCTOS'!$F$2:$F$501,MATCH(F489,'04_PRODUCTOS'!$B$2:$B$501,0))="",INDEX('04_PRODUCTOS'!$E$2:$E$501,MATCH(F489,'04_PRODUCTOS'!$B$2:$B$501,0)),INDEX('04_PRODUCTOS'!$F$2:$F$501,MATCH(F489,'04_PRODUCTOS'!$B$2:$B$501,0))),IF(E489="Especial",IF(INDEX('04_PRODUCTOS'!$G$2:$G$501,MATCH(F489,'04_PRODUCTOS'!$B$2:$B$501,0))="",INDEX('04_PRODUCTOS'!$E$2:$E$501,MATCH(F489,'04_PRODUCTOS'!$B$2:$B$501,0)),INDEX('04_PRODUCTOS'!$G$2:$G$501,MATCH(F489,'04_PRODUCTOS'!$B$2:$B$501,0))),INDEX('04_PRODUCTOS'!$E$2:$E$501,MATCH(F489,'04_PRODUCTOS'!$B$2:$B$501,0)))),"")</f>
        <v/>
      </c>
      <c r="I489" s="3" t="str">
        <f t="shared" si="45"/>
        <v/>
      </c>
      <c r="J489" s="3" t="str">
        <f>IFERROR(IF(INDEX('04_PRODUCTOS'!$D$2:$D$501,MATCH(F489,'04_PRODUCTOS'!$B$2:$B$501,0))="","",I489-(G489*INDEX('04_PRODUCTOS'!$D$2:$D$501,MATCH(F489,'04_PRODUCTOS'!$B$2:$B$501,0)))),"")</f>
        <v/>
      </c>
      <c r="K489" s="7" t="str">
        <f t="shared" si="46"/>
        <v/>
      </c>
      <c r="O489" t="str">
        <f>IF(D489="","",IFERROR(INDEX('03_CLIENTES'!$A$2:$A$501,MATCH(D489,'03_CLIENTES'!$B$2:$B$501,0)),""))</f>
        <v/>
      </c>
      <c r="P489" t="str">
        <f>IF(F489="","",IFERROR(INDEX('04_PRODUCTOS'!$A$2:$A$501,MATCH(F489,'04_PRODUCTOS'!$B$2:$B$501,0)),""))</f>
        <v/>
      </c>
      <c r="Q489" t="str">
        <f t="shared" si="47"/>
        <v/>
      </c>
    </row>
    <row r="490" spans="1:17" x14ac:dyDescent="0.25">
      <c r="A490" t="str">
        <f t="shared" si="42"/>
        <v/>
      </c>
      <c r="B490" s="4" t="str">
        <f t="shared" ca="1" si="43"/>
        <v/>
      </c>
      <c r="C490" s="5" t="str">
        <f t="shared" ca="1" si="44"/>
        <v/>
      </c>
      <c r="G490" s="6"/>
      <c r="H490" s="3" t="str">
        <f>IFERROR(IF(E490="Mayorista",IF(INDEX('04_PRODUCTOS'!$F$2:$F$501,MATCH(F490,'04_PRODUCTOS'!$B$2:$B$501,0))="",INDEX('04_PRODUCTOS'!$E$2:$E$501,MATCH(F490,'04_PRODUCTOS'!$B$2:$B$501,0)),INDEX('04_PRODUCTOS'!$F$2:$F$501,MATCH(F490,'04_PRODUCTOS'!$B$2:$B$501,0))),IF(E490="Especial",IF(INDEX('04_PRODUCTOS'!$G$2:$G$501,MATCH(F490,'04_PRODUCTOS'!$B$2:$B$501,0))="",INDEX('04_PRODUCTOS'!$E$2:$E$501,MATCH(F490,'04_PRODUCTOS'!$B$2:$B$501,0)),INDEX('04_PRODUCTOS'!$G$2:$G$501,MATCH(F490,'04_PRODUCTOS'!$B$2:$B$501,0))),INDEX('04_PRODUCTOS'!$E$2:$E$501,MATCH(F490,'04_PRODUCTOS'!$B$2:$B$501,0)))),"")</f>
        <v/>
      </c>
      <c r="I490" s="3" t="str">
        <f t="shared" si="45"/>
        <v/>
      </c>
      <c r="J490" s="3" t="str">
        <f>IFERROR(IF(INDEX('04_PRODUCTOS'!$D$2:$D$501,MATCH(F490,'04_PRODUCTOS'!$B$2:$B$501,0))="","",I490-(G490*INDEX('04_PRODUCTOS'!$D$2:$D$501,MATCH(F490,'04_PRODUCTOS'!$B$2:$B$501,0)))),"")</f>
        <v/>
      </c>
      <c r="K490" s="7" t="str">
        <f t="shared" si="46"/>
        <v/>
      </c>
      <c r="O490" t="str">
        <f>IF(D490="","",IFERROR(INDEX('03_CLIENTES'!$A$2:$A$501,MATCH(D490,'03_CLIENTES'!$B$2:$B$501,0)),""))</f>
        <v/>
      </c>
      <c r="P490" t="str">
        <f>IF(F490="","",IFERROR(INDEX('04_PRODUCTOS'!$A$2:$A$501,MATCH(F490,'04_PRODUCTOS'!$B$2:$B$501,0)),""))</f>
        <v/>
      </c>
      <c r="Q490" t="str">
        <f t="shared" si="47"/>
        <v/>
      </c>
    </row>
    <row r="491" spans="1:17" x14ac:dyDescent="0.25">
      <c r="A491" t="str">
        <f t="shared" si="42"/>
        <v/>
      </c>
      <c r="B491" s="4" t="str">
        <f t="shared" ca="1" si="43"/>
        <v/>
      </c>
      <c r="C491" s="5" t="str">
        <f t="shared" ca="1" si="44"/>
        <v/>
      </c>
      <c r="G491" s="6"/>
      <c r="H491" s="3" t="str">
        <f>IFERROR(IF(E491="Mayorista",IF(INDEX('04_PRODUCTOS'!$F$2:$F$501,MATCH(F491,'04_PRODUCTOS'!$B$2:$B$501,0))="",INDEX('04_PRODUCTOS'!$E$2:$E$501,MATCH(F491,'04_PRODUCTOS'!$B$2:$B$501,0)),INDEX('04_PRODUCTOS'!$F$2:$F$501,MATCH(F491,'04_PRODUCTOS'!$B$2:$B$501,0))),IF(E491="Especial",IF(INDEX('04_PRODUCTOS'!$G$2:$G$501,MATCH(F491,'04_PRODUCTOS'!$B$2:$B$501,0))="",INDEX('04_PRODUCTOS'!$E$2:$E$501,MATCH(F491,'04_PRODUCTOS'!$B$2:$B$501,0)),INDEX('04_PRODUCTOS'!$G$2:$G$501,MATCH(F491,'04_PRODUCTOS'!$B$2:$B$501,0))),INDEX('04_PRODUCTOS'!$E$2:$E$501,MATCH(F491,'04_PRODUCTOS'!$B$2:$B$501,0)))),"")</f>
        <v/>
      </c>
      <c r="I491" s="3" t="str">
        <f t="shared" si="45"/>
        <v/>
      </c>
      <c r="J491" s="3" t="str">
        <f>IFERROR(IF(INDEX('04_PRODUCTOS'!$D$2:$D$501,MATCH(F491,'04_PRODUCTOS'!$B$2:$B$501,0))="","",I491-(G491*INDEX('04_PRODUCTOS'!$D$2:$D$501,MATCH(F491,'04_PRODUCTOS'!$B$2:$B$501,0)))),"")</f>
        <v/>
      </c>
      <c r="K491" s="7" t="str">
        <f t="shared" si="46"/>
        <v/>
      </c>
      <c r="O491" t="str">
        <f>IF(D491="","",IFERROR(INDEX('03_CLIENTES'!$A$2:$A$501,MATCH(D491,'03_CLIENTES'!$B$2:$B$501,0)),""))</f>
        <v/>
      </c>
      <c r="P491" t="str">
        <f>IF(F491="","",IFERROR(INDEX('04_PRODUCTOS'!$A$2:$A$501,MATCH(F491,'04_PRODUCTOS'!$B$2:$B$501,0)),""))</f>
        <v/>
      </c>
      <c r="Q491" t="str">
        <f t="shared" si="47"/>
        <v/>
      </c>
    </row>
    <row r="492" spans="1:17" x14ac:dyDescent="0.25">
      <c r="A492" t="str">
        <f t="shared" si="42"/>
        <v/>
      </c>
      <c r="B492" s="4" t="str">
        <f t="shared" ca="1" si="43"/>
        <v/>
      </c>
      <c r="C492" s="5" t="str">
        <f t="shared" ca="1" si="44"/>
        <v/>
      </c>
      <c r="G492" s="6"/>
      <c r="H492" s="3" t="str">
        <f>IFERROR(IF(E492="Mayorista",IF(INDEX('04_PRODUCTOS'!$F$2:$F$501,MATCH(F492,'04_PRODUCTOS'!$B$2:$B$501,0))="",INDEX('04_PRODUCTOS'!$E$2:$E$501,MATCH(F492,'04_PRODUCTOS'!$B$2:$B$501,0)),INDEX('04_PRODUCTOS'!$F$2:$F$501,MATCH(F492,'04_PRODUCTOS'!$B$2:$B$501,0))),IF(E492="Especial",IF(INDEX('04_PRODUCTOS'!$G$2:$G$501,MATCH(F492,'04_PRODUCTOS'!$B$2:$B$501,0))="",INDEX('04_PRODUCTOS'!$E$2:$E$501,MATCH(F492,'04_PRODUCTOS'!$B$2:$B$501,0)),INDEX('04_PRODUCTOS'!$G$2:$G$501,MATCH(F492,'04_PRODUCTOS'!$B$2:$B$501,0))),INDEX('04_PRODUCTOS'!$E$2:$E$501,MATCH(F492,'04_PRODUCTOS'!$B$2:$B$501,0)))),"")</f>
        <v/>
      </c>
      <c r="I492" s="3" t="str">
        <f t="shared" si="45"/>
        <v/>
      </c>
      <c r="J492" s="3" t="str">
        <f>IFERROR(IF(INDEX('04_PRODUCTOS'!$D$2:$D$501,MATCH(F492,'04_PRODUCTOS'!$B$2:$B$501,0))="","",I492-(G492*INDEX('04_PRODUCTOS'!$D$2:$D$501,MATCH(F492,'04_PRODUCTOS'!$B$2:$B$501,0)))),"")</f>
        <v/>
      </c>
      <c r="K492" s="7" t="str">
        <f t="shared" si="46"/>
        <v/>
      </c>
      <c r="O492" t="str">
        <f>IF(D492="","",IFERROR(INDEX('03_CLIENTES'!$A$2:$A$501,MATCH(D492,'03_CLIENTES'!$B$2:$B$501,0)),""))</f>
        <v/>
      </c>
      <c r="P492" t="str">
        <f>IF(F492="","",IFERROR(INDEX('04_PRODUCTOS'!$A$2:$A$501,MATCH(F492,'04_PRODUCTOS'!$B$2:$B$501,0)),""))</f>
        <v/>
      </c>
      <c r="Q492" t="str">
        <f t="shared" si="47"/>
        <v/>
      </c>
    </row>
    <row r="493" spans="1:17" x14ac:dyDescent="0.25">
      <c r="A493" t="str">
        <f t="shared" si="42"/>
        <v/>
      </c>
      <c r="B493" s="4" t="str">
        <f t="shared" ca="1" si="43"/>
        <v/>
      </c>
      <c r="C493" s="5" t="str">
        <f t="shared" ca="1" si="44"/>
        <v/>
      </c>
      <c r="G493" s="6"/>
      <c r="H493" s="3" t="str">
        <f>IFERROR(IF(E493="Mayorista",IF(INDEX('04_PRODUCTOS'!$F$2:$F$501,MATCH(F493,'04_PRODUCTOS'!$B$2:$B$501,0))="",INDEX('04_PRODUCTOS'!$E$2:$E$501,MATCH(F493,'04_PRODUCTOS'!$B$2:$B$501,0)),INDEX('04_PRODUCTOS'!$F$2:$F$501,MATCH(F493,'04_PRODUCTOS'!$B$2:$B$501,0))),IF(E493="Especial",IF(INDEX('04_PRODUCTOS'!$G$2:$G$501,MATCH(F493,'04_PRODUCTOS'!$B$2:$B$501,0))="",INDEX('04_PRODUCTOS'!$E$2:$E$501,MATCH(F493,'04_PRODUCTOS'!$B$2:$B$501,0)),INDEX('04_PRODUCTOS'!$G$2:$G$501,MATCH(F493,'04_PRODUCTOS'!$B$2:$B$501,0))),INDEX('04_PRODUCTOS'!$E$2:$E$501,MATCH(F493,'04_PRODUCTOS'!$B$2:$B$501,0)))),"")</f>
        <v/>
      </c>
      <c r="I493" s="3" t="str">
        <f t="shared" si="45"/>
        <v/>
      </c>
      <c r="J493" s="3" t="str">
        <f>IFERROR(IF(INDEX('04_PRODUCTOS'!$D$2:$D$501,MATCH(F493,'04_PRODUCTOS'!$B$2:$B$501,0))="","",I493-(G493*INDEX('04_PRODUCTOS'!$D$2:$D$501,MATCH(F493,'04_PRODUCTOS'!$B$2:$B$501,0)))),"")</f>
        <v/>
      </c>
      <c r="K493" s="7" t="str">
        <f t="shared" si="46"/>
        <v/>
      </c>
      <c r="O493" t="str">
        <f>IF(D493="","",IFERROR(INDEX('03_CLIENTES'!$A$2:$A$501,MATCH(D493,'03_CLIENTES'!$B$2:$B$501,0)),""))</f>
        <v/>
      </c>
      <c r="P493" t="str">
        <f>IF(F493="","",IFERROR(INDEX('04_PRODUCTOS'!$A$2:$A$501,MATCH(F493,'04_PRODUCTOS'!$B$2:$B$501,0)),""))</f>
        <v/>
      </c>
      <c r="Q493" t="str">
        <f t="shared" si="47"/>
        <v/>
      </c>
    </row>
    <row r="494" spans="1:17" x14ac:dyDescent="0.25">
      <c r="A494" t="str">
        <f t="shared" si="42"/>
        <v/>
      </c>
      <c r="B494" s="4" t="str">
        <f t="shared" ca="1" si="43"/>
        <v/>
      </c>
      <c r="C494" s="5" t="str">
        <f t="shared" ca="1" si="44"/>
        <v/>
      </c>
      <c r="G494" s="6"/>
      <c r="H494" s="3" t="str">
        <f>IFERROR(IF(E494="Mayorista",IF(INDEX('04_PRODUCTOS'!$F$2:$F$501,MATCH(F494,'04_PRODUCTOS'!$B$2:$B$501,0))="",INDEX('04_PRODUCTOS'!$E$2:$E$501,MATCH(F494,'04_PRODUCTOS'!$B$2:$B$501,0)),INDEX('04_PRODUCTOS'!$F$2:$F$501,MATCH(F494,'04_PRODUCTOS'!$B$2:$B$501,0))),IF(E494="Especial",IF(INDEX('04_PRODUCTOS'!$G$2:$G$501,MATCH(F494,'04_PRODUCTOS'!$B$2:$B$501,0))="",INDEX('04_PRODUCTOS'!$E$2:$E$501,MATCH(F494,'04_PRODUCTOS'!$B$2:$B$501,0)),INDEX('04_PRODUCTOS'!$G$2:$G$501,MATCH(F494,'04_PRODUCTOS'!$B$2:$B$501,0))),INDEX('04_PRODUCTOS'!$E$2:$E$501,MATCH(F494,'04_PRODUCTOS'!$B$2:$B$501,0)))),"")</f>
        <v/>
      </c>
      <c r="I494" s="3" t="str">
        <f t="shared" si="45"/>
        <v/>
      </c>
      <c r="J494" s="3" t="str">
        <f>IFERROR(IF(INDEX('04_PRODUCTOS'!$D$2:$D$501,MATCH(F494,'04_PRODUCTOS'!$B$2:$B$501,0))="","",I494-(G494*INDEX('04_PRODUCTOS'!$D$2:$D$501,MATCH(F494,'04_PRODUCTOS'!$B$2:$B$501,0)))),"")</f>
        <v/>
      </c>
      <c r="K494" s="7" t="str">
        <f t="shared" si="46"/>
        <v/>
      </c>
      <c r="O494" t="str">
        <f>IF(D494="","",IFERROR(INDEX('03_CLIENTES'!$A$2:$A$501,MATCH(D494,'03_CLIENTES'!$B$2:$B$501,0)),""))</f>
        <v/>
      </c>
      <c r="P494" t="str">
        <f>IF(F494="","",IFERROR(INDEX('04_PRODUCTOS'!$A$2:$A$501,MATCH(F494,'04_PRODUCTOS'!$B$2:$B$501,0)),""))</f>
        <v/>
      </c>
      <c r="Q494" t="str">
        <f t="shared" si="47"/>
        <v/>
      </c>
    </row>
    <row r="495" spans="1:17" x14ac:dyDescent="0.25">
      <c r="A495" t="str">
        <f t="shared" si="42"/>
        <v/>
      </c>
      <c r="B495" s="4" t="str">
        <f t="shared" ca="1" si="43"/>
        <v/>
      </c>
      <c r="C495" s="5" t="str">
        <f t="shared" ca="1" si="44"/>
        <v/>
      </c>
      <c r="G495" s="6"/>
      <c r="H495" s="3" t="str">
        <f>IFERROR(IF(E495="Mayorista",IF(INDEX('04_PRODUCTOS'!$F$2:$F$501,MATCH(F495,'04_PRODUCTOS'!$B$2:$B$501,0))="",INDEX('04_PRODUCTOS'!$E$2:$E$501,MATCH(F495,'04_PRODUCTOS'!$B$2:$B$501,0)),INDEX('04_PRODUCTOS'!$F$2:$F$501,MATCH(F495,'04_PRODUCTOS'!$B$2:$B$501,0))),IF(E495="Especial",IF(INDEX('04_PRODUCTOS'!$G$2:$G$501,MATCH(F495,'04_PRODUCTOS'!$B$2:$B$501,0))="",INDEX('04_PRODUCTOS'!$E$2:$E$501,MATCH(F495,'04_PRODUCTOS'!$B$2:$B$501,0)),INDEX('04_PRODUCTOS'!$G$2:$G$501,MATCH(F495,'04_PRODUCTOS'!$B$2:$B$501,0))),INDEX('04_PRODUCTOS'!$E$2:$E$501,MATCH(F495,'04_PRODUCTOS'!$B$2:$B$501,0)))),"")</f>
        <v/>
      </c>
      <c r="I495" s="3" t="str">
        <f t="shared" si="45"/>
        <v/>
      </c>
      <c r="J495" s="3" t="str">
        <f>IFERROR(IF(INDEX('04_PRODUCTOS'!$D$2:$D$501,MATCH(F495,'04_PRODUCTOS'!$B$2:$B$501,0))="","",I495-(G495*INDEX('04_PRODUCTOS'!$D$2:$D$501,MATCH(F495,'04_PRODUCTOS'!$B$2:$B$501,0)))),"")</f>
        <v/>
      </c>
      <c r="K495" s="7" t="str">
        <f t="shared" si="46"/>
        <v/>
      </c>
      <c r="O495" t="str">
        <f>IF(D495="","",IFERROR(INDEX('03_CLIENTES'!$A$2:$A$501,MATCH(D495,'03_CLIENTES'!$B$2:$B$501,0)),""))</f>
        <v/>
      </c>
      <c r="P495" t="str">
        <f>IF(F495="","",IFERROR(INDEX('04_PRODUCTOS'!$A$2:$A$501,MATCH(F495,'04_PRODUCTOS'!$B$2:$B$501,0)),""))</f>
        <v/>
      </c>
      <c r="Q495" t="str">
        <f t="shared" si="47"/>
        <v/>
      </c>
    </row>
    <row r="496" spans="1:17" x14ac:dyDescent="0.25">
      <c r="A496" t="str">
        <f t="shared" si="42"/>
        <v/>
      </c>
      <c r="B496" s="4" t="str">
        <f t="shared" ca="1" si="43"/>
        <v/>
      </c>
      <c r="C496" s="5" t="str">
        <f t="shared" ca="1" si="44"/>
        <v/>
      </c>
      <c r="G496" s="6"/>
      <c r="H496" s="3" t="str">
        <f>IFERROR(IF(E496="Mayorista",IF(INDEX('04_PRODUCTOS'!$F$2:$F$501,MATCH(F496,'04_PRODUCTOS'!$B$2:$B$501,0))="",INDEX('04_PRODUCTOS'!$E$2:$E$501,MATCH(F496,'04_PRODUCTOS'!$B$2:$B$501,0)),INDEX('04_PRODUCTOS'!$F$2:$F$501,MATCH(F496,'04_PRODUCTOS'!$B$2:$B$501,0))),IF(E496="Especial",IF(INDEX('04_PRODUCTOS'!$G$2:$G$501,MATCH(F496,'04_PRODUCTOS'!$B$2:$B$501,0))="",INDEX('04_PRODUCTOS'!$E$2:$E$501,MATCH(F496,'04_PRODUCTOS'!$B$2:$B$501,0)),INDEX('04_PRODUCTOS'!$G$2:$G$501,MATCH(F496,'04_PRODUCTOS'!$B$2:$B$501,0))),INDEX('04_PRODUCTOS'!$E$2:$E$501,MATCH(F496,'04_PRODUCTOS'!$B$2:$B$501,0)))),"")</f>
        <v/>
      </c>
      <c r="I496" s="3" t="str">
        <f t="shared" si="45"/>
        <v/>
      </c>
      <c r="J496" s="3" t="str">
        <f>IFERROR(IF(INDEX('04_PRODUCTOS'!$D$2:$D$501,MATCH(F496,'04_PRODUCTOS'!$B$2:$B$501,0))="","",I496-(G496*INDEX('04_PRODUCTOS'!$D$2:$D$501,MATCH(F496,'04_PRODUCTOS'!$B$2:$B$501,0)))),"")</f>
        <v/>
      </c>
      <c r="K496" s="7" t="str">
        <f t="shared" si="46"/>
        <v/>
      </c>
      <c r="O496" t="str">
        <f>IF(D496="","",IFERROR(INDEX('03_CLIENTES'!$A$2:$A$501,MATCH(D496,'03_CLIENTES'!$B$2:$B$501,0)),""))</f>
        <v/>
      </c>
      <c r="P496" t="str">
        <f>IF(F496="","",IFERROR(INDEX('04_PRODUCTOS'!$A$2:$A$501,MATCH(F496,'04_PRODUCTOS'!$B$2:$B$501,0)),""))</f>
        <v/>
      </c>
      <c r="Q496" t="str">
        <f t="shared" si="47"/>
        <v/>
      </c>
    </row>
    <row r="497" spans="1:17" x14ac:dyDescent="0.25">
      <c r="A497" t="str">
        <f t="shared" si="42"/>
        <v/>
      </c>
      <c r="B497" s="4" t="str">
        <f t="shared" ca="1" si="43"/>
        <v/>
      </c>
      <c r="C497" s="5" t="str">
        <f t="shared" ca="1" si="44"/>
        <v/>
      </c>
      <c r="G497" s="6"/>
      <c r="H497" s="3" t="str">
        <f>IFERROR(IF(E497="Mayorista",IF(INDEX('04_PRODUCTOS'!$F$2:$F$501,MATCH(F497,'04_PRODUCTOS'!$B$2:$B$501,0))="",INDEX('04_PRODUCTOS'!$E$2:$E$501,MATCH(F497,'04_PRODUCTOS'!$B$2:$B$501,0)),INDEX('04_PRODUCTOS'!$F$2:$F$501,MATCH(F497,'04_PRODUCTOS'!$B$2:$B$501,0))),IF(E497="Especial",IF(INDEX('04_PRODUCTOS'!$G$2:$G$501,MATCH(F497,'04_PRODUCTOS'!$B$2:$B$501,0))="",INDEX('04_PRODUCTOS'!$E$2:$E$501,MATCH(F497,'04_PRODUCTOS'!$B$2:$B$501,0)),INDEX('04_PRODUCTOS'!$G$2:$G$501,MATCH(F497,'04_PRODUCTOS'!$B$2:$B$501,0))),INDEX('04_PRODUCTOS'!$E$2:$E$501,MATCH(F497,'04_PRODUCTOS'!$B$2:$B$501,0)))),"")</f>
        <v/>
      </c>
      <c r="I497" s="3" t="str">
        <f t="shared" si="45"/>
        <v/>
      </c>
      <c r="J497" s="3" t="str">
        <f>IFERROR(IF(INDEX('04_PRODUCTOS'!$D$2:$D$501,MATCH(F497,'04_PRODUCTOS'!$B$2:$B$501,0))="","",I497-(G497*INDEX('04_PRODUCTOS'!$D$2:$D$501,MATCH(F497,'04_PRODUCTOS'!$B$2:$B$501,0)))),"")</f>
        <v/>
      </c>
      <c r="K497" s="7" t="str">
        <f t="shared" si="46"/>
        <v/>
      </c>
      <c r="O497" t="str">
        <f>IF(D497="","",IFERROR(INDEX('03_CLIENTES'!$A$2:$A$501,MATCH(D497,'03_CLIENTES'!$B$2:$B$501,0)),""))</f>
        <v/>
      </c>
      <c r="P497" t="str">
        <f>IF(F497="","",IFERROR(INDEX('04_PRODUCTOS'!$A$2:$A$501,MATCH(F497,'04_PRODUCTOS'!$B$2:$B$501,0)),""))</f>
        <v/>
      </c>
      <c r="Q497" t="str">
        <f t="shared" si="47"/>
        <v/>
      </c>
    </row>
    <row r="498" spans="1:17" x14ac:dyDescent="0.25">
      <c r="A498" t="str">
        <f t="shared" si="42"/>
        <v/>
      </c>
      <c r="B498" s="4" t="str">
        <f t="shared" ca="1" si="43"/>
        <v/>
      </c>
      <c r="C498" s="5" t="str">
        <f t="shared" ca="1" si="44"/>
        <v/>
      </c>
      <c r="G498" s="6"/>
      <c r="H498" s="3" t="str">
        <f>IFERROR(IF(E498="Mayorista",IF(INDEX('04_PRODUCTOS'!$F$2:$F$501,MATCH(F498,'04_PRODUCTOS'!$B$2:$B$501,0))="",INDEX('04_PRODUCTOS'!$E$2:$E$501,MATCH(F498,'04_PRODUCTOS'!$B$2:$B$501,0)),INDEX('04_PRODUCTOS'!$F$2:$F$501,MATCH(F498,'04_PRODUCTOS'!$B$2:$B$501,0))),IF(E498="Especial",IF(INDEX('04_PRODUCTOS'!$G$2:$G$501,MATCH(F498,'04_PRODUCTOS'!$B$2:$B$501,0))="",INDEX('04_PRODUCTOS'!$E$2:$E$501,MATCH(F498,'04_PRODUCTOS'!$B$2:$B$501,0)),INDEX('04_PRODUCTOS'!$G$2:$G$501,MATCH(F498,'04_PRODUCTOS'!$B$2:$B$501,0))),INDEX('04_PRODUCTOS'!$E$2:$E$501,MATCH(F498,'04_PRODUCTOS'!$B$2:$B$501,0)))),"")</f>
        <v/>
      </c>
      <c r="I498" s="3" t="str">
        <f t="shared" si="45"/>
        <v/>
      </c>
      <c r="J498" s="3" t="str">
        <f>IFERROR(IF(INDEX('04_PRODUCTOS'!$D$2:$D$501,MATCH(F498,'04_PRODUCTOS'!$B$2:$B$501,0))="","",I498-(G498*INDEX('04_PRODUCTOS'!$D$2:$D$501,MATCH(F498,'04_PRODUCTOS'!$B$2:$B$501,0)))),"")</f>
        <v/>
      </c>
      <c r="K498" s="7" t="str">
        <f t="shared" si="46"/>
        <v/>
      </c>
      <c r="O498" t="str">
        <f>IF(D498="","",IFERROR(INDEX('03_CLIENTES'!$A$2:$A$501,MATCH(D498,'03_CLIENTES'!$B$2:$B$501,0)),""))</f>
        <v/>
      </c>
      <c r="P498" t="str">
        <f>IF(F498="","",IFERROR(INDEX('04_PRODUCTOS'!$A$2:$A$501,MATCH(F498,'04_PRODUCTOS'!$B$2:$B$501,0)),""))</f>
        <v/>
      </c>
      <c r="Q498" t="str">
        <f t="shared" si="47"/>
        <v/>
      </c>
    </row>
    <row r="499" spans="1:17" x14ac:dyDescent="0.25">
      <c r="A499" t="str">
        <f t="shared" si="42"/>
        <v/>
      </c>
      <c r="B499" s="4" t="str">
        <f t="shared" ca="1" si="43"/>
        <v/>
      </c>
      <c r="C499" s="5" t="str">
        <f t="shared" ca="1" si="44"/>
        <v/>
      </c>
      <c r="G499" s="6"/>
      <c r="H499" s="3" t="str">
        <f>IFERROR(IF(E499="Mayorista",IF(INDEX('04_PRODUCTOS'!$F$2:$F$501,MATCH(F499,'04_PRODUCTOS'!$B$2:$B$501,0))="",INDEX('04_PRODUCTOS'!$E$2:$E$501,MATCH(F499,'04_PRODUCTOS'!$B$2:$B$501,0)),INDEX('04_PRODUCTOS'!$F$2:$F$501,MATCH(F499,'04_PRODUCTOS'!$B$2:$B$501,0))),IF(E499="Especial",IF(INDEX('04_PRODUCTOS'!$G$2:$G$501,MATCH(F499,'04_PRODUCTOS'!$B$2:$B$501,0))="",INDEX('04_PRODUCTOS'!$E$2:$E$501,MATCH(F499,'04_PRODUCTOS'!$B$2:$B$501,0)),INDEX('04_PRODUCTOS'!$G$2:$G$501,MATCH(F499,'04_PRODUCTOS'!$B$2:$B$501,0))),INDEX('04_PRODUCTOS'!$E$2:$E$501,MATCH(F499,'04_PRODUCTOS'!$B$2:$B$501,0)))),"")</f>
        <v/>
      </c>
      <c r="I499" s="3" t="str">
        <f t="shared" si="45"/>
        <v/>
      </c>
      <c r="J499" s="3" t="str">
        <f>IFERROR(IF(INDEX('04_PRODUCTOS'!$D$2:$D$501,MATCH(F499,'04_PRODUCTOS'!$B$2:$B$501,0))="","",I499-(G499*INDEX('04_PRODUCTOS'!$D$2:$D$501,MATCH(F499,'04_PRODUCTOS'!$B$2:$B$501,0)))),"")</f>
        <v/>
      </c>
      <c r="K499" s="7" t="str">
        <f t="shared" si="46"/>
        <v/>
      </c>
      <c r="O499" t="str">
        <f>IF(D499="","",IFERROR(INDEX('03_CLIENTES'!$A$2:$A$501,MATCH(D499,'03_CLIENTES'!$B$2:$B$501,0)),""))</f>
        <v/>
      </c>
      <c r="P499" t="str">
        <f>IF(F499="","",IFERROR(INDEX('04_PRODUCTOS'!$A$2:$A$501,MATCH(F499,'04_PRODUCTOS'!$B$2:$B$501,0)),""))</f>
        <v/>
      </c>
      <c r="Q499" t="str">
        <f t="shared" si="47"/>
        <v/>
      </c>
    </row>
    <row r="500" spans="1:17" x14ac:dyDescent="0.25">
      <c r="A500" t="str">
        <f t="shared" si="42"/>
        <v/>
      </c>
      <c r="B500" s="4" t="str">
        <f t="shared" ca="1" si="43"/>
        <v/>
      </c>
      <c r="C500" s="5" t="str">
        <f t="shared" ca="1" si="44"/>
        <v/>
      </c>
      <c r="G500" s="6"/>
      <c r="H500" s="3" t="str">
        <f>IFERROR(IF(E500="Mayorista",IF(INDEX('04_PRODUCTOS'!$F$2:$F$501,MATCH(F500,'04_PRODUCTOS'!$B$2:$B$501,0))="",INDEX('04_PRODUCTOS'!$E$2:$E$501,MATCH(F500,'04_PRODUCTOS'!$B$2:$B$501,0)),INDEX('04_PRODUCTOS'!$F$2:$F$501,MATCH(F500,'04_PRODUCTOS'!$B$2:$B$501,0))),IF(E500="Especial",IF(INDEX('04_PRODUCTOS'!$G$2:$G$501,MATCH(F500,'04_PRODUCTOS'!$B$2:$B$501,0))="",INDEX('04_PRODUCTOS'!$E$2:$E$501,MATCH(F500,'04_PRODUCTOS'!$B$2:$B$501,0)),INDEX('04_PRODUCTOS'!$G$2:$G$501,MATCH(F500,'04_PRODUCTOS'!$B$2:$B$501,0))),INDEX('04_PRODUCTOS'!$E$2:$E$501,MATCH(F500,'04_PRODUCTOS'!$B$2:$B$501,0)))),"")</f>
        <v/>
      </c>
      <c r="I500" s="3" t="str">
        <f t="shared" si="45"/>
        <v/>
      </c>
      <c r="J500" s="3" t="str">
        <f>IFERROR(IF(INDEX('04_PRODUCTOS'!$D$2:$D$501,MATCH(F500,'04_PRODUCTOS'!$B$2:$B$501,0))="","",I500-(G500*INDEX('04_PRODUCTOS'!$D$2:$D$501,MATCH(F500,'04_PRODUCTOS'!$B$2:$B$501,0)))),"")</f>
        <v/>
      </c>
      <c r="K500" s="7" t="str">
        <f t="shared" si="46"/>
        <v/>
      </c>
      <c r="O500" t="str">
        <f>IF(D500="","",IFERROR(INDEX('03_CLIENTES'!$A$2:$A$501,MATCH(D500,'03_CLIENTES'!$B$2:$B$501,0)),""))</f>
        <v/>
      </c>
      <c r="P500" t="str">
        <f>IF(F500="","",IFERROR(INDEX('04_PRODUCTOS'!$A$2:$A$501,MATCH(F500,'04_PRODUCTOS'!$B$2:$B$501,0)),""))</f>
        <v/>
      </c>
      <c r="Q500" t="str">
        <f t="shared" si="47"/>
        <v/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Valor no válido" error="Seleccione un valor permitido." promptTitle="Carne Premium ERP" prompt="Seleccione un valor." xr:uid="{00000000-0002-0000-0500-000000000000}">
          <x14:formula1>
            <xm:f>'02_CATALOGOS'!$A$2:$A$4</xm:f>
          </x14:formula1>
          <xm:sqref>E2:E501</xm:sqref>
        </x14:dataValidation>
        <x14:dataValidation type="list" allowBlank="1" errorTitle="Valor no válido" error="Seleccione un valor permitido." promptTitle="Carne Premium ERP" prompt="Seleccione un valor." xr:uid="{00000000-0002-0000-0500-000001000000}">
          <x14:formula1>
            <xm:f>'02_CATALOGOS'!$C$2:$C$6</xm:f>
          </x14:formula1>
          <xm:sqref>L2:L501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9"/>
  <sheetViews>
    <sheetView workbookViewId="0">
      <selection sqref="A1:B1"/>
    </sheetView>
  </sheetViews>
  <sheetFormatPr baseColWidth="10" defaultColWidth="9.140625" defaultRowHeight="15" x14ac:dyDescent="0.25"/>
  <cols>
    <col min="1" max="1" width="30" customWidth="1"/>
    <col min="2" max="2" width="20" customWidth="1"/>
  </cols>
  <sheetData>
    <row r="1" spans="1:2" ht="21" x14ac:dyDescent="0.25">
      <c r="A1" s="9" t="s">
        <v>72</v>
      </c>
      <c r="B1" s="10"/>
    </row>
    <row r="3" spans="1:2" x14ac:dyDescent="0.25">
      <c r="A3" s="1" t="s">
        <v>73</v>
      </c>
      <c r="B3">
        <f>COUNTIF('05_VENTAS'!$A$2:$A$501,"&lt;&gt;")</f>
        <v>499</v>
      </c>
    </row>
    <row r="4" spans="1:2" x14ac:dyDescent="0.25">
      <c r="A4" s="1" t="s">
        <v>74</v>
      </c>
      <c r="B4" s="3">
        <f>SUM('05_VENTAS'!$I$2:$I$501)</f>
        <v>0</v>
      </c>
    </row>
    <row r="5" spans="1:2" x14ac:dyDescent="0.25">
      <c r="A5" s="1" t="s">
        <v>75</v>
      </c>
      <c r="B5" s="3">
        <f>SUM('05_VENTAS'!$J$2:$J$501)</f>
        <v>0</v>
      </c>
    </row>
    <row r="6" spans="1:2" x14ac:dyDescent="0.25">
      <c r="A6" s="1" t="s">
        <v>76</v>
      </c>
      <c r="B6" s="7" t="str">
        <f>IFERROR(B5/B4,"")</f>
        <v/>
      </c>
    </row>
    <row r="7" spans="1:2" x14ac:dyDescent="0.25">
      <c r="A7" s="1" t="s">
        <v>77</v>
      </c>
      <c r="B7" s="6">
        <f>SUM('05_VENTAS'!$G$2:$G$501)</f>
        <v>0</v>
      </c>
    </row>
    <row r="8" spans="1:2" x14ac:dyDescent="0.25">
      <c r="A8" s="1" t="s">
        <v>78</v>
      </c>
      <c r="B8" s="3">
        <f>IFERROR(B4/B3,"")</f>
        <v>0</v>
      </c>
    </row>
    <row r="9" spans="1:2" x14ac:dyDescent="0.25">
      <c r="A9" s="1" t="s">
        <v>79</v>
      </c>
      <c r="B9" s="3">
        <f>COUNTIF('05_VENTAS'!$Q$2:$Q$501,"&lt;&gt;OK")-COUNTIF('05_VENTAS'!$Q$2:$Q$501,"")</f>
        <v>0</v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6"/>
  <sheetViews>
    <sheetView workbookViewId="0"/>
  </sheetViews>
  <sheetFormatPr baseColWidth="10" defaultColWidth="9.140625" defaultRowHeight="15" x14ac:dyDescent="0.25"/>
  <cols>
    <col min="1" max="1" width="22" customWidth="1"/>
    <col min="2" max="2" width="65" customWidth="1"/>
  </cols>
  <sheetData>
    <row r="1" spans="1:2" x14ac:dyDescent="0.25">
      <c r="A1" s="2" t="s">
        <v>80</v>
      </c>
      <c r="B1" s="2" t="s">
        <v>18</v>
      </c>
    </row>
    <row r="2" spans="1:2" x14ac:dyDescent="0.25">
      <c r="A2" t="s">
        <v>81</v>
      </c>
      <c r="B2" t="s">
        <v>82</v>
      </c>
    </row>
    <row r="3" spans="1:2" x14ac:dyDescent="0.25">
      <c r="A3" t="s">
        <v>83</v>
      </c>
      <c r="B3" t="s">
        <v>84</v>
      </c>
    </row>
    <row r="4" spans="1:2" x14ac:dyDescent="0.25">
      <c r="A4" t="s">
        <v>14</v>
      </c>
      <c r="B4" t="s">
        <v>85</v>
      </c>
    </row>
    <row r="5" spans="1:2" x14ac:dyDescent="0.25">
      <c r="A5" t="s">
        <v>86</v>
      </c>
      <c r="B5" t="s">
        <v>87</v>
      </c>
    </row>
    <row r="6" spans="1:2" x14ac:dyDescent="0.25">
      <c r="A6" t="s">
        <v>88</v>
      </c>
      <c r="B6" t="s">
        <v>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8"/>
  <sheetViews>
    <sheetView tabSelected="1" workbookViewId="0"/>
  </sheetViews>
  <sheetFormatPr baseColWidth="10" defaultColWidth="9.140625" defaultRowHeight="15" x14ac:dyDescent="0.25"/>
  <cols>
    <col min="1" max="1" width="18.140625" bestFit="1" customWidth="1"/>
    <col min="4" max="4" width="30.28515625" bestFit="1" customWidth="1"/>
  </cols>
  <sheetData>
    <row r="1" spans="1:4" x14ac:dyDescent="0.25">
      <c r="A1" s="2" t="s">
        <v>54</v>
      </c>
      <c r="B1" s="2" t="s">
        <v>81</v>
      </c>
      <c r="C1" s="2" t="s">
        <v>90</v>
      </c>
      <c r="D1" s="2" t="s">
        <v>91</v>
      </c>
    </row>
    <row r="2" spans="1:4" x14ac:dyDescent="0.25">
      <c r="A2" s="8">
        <v>46260.817032858788</v>
      </c>
      <c r="B2" t="s">
        <v>92</v>
      </c>
      <c r="C2" t="s">
        <v>93</v>
      </c>
      <c r="D2" t="s">
        <v>94</v>
      </c>
    </row>
    <row r="3" spans="1:4" x14ac:dyDescent="0.25">
      <c r="A3" s="8">
        <v>46260.829812280092</v>
      </c>
      <c r="B3" t="s">
        <v>92</v>
      </c>
      <c r="C3" t="s">
        <v>93</v>
      </c>
      <c r="D3" t="s">
        <v>95</v>
      </c>
    </row>
    <row r="4" spans="1:4" x14ac:dyDescent="0.25">
      <c r="A4" s="8">
        <v>46265.453119467587</v>
      </c>
      <c r="B4" t="s">
        <v>96</v>
      </c>
      <c r="C4" t="s">
        <v>93</v>
      </c>
      <c r="D4" t="s">
        <v>97</v>
      </c>
    </row>
    <row r="5" spans="1:4" x14ac:dyDescent="0.25">
      <c r="A5" s="8">
        <v>46265.456439386573</v>
      </c>
      <c r="B5" t="s">
        <v>96</v>
      </c>
      <c r="C5" t="s">
        <v>93</v>
      </c>
      <c r="D5" t="s">
        <v>98</v>
      </c>
    </row>
    <row r="6" spans="1:4" x14ac:dyDescent="0.25">
      <c r="A6" s="8">
        <v>46266.485176875001</v>
      </c>
      <c r="B6" t="s">
        <v>96</v>
      </c>
      <c r="C6" t="s">
        <v>93</v>
      </c>
      <c r="D6" t="s">
        <v>99</v>
      </c>
    </row>
    <row r="7" spans="1:4" x14ac:dyDescent="0.25">
      <c r="A7" s="8">
        <v>46266.490779398147</v>
      </c>
      <c r="B7" t="s">
        <v>82</v>
      </c>
      <c r="C7" t="s">
        <v>93</v>
      </c>
      <c r="D7" t="s">
        <v>100</v>
      </c>
    </row>
    <row r="8" spans="1:4" x14ac:dyDescent="0.25">
      <c r="A8" s="8">
        <v>46267.807831562503</v>
      </c>
      <c r="B8" t="s">
        <v>82</v>
      </c>
      <c r="C8" t="s">
        <v>93</v>
      </c>
      <c r="D8" t="s">
        <v>101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50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16" customWidth="1"/>
    <col min="3" max="4" width="30" customWidth="1"/>
    <col min="5" max="5" width="18" customWidth="1"/>
    <col min="6" max="8" width="14" customWidth="1"/>
    <col min="9" max="9" width="12" customWidth="1"/>
    <col min="10" max="10" width="14" customWidth="1"/>
    <col min="11" max="11" width="12" customWidth="1"/>
  </cols>
  <sheetData>
    <row r="1" spans="1:11" x14ac:dyDescent="0.25">
      <c r="A1" s="2" t="s">
        <v>70</v>
      </c>
      <c r="B1" s="2" t="s">
        <v>46</v>
      </c>
      <c r="C1" s="2" t="s">
        <v>47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14</v>
      </c>
      <c r="K1" s="2" t="s">
        <v>108</v>
      </c>
    </row>
    <row r="2" spans="1:11" x14ac:dyDescent="0.25">
      <c r="E2" s="3"/>
      <c r="F2" s="7"/>
      <c r="G2" s="4"/>
      <c r="H2" s="4"/>
      <c r="I2" s="6"/>
    </row>
    <row r="3" spans="1:11" x14ac:dyDescent="0.25">
      <c r="E3" s="3"/>
      <c r="F3" s="7"/>
      <c r="G3" s="4"/>
      <c r="H3" s="4"/>
      <c r="I3" s="6"/>
    </row>
    <row r="4" spans="1:11" x14ac:dyDescent="0.25">
      <c r="E4" s="3"/>
      <c r="F4" s="7"/>
      <c r="G4" s="4"/>
      <c r="H4" s="4"/>
      <c r="I4" s="6"/>
    </row>
    <row r="5" spans="1:11" x14ac:dyDescent="0.25">
      <c r="E5" s="3"/>
      <c r="F5" s="7"/>
      <c r="G5" s="4"/>
      <c r="H5" s="4"/>
      <c r="I5" s="6"/>
    </row>
    <row r="6" spans="1:11" x14ac:dyDescent="0.25">
      <c r="E6" s="3"/>
      <c r="F6" s="7"/>
      <c r="G6" s="4"/>
      <c r="H6" s="4"/>
      <c r="I6" s="6"/>
    </row>
    <row r="7" spans="1:11" x14ac:dyDescent="0.25">
      <c r="E7" s="3"/>
      <c r="F7" s="7"/>
      <c r="G7" s="4"/>
      <c r="H7" s="4"/>
      <c r="I7" s="6"/>
    </row>
    <row r="8" spans="1:11" x14ac:dyDescent="0.25">
      <c r="E8" s="3"/>
      <c r="F8" s="7"/>
      <c r="G8" s="4"/>
      <c r="H8" s="4"/>
      <c r="I8" s="6"/>
    </row>
    <row r="9" spans="1:11" x14ac:dyDescent="0.25">
      <c r="E9" s="3"/>
      <c r="F9" s="7"/>
      <c r="G9" s="4"/>
      <c r="H9" s="4"/>
      <c r="I9" s="6"/>
    </row>
    <row r="10" spans="1:11" x14ac:dyDescent="0.25">
      <c r="E10" s="3"/>
      <c r="F10" s="7"/>
      <c r="G10" s="4"/>
      <c r="H10" s="4"/>
      <c r="I10" s="6"/>
    </row>
    <row r="11" spans="1:11" x14ac:dyDescent="0.25">
      <c r="E11" s="3"/>
      <c r="F11" s="7"/>
      <c r="G11" s="4"/>
      <c r="H11" s="4"/>
      <c r="I11" s="6"/>
    </row>
    <row r="12" spans="1:11" x14ac:dyDescent="0.25">
      <c r="E12" s="3"/>
      <c r="F12" s="7"/>
      <c r="G12" s="4"/>
      <c r="H12" s="4"/>
      <c r="I12" s="6"/>
    </row>
    <row r="13" spans="1:11" x14ac:dyDescent="0.25">
      <c r="E13" s="3"/>
      <c r="F13" s="7"/>
      <c r="G13" s="4"/>
      <c r="H13" s="4"/>
      <c r="I13" s="6"/>
    </row>
    <row r="14" spans="1:11" x14ac:dyDescent="0.25">
      <c r="E14" s="3"/>
      <c r="F14" s="7"/>
      <c r="G14" s="4"/>
      <c r="H14" s="4"/>
      <c r="I14" s="6"/>
    </row>
    <row r="15" spans="1:11" x14ac:dyDescent="0.25">
      <c r="E15" s="3"/>
      <c r="F15" s="7"/>
      <c r="G15" s="4"/>
      <c r="H15" s="4"/>
      <c r="I15" s="6"/>
    </row>
    <row r="16" spans="1:11" x14ac:dyDescent="0.25">
      <c r="E16" s="3"/>
      <c r="F16" s="7"/>
      <c r="G16" s="4"/>
      <c r="H16" s="4"/>
      <c r="I16" s="6"/>
    </row>
    <row r="17" spans="5:9" x14ac:dyDescent="0.25">
      <c r="E17" s="3"/>
      <c r="F17" s="7"/>
      <c r="G17" s="4"/>
      <c r="H17" s="4"/>
      <c r="I17" s="6"/>
    </row>
    <row r="18" spans="5:9" x14ac:dyDescent="0.25">
      <c r="E18" s="3"/>
      <c r="F18" s="7"/>
      <c r="G18" s="4"/>
      <c r="H18" s="4"/>
      <c r="I18" s="6"/>
    </row>
    <row r="19" spans="5:9" x14ac:dyDescent="0.25">
      <c r="E19" s="3"/>
      <c r="F19" s="7"/>
      <c r="G19" s="4"/>
      <c r="H19" s="4"/>
      <c r="I19" s="6"/>
    </row>
    <row r="20" spans="5:9" x14ac:dyDescent="0.25">
      <c r="E20" s="3"/>
      <c r="F20" s="7"/>
      <c r="G20" s="4"/>
      <c r="H20" s="4"/>
      <c r="I20" s="6"/>
    </row>
    <row r="21" spans="5:9" x14ac:dyDescent="0.25">
      <c r="E21" s="3"/>
      <c r="F21" s="7"/>
      <c r="G21" s="4"/>
      <c r="H21" s="4"/>
      <c r="I21" s="6"/>
    </row>
    <row r="22" spans="5:9" x14ac:dyDescent="0.25">
      <c r="E22" s="3"/>
      <c r="F22" s="7"/>
      <c r="G22" s="4"/>
      <c r="H22" s="4"/>
      <c r="I22" s="6"/>
    </row>
    <row r="23" spans="5:9" x14ac:dyDescent="0.25">
      <c r="E23" s="3"/>
      <c r="F23" s="7"/>
      <c r="G23" s="4"/>
      <c r="H23" s="4"/>
      <c r="I23" s="6"/>
    </row>
    <row r="24" spans="5:9" x14ac:dyDescent="0.25">
      <c r="E24" s="3"/>
      <c r="F24" s="7"/>
      <c r="G24" s="4"/>
      <c r="H24" s="4"/>
      <c r="I24" s="6"/>
    </row>
    <row r="25" spans="5:9" x14ac:dyDescent="0.25">
      <c r="E25" s="3"/>
      <c r="F25" s="7"/>
      <c r="G25" s="4"/>
      <c r="H25" s="4"/>
      <c r="I25" s="6"/>
    </row>
    <row r="26" spans="5:9" x14ac:dyDescent="0.25">
      <c r="E26" s="3"/>
      <c r="F26" s="7"/>
      <c r="G26" s="4"/>
      <c r="H26" s="4"/>
      <c r="I26" s="6"/>
    </row>
    <row r="27" spans="5:9" x14ac:dyDescent="0.25">
      <c r="E27" s="3"/>
      <c r="F27" s="7"/>
      <c r="G27" s="4"/>
      <c r="H27" s="4"/>
      <c r="I27" s="6"/>
    </row>
    <row r="28" spans="5:9" x14ac:dyDescent="0.25">
      <c r="E28" s="3"/>
      <c r="F28" s="7"/>
      <c r="G28" s="4"/>
      <c r="H28" s="4"/>
      <c r="I28" s="6"/>
    </row>
    <row r="29" spans="5:9" x14ac:dyDescent="0.25">
      <c r="E29" s="3"/>
      <c r="F29" s="7"/>
      <c r="G29" s="4"/>
      <c r="H29" s="4"/>
      <c r="I29" s="6"/>
    </row>
    <row r="30" spans="5:9" x14ac:dyDescent="0.25">
      <c r="E30" s="3"/>
      <c r="F30" s="7"/>
      <c r="G30" s="4"/>
      <c r="H30" s="4"/>
      <c r="I30" s="6"/>
    </row>
    <row r="31" spans="5:9" x14ac:dyDescent="0.25">
      <c r="E31" s="3"/>
      <c r="F31" s="7"/>
      <c r="G31" s="4"/>
      <c r="H31" s="4"/>
      <c r="I31" s="6"/>
    </row>
    <row r="32" spans="5:9" x14ac:dyDescent="0.25">
      <c r="E32" s="3"/>
      <c r="F32" s="7"/>
      <c r="G32" s="4"/>
      <c r="H32" s="4"/>
      <c r="I32" s="6"/>
    </row>
    <row r="33" spans="5:9" x14ac:dyDescent="0.25">
      <c r="E33" s="3"/>
      <c r="F33" s="7"/>
      <c r="G33" s="4"/>
      <c r="H33" s="4"/>
      <c r="I33" s="6"/>
    </row>
    <row r="34" spans="5:9" x14ac:dyDescent="0.25">
      <c r="E34" s="3"/>
      <c r="F34" s="7"/>
      <c r="G34" s="4"/>
      <c r="H34" s="4"/>
      <c r="I34" s="6"/>
    </row>
    <row r="35" spans="5:9" x14ac:dyDescent="0.25">
      <c r="E35" s="3"/>
      <c r="F35" s="7"/>
      <c r="G35" s="4"/>
      <c r="H35" s="4"/>
      <c r="I35" s="6"/>
    </row>
    <row r="36" spans="5:9" x14ac:dyDescent="0.25">
      <c r="E36" s="3"/>
      <c r="F36" s="7"/>
      <c r="G36" s="4"/>
      <c r="H36" s="4"/>
      <c r="I36" s="6"/>
    </row>
    <row r="37" spans="5:9" x14ac:dyDescent="0.25">
      <c r="E37" s="3"/>
      <c r="F37" s="7"/>
      <c r="G37" s="4"/>
      <c r="H37" s="4"/>
      <c r="I37" s="6"/>
    </row>
    <row r="38" spans="5:9" x14ac:dyDescent="0.25">
      <c r="E38" s="3"/>
      <c r="F38" s="7"/>
      <c r="G38" s="4"/>
      <c r="H38" s="4"/>
      <c r="I38" s="6"/>
    </row>
    <row r="39" spans="5:9" x14ac:dyDescent="0.25">
      <c r="E39" s="3"/>
      <c r="F39" s="7"/>
      <c r="G39" s="4"/>
      <c r="H39" s="4"/>
      <c r="I39" s="6"/>
    </row>
    <row r="40" spans="5:9" x14ac:dyDescent="0.25">
      <c r="E40" s="3"/>
      <c r="F40" s="7"/>
      <c r="G40" s="4"/>
      <c r="H40" s="4"/>
      <c r="I40" s="6"/>
    </row>
    <row r="41" spans="5:9" x14ac:dyDescent="0.25">
      <c r="E41" s="3"/>
      <c r="F41" s="7"/>
      <c r="G41" s="4"/>
      <c r="H41" s="4"/>
      <c r="I41" s="6"/>
    </row>
    <row r="42" spans="5:9" x14ac:dyDescent="0.25">
      <c r="E42" s="3"/>
      <c r="F42" s="7"/>
      <c r="G42" s="4"/>
      <c r="H42" s="4"/>
      <c r="I42" s="6"/>
    </row>
    <row r="43" spans="5:9" x14ac:dyDescent="0.25">
      <c r="E43" s="3"/>
      <c r="F43" s="7"/>
      <c r="G43" s="4"/>
      <c r="H43" s="4"/>
      <c r="I43" s="6"/>
    </row>
    <row r="44" spans="5:9" x14ac:dyDescent="0.25">
      <c r="E44" s="3"/>
      <c r="F44" s="7"/>
      <c r="G44" s="4"/>
      <c r="H44" s="4"/>
      <c r="I44" s="6"/>
    </row>
    <row r="45" spans="5:9" x14ac:dyDescent="0.25">
      <c r="E45" s="3"/>
      <c r="F45" s="7"/>
      <c r="G45" s="4"/>
      <c r="H45" s="4"/>
      <c r="I45" s="6"/>
    </row>
    <row r="46" spans="5:9" x14ac:dyDescent="0.25">
      <c r="E46" s="3"/>
      <c r="F46" s="7"/>
      <c r="G46" s="4"/>
      <c r="H46" s="4"/>
      <c r="I46" s="6"/>
    </row>
    <row r="47" spans="5:9" x14ac:dyDescent="0.25">
      <c r="E47" s="3"/>
      <c r="F47" s="7"/>
      <c r="G47" s="4"/>
      <c r="H47" s="4"/>
      <c r="I47" s="6"/>
    </row>
    <row r="48" spans="5:9" x14ac:dyDescent="0.25">
      <c r="E48" s="3"/>
      <c r="F48" s="7"/>
      <c r="G48" s="4"/>
      <c r="H48" s="4"/>
      <c r="I48" s="6"/>
    </row>
    <row r="49" spans="5:9" x14ac:dyDescent="0.25">
      <c r="E49" s="3"/>
      <c r="F49" s="7"/>
      <c r="G49" s="4"/>
      <c r="H49" s="4"/>
      <c r="I49" s="6"/>
    </row>
    <row r="50" spans="5:9" x14ac:dyDescent="0.25">
      <c r="E50" s="3"/>
      <c r="F50" s="7"/>
      <c r="G50" s="4"/>
      <c r="H50" s="4"/>
      <c r="I50" s="6"/>
    </row>
    <row r="51" spans="5:9" x14ac:dyDescent="0.25">
      <c r="E51" s="3"/>
      <c r="F51" s="7"/>
      <c r="G51" s="4"/>
      <c r="H51" s="4"/>
      <c r="I51" s="6"/>
    </row>
    <row r="52" spans="5:9" x14ac:dyDescent="0.25">
      <c r="E52" s="3"/>
      <c r="F52" s="7"/>
      <c r="G52" s="4"/>
      <c r="H52" s="4"/>
      <c r="I52" s="6"/>
    </row>
    <row r="53" spans="5:9" x14ac:dyDescent="0.25">
      <c r="E53" s="3"/>
      <c r="F53" s="7"/>
      <c r="G53" s="4"/>
      <c r="H53" s="4"/>
      <c r="I53" s="6"/>
    </row>
    <row r="54" spans="5:9" x14ac:dyDescent="0.25">
      <c r="E54" s="3"/>
      <c r="F54" s="7"/>
      <c r="G54" s="4"/>
      <c r="H54" s="4"/>
      <c r="I54" s="6"/>
    </row>
    <row r="55" spans="5:9" x14ac:dyDescent="0.25">
      <c r="E55" s="3"/>
      <c r="F55" s="7"/>
      <c r="G55" s="4"/>
      <c r="H55" s="4"/>
      <c r="I55" s="6"/>
    </row>
    <row r="56" spans="5:9" x14ac:dyDescent="0.25">
      <c r="E56" s="3"/>
      <c r="F56" s="7"/>
      <c r="G56" s="4"/>
      <c r="H56" s="4"/>
      <c r="I56" s="6"/>
    </row>
    <row r="57" spans="5:9" x14ac:dyDescent="0.25">
      <c r="E57" s="3"/>
      <c r="F57" s="7"/>
      <c r="G57" s="4"/>
      <c r="H57" s="4"/>
      <c r="I57" s="6"/>
    </row>
    <row r="58" spans="5:9" x14ac:dyDescent="0.25">
      <c r="E58" s="3"/>
      <c r="F58" s="7"/>
      <c r="G58" s="4"/>
      <c r="H58" s="4"/>
      <c r="I58" s="6"/>
    </row>
    <row r="59" spans="5:9" x14ac:dyDescent="0.25">
      <c r="E59" s="3"/>
      <c r="F59" s="7"/>
      <c r="G59" s="4"/>
      <c r="H59" s="4"/>
      <c r="I59" s="6"/>
    </row>
    <row r="60" spans="5:9" x14ac:dyDescent="0.25">
      <c r="E60" s="3"/>
      <c r="F60" s="7"/>
      <c r="G60" s="4"/>
      <c r="H60" s="4"/>
      <c r="I60" s="6"/>
    </row>
    <row r="61" spans="5:9" x14ac:dyDescent="0.25">
      <c r="E61" s="3"/>
      <c r="F61" s="7"/>
      <c r="G61" s="4"/>
      <c r="H61" s="4"/>
      <c r="I61" s="6"/>
    </row>
    <row r="62" spans="5:9" x14ac:dyDescent="0.25">
      <c r="E62" s="3"/>
      <c r="F62" s="7"/>
      <c r="G62" s="4"/>
      <c r="H62" s="4"/>
      <c r="I62" s="6"/>
    </row>
    <row r="63" spans="5:9" x14ac:dyDescent="0.25">
      <c r="E63" s="3"/>
      <c r="F63" s="7"/>
      <c r="G63" s="4"/>
      <c r="H63" s="4"/>
      <c r="I63" s="6"/>
    </row>
    <row r="64" spans="5:9" x14ac:dyDescent="0.25">
      <c r="E64" s="3"/>
      <c r="F64" s="7"/>
      <c r="G64" s="4"/>
      <c r="H64" s="4"/>
      <c r="I64" s="6"/>
    </row>
    <row r="65" spans="5:9" x14ac:dyDescent="0.25">
      <c r="E65" s="3"/>
      <c r="F65" s="7"/>
      <c r="G65" s="4"/>
      <c r="H65" s="4"/>
      <c r="I65" s="6"/>
    </row>
    <row r="66" spans="5:9" x14ac:dyDescent="0.25">
      <c r="E66" s="3"/>
      <c r="F66" s="7"/>
      <c r="G66" s="4"/>
      <c r="H66" s="4"/>
      <c r="I66" s="6"/>
    </row>
    <row r="67" spans="5:9" x14ac:dyDescent="0.25">
      <c r="E67" s="3"/>
      <c r="F67" s="7"/>
      <c r="G67" s="4"/>
      <c r="H67" s="4"/>
      <c r="I67" s="6"/>
    </row>
    <row r="68" spans="5:9" x14ac:dyDescent="0.25">
      <c r="E68" s="3"/>
      <c r="F68" s="7"/>
      <c r="G68" s="4"/>
      <c r="H68" s="4"/>
      <c r="I68" s="6"/>
    </row>
    <row r="69" spans="5:9" x14ac:dyDescent="0.25">
      <c r="E69" s="3"/>
      <c r="F69" s="7"/>
      <c r="G69" s="4"/>
      <c r="H69" s="4"/>
      <c r="I69" s="6"/>
    </row>
    <row r="70" spans="5:9" x14ac:dyDescent="0.25">
      <c r="E70" s="3"/>
      <c r="F70" s="7"/>
      <c r="G70" s="4"/>
      <c r="H70" s="4"/>
      <c r="I70" s="6"/>
    </row>
    <row r="71" spans="5:9" x14ac:dyDescent="0.25">
      <c r="E71" s="3"/>
      <c r="F71" s="7"/>
      <c r="G71" s="4"/>
      <c r="H71" s="4"/>
      <c r="I71" s="6"/>
    </row>
    <row r="72" spans="5:9" x14ac:dyDescent="0.25">
      <c r="E72" s="3"/>
      <c r="F72" s="7"/>
      <c r="G72" s="4"/>
      <c r="H72" s="4"/>
      <c r="I72" s="6"/>
    </row>
    <row r="73" spans="5:9" x14ac:dyDescent="0.25">
      <c r="E73" s="3"/>
      <c r="F73" s="7"/>
      <c r="G73" s="4"/>
      <c r="H73" s="4"/>
      <c r="I73" s="6"/>
    </row>
    <row r="74" spans="5:9" x14ac:dyDescent="0.25">
      <c r="E74" s="3"/>
      <c r="F74" s="7"/>
      <c r="G74" s="4"/>
      <c r="H74" s="4"/>
      <c r="I74" s="6"/>
    </row>
    <row r="75" spans="5:9" x14ac:dyDescent="0.25">
      <c r="E75" s="3"/>
      <c r="F75" s="7"/>
      <c r="G75" s="4"/>
      <c r="H75" s="4"/>
      <c r="I75" s="6"/>
    </row>
    <row r="76" spans="5:9" x14ac:dyDescent="0.25">
      <c r="E76" s="3"/>
      <c r="F76" s="7"/>
      <c r="G76" s="4"/>
      <c r="H76" s="4"/>
      <c r="I76" s="6"/>
    </row>
    <row r="77" spans="5:9" x14ac:dyDescent="0.25">
      <c r="E77" s="3"/>
      <c r="F77" s="7"/>
      <c r="G77" s="4"/>
      <c r="H77" s="4"/>
      <c r="I77" s="6"/>
    </row>
    <row r="78" spans="5:9" x14ac:dyDescent="0.25">
      <c r="E78" s="3"/>
      <c r="F78" s="7"/>
      <c r="G78" s="4"/>
      <c r="H78" s="4"/>
      <c r="I78" s="6"/>
    </row>
    <row r="79" spans="5:9" x14ac:dyDescent="0.25">
      <c r="E79" s="3"/>
      <c r="F79" s="7"/>
      <c r="G79" s="4"/>
      <c r="H79" s="4"/>
      <c r="I79" s="6"/>
    </row>
    <row r="80" spans="5:9" x14ac:dyDescent="0.25">
      <c r="E80" s="3"/>
      <c r="F80" s="7"/>
      <c r="G80" s="4"/>
      <c r="H80" s="4"/>
      <c r="I80" s="6"/>
    </row>
    <row r="81" spans="5:9" x14ac:dyDescent="0.25">
      <c r="E81" s="3"/>
      <c r="F81" s="7"/>
      <c r="G81" s="4"/>
      <c r="H81" s="4"/>
      <c r="I81" s="6"/>
    </row>
    <row r="82" spans="5:9" x14ac:dyDescent="0.25">
      <c r="E82" s="3"/>
      <c r="F82" s="7"/>
      <c r="G82" s="4"/>
      <c r="H82" s="4"/>
      <c r="I82" s="6"/>
    </row>
    <row r="83" spans="5:9" x14ac:dyDescent="0.25">
      <c r="E83" s="3"/>
      <c r="F83" s="7"/>
      <c r="G83" s="4"/>
      <c r="H83" s="4"/>
      <c r="I83" s="6"/>
    </row>
    <row r="84" spans="5:9" x14ac:dyDescent="0.25">
      <c r="E84" s="3"/>
      <c r="F84" s="7"/>
      <c r="G84" s="4"/>
      <c r="H84" s="4"/>
      <c r="I84" s="6"/>
    </row>
    <row r="85" spans="5:9" x14ac:dyDescent="0.25">
      <c r="E85" s="3"/>
      <c r="F85" s="7"/>
      <c r="G85" s="4"/>
      <c r="H85" s="4"/>
      <c r="I85" s="6"/>
    </row>
    <row r="86" spans="5:9" x14ac:dyDescent="0.25">
      <c r="E86" s="3"/>
      <c r="F86" s="7"/>
      <c r="G86" s="4"/>
      <c r="H86" s="4"/>
      <c r="I86" s="6"/>
    </row>
    <row r="87" spans="5:9" x14ac:dyDescent="0.25">
      <c r="E87" s="3"/>
      <c r="F87" s="7"/>
      <c r="G87" s="4"/>
      <c r="H87" s="4"/>
      <c r="I87" s="6"/>
    </row>
    <row r="88" spans="5:9" x14ac:dyDescent="0.25">
      <c r="E88" s="3"/>
      <c r="F88" s="7"/>
      <c r="G88" s="4"/>
      <c r="H88" s="4"/>
      <c r="I88" s="6"/>
    </row>
    <row r="89" spans="5:9" x14ac:dyDescent="0.25">
      <c r="E89" s="3"/>
      <c r="F89" s="7"/>
      <c r="G89" s="4"/>
      <c r="H89" s="4"/>
      <c r="I89" s="6"/>
    </row>
    <row r="90" spans="5:9" x14ac:dyDescent="0.25">
      <c r="E90" s="3"/>
      <c r="F90" s="7"/>
      <c r="G90" s="4"/>
      <c r="H90" s="4"/>
      <c r="I90" s="6"/>
    </row>
    <row r="91" spans="5:9" x14ac:dyDescent="0.25">
      <c r="E91" s="3"/>
      <c r="F91" s="7"/>
      <c r="G91" s="4"/>
      <c r="H91" s="4"/>
      <c r="I91" s="6"/>
    </row>
    <row r="92" spans="5:9" x14ac:dyDescent="0.25">
      <c r="E92" s="3"/>
      <c r="F92" s="7"/>
      <c r="G92" s="4"/>
      <c r="H92" s="4"/>
      <c r="I92" s="6"/>
    </row>
    <row r="93" spans="5:9" x14ac:dyDescent="0.25">
      <c r="E93" s="3"/>
      <c r="F93" s="7"/>
      <c r="G93" s="4"/>
      <c r="H93" s="4"/>
      <c r="I93" s="6"/>
    </row>
    <row r="94" spans="5:9" x14ac:dyDescent="0.25">
      <c r="E94" s="3"/>
      <c r="F94" s="7"/>
      <c r="G94" s="4"/>
      <c r="H94" s="4"/>
      <c r="I94" s="6"/>
    </row>
    <row r="95" spans="5:9" x14ac:dyDescent="0.25">
      <c r="E95" s="3"/>
      <c r="F95" s="7"/>
      <c r="G95" s="4"/>
      <c r="H95" s="4"/>
      <c r="I95" s="6"/>
    </row>
    <row r="96" spans="5:9" x14ac:dyDescent="0.25">
      <c r="E96" s="3"/>
      <c r="F96" s="7"/>
      <c r="G96" s="4"/>
      <c r="H96" s="4"/>
      <c r="I96" s="6"/>
    </row>
    <row r="97" spans="5:9" x14ac:dyDescent="0.25">
      <c r="E97" s="3"/>
      <c r="F97" s="7"/>
      <c r="G97" s="4"/>
      <c r="H97" s="4"/>
      <c r="I97" s="6"/>
    </row>
    <row r="98" spans="5:9" x14ac:dyDescent="0.25">
      <c r="E98" s="3"/>
      <c r="F98" s="7"/>
      <c r="G98" s="4"/>
      <c r="H98" s="4"/>
      <c r="I98" s="6"/>
    </row>
    <row r="99" spans="5:9" x14ac:dyDescent="0.25">
      <c r="E99" s="3"/>
      <c r="F99" s="7"/>
      <c r="G99" s="4"/>
      <c r="H99" s="4"/>
      <c r="I99" s="6"/>
    </row>
    <row r="100" spans="5:9" x14ac:dyDescent="0.25">
      <c r="E100" s="3"/>
      <c r="F100" s="7"/>
      <c r="G100" s="4"/>
      <c r="H100" s="4"/>
      <c r="I100" s="6"/>
    </row>
    <row r="101" spans="5:9" x14ac:dyDescent="0.25">
      <c r="E101" s="3"/>
      <c r="F101" s="7"/>
      <c r="G101" s="4"/>
      <c r="H101" s="4"/>
      <c r="I101" s="6"/>
    </row>
    <row r="102" spans="5:9" x14ac:dyDescent="0.25">
      <c r="E102" s="3"/>
      <c r="F102" s="7"/>
      <c r="G102" s="4"/>
      <c r="H102" s="4"/>
      <c r="I102" s="6"/>
    </row>
    <row r="103" spans="5:9" x14ac:dyDescent="0.25">
      <c r="E103" s="3"/>
      <c r="F103" s="7"/>
      <c r="G103" s="4"/>
      <c r="H103" s="4"/>
      <c r="I103" s="6"/>
    </row>
    <row r="104" spans="5:9" x14ac:dyDescent="0.25">
      <c r="E104" s="3"/>
      <c r="F104" s="7"/>
      <c r="G104" s="4"/>
      <c r="H104" s="4"/>
      <c r="I104" s="6"/>
    </row>
    <row r="105" spans="5:9" x14ac:dyDescent="0.25">
      <c r="E105" s="3"/>
      <c r="F105" s="7"/>
      <c r="G105" s="4"/>
      <c r="H105" s="4"/>
      <c r="I105" s="6"/>
    </row>
    <row r="106" spans="5:9" x14ac:dyDescent="0.25">
      <c r="E106" s="3"/>
      <c r="F106" s="7"/>
      <c r="G106" s="4"/>
      <c r="H106" s="4"/>
      <c r="I106" s="6"/>
    </row>
    <row r="107" spans="5:9" x14ac:dyDescent="0.25">
      <c r="E107" s="3"/>
      <c r="F107" s="7"/>
      <c r="G107" s="4"/>
      <c r="H107" s="4"/>
      <c r="I107" s="6"/>
    </row>
    <row r="108" spans="5:9" x14ac:dyDescent="0.25">
      <c r="E108" s="3"/>
      <c r="F108" s="7"/>
      <c r="G108" s="4"/>
      <c r="H108" s="4"/>
      <c r="I108" s="6"/>
    </row>
    <row r="109" spans="5:9" x14ac:dyDescent="0.25">
      <c r="E109" s="3"/>
      <c r="F109" s="7"/>
      <c r="G109" s="4"/>
      <c r="H109" s="4"/>
      <c r="I109" s="6"/>
    </row>
    <row r="110" spans="5:9" x14ac:dyDescent="0.25">
      <c r="E110" s="3"/>
      <c r="F110" s="7"/>
      <c r="G110" s="4"/>
      <c r="H110" s="4"/>
      <c r="I110" s="6"/>
    </row>
    <row r="111" spans="5:9" x14ac:dyDescent="0.25">
      <c r="E111" s="3"/>
      <c r="F111" s="7"/>
      <c r="G111" s="4"/>
      <c r="H111" s="4"/>
      <c r="I111" s="6"/>
    </row>
    <row r="112" spans="5:9" x14ac:dyDescent="0.25">
      <c r="E112" s="3"/>
      <c r="F112" s="7"/>
      <c r="G112" s="4"/>
      <c r="H112" s="4"/>
      <c r="I112" s="6"/>
    </row>
    <row r="113" spans="5:9" x14ac:dyDescent="0.25">
      <c r="E113" s="3"/>
      <c r="F113" s="7"/>
      <c r="G113" s="4"/>
      <c r="H113" s="4"/>
      <c r="I113" s="6"/>
    </row>
    <row r="114" spans="5:9" x14ac:dyDescent="0.25">
      <c r="E114" s="3"/>
      <c r="F114" s="7"/>
      <c r="G114" s="4"/>
      <c r="H114" s="4"/>
      <c r="I114" s="6"/>
    </row>
    <row r="115" spans="5:9" x14ac:dyDescent="0.25">
      <c r="E115" s="3"/>
      <c r="F115" s="7"/>
      <c r="G115" s="4"/>
      <c r="H115" s="4"/>
      <c r="I115" s="6"/>
    </row>
    <row r="116" spans="5:9" x14ac:dyDescent="0.25">
      <c r="E116" s="3"/>
      <c r="F116" s="7"/>
      <c r="G116" s="4"/>
      <c r="H116" s="4"/>
      <c r="I116" s="6"/>
    </row>
    <row r="117" spans="5:9" x14ac:dyDescent="0.25">
      <c r="E117" s="3"/>
      <c r="F117" s="7"/>
      <c r="G117" s="4"/>
      <c r="H117" s="4"/>
      <c r="I117" s="6"/>
    </row>
    <row r="118" spans="5:9" x14ac:dyDescent="0.25">
      <c r="E118" s="3"/>
      <c r="F118" s="7"/>
      <c r="G118" s="4"/>
      <c r="H118" s="4"/>
      <c r="I118" s="6"/>
    </row>
    <row r="119" spans="5:9" x14ac:dyDescent="0.25">
      <c r="E119" s="3"/>
      <c r="F119" s="7"/>
      <c r="G119" s="4"/>
      <c r="H119" s="4"/>
      <c r="I119" s="6"/>
    </row>
    <row r="120" spans="5:9" x14ac:dyDescent="0.25">
      <c r="E120" s="3"/>
      <c r="F120" s="7"/>
      <c r="G120" s="4"/>
      <c r="H120" s="4"/>
      <c r="I120" s="6"/>
    </row>
    <row r="121" spans="5:9" x14ac:dyDescent="0.25">
      <c r="E121" s="3"/>
      <c r="F121" s="7"/>
      <c r="G121" s="4"/>
      <c r="H121" s="4"/>
      <c r="I121" s="6"/>
    </row>
    <row r="122" spans="5:9" x14ac:dyDescent="0.25">
      <c r="E122" s="3"/>
      <c r="F122" s="7"/>
      <c r="G122" s="4"/>
      <c r="H122" s="4"/>
      <c r="I122" s="6"/>
    </row>
    <row r="123" spans="5:9" x14ac:dyDescent="0.25">
      <c r="E123" s="3"/>
      <c r="F123" s="7"/>
      <c r="G123" s="4"/>
      <c r="H123" s="4"/>
      <c r="I123" s="6"/>
    </row>
    <row r="124" spans="5:9" x14ac:dyDescent="0.25">
      <c r="E124" s="3"/>
      <c r="F124" s="7"/>
      <c r="G124" s="4"/>
      <c r="H124" s="4"/>
      <c r="I124" s="6"/>
    </row>
    <row r="125" spans="5:9" x14ac:dyDescent="0.25">
      <c r="E125" s="3"/>
      <c r="F125" s="7"/>
      <c r="G125" s="4"/>
      <c r="H125" s="4"/>
      <c r="I125" s="6"/>
    </row>
    <row r="126" spans="5:9" x14ac:dyDescent="0.25">
      <c r="E126" s="3"/>
      <c r="F126" s="7"/>
      <c r="G126" s="4"/>
      <c r="H126" s="4"/>
      <c r="I126" s="6"/>
    </row>
    <row r="127" spans="5:9" x14ac:dyDescent="0.25">
      <c r="E127" s="3"/>
      <c r="F127" s="7"/>
      <c r="G127" s="4"/>
      <c r="H127" s="4"/>
      <c r="I127" s="6"/>
    </row>
    <row r="128" spans="5:9" x14ac:dyDescent="0.25">
      <c r="E128" s="3"/>
      <c r="F128" s="7"/>
      <c r="G128" s="4"/>
      <c r="H128" s="4"/>
      <c r="I128" s="6"/>
    </row>
    <row r="129" spans="5:9" x14ac:dyDescent="0.25">
      <c r="E129" s="3"/>
      <c r="F129" s="7"/>
      <c r="G129" s="4"/>
      <c r="H129" s="4"/>
      <c r="I129" s="6"/>
    </row>
    <row r="130" spans="5:9" x14ac:dyDescent="0.25">
      <c r="E130" s="3"/>
      <c r="F130" s="7"/>
      <c r="G130" s="4"/>
      <c r="H130" s="4"/>
      <c r="I130" s="6"/>
    </row>
    <row r="131" spans="5:9" x14ac:dyDescent="0.25">
      <c r="E131" s="3"/>
      <c r="F131" s="7"/>
      <c r="G131" s="4"/>
      <c r="H131" s="4"/>
      <c r="I131" s="6"/>
    </row>
    <row r="132" spans="5:9" x14ac:dyDescent="0.25">
      <c r="E132" s="3"/>
      <c r="F132" s="7"/>
      <c r="G132" s="4"/>
      <c r="H132" s="4"/>
      <c r="I132" s="6"/>
    </row>
    <row r="133" spans="5:9" x14ac:dyDescent="0.25">
      <c r="E133" s="3"/>
      <c r="F133" s="7"/>
      <c r="G133" s="4"/>
      <c r="H133" s="4"/>
      <c r="I133" s="6"/>
    </row>
    <row r="134" spans="5:9" x14ac:dyDescent="0.25">
      <c r="E134" s="3"/>
      <c r="F134" s="7"/>
      <c r="G134" s="4"/>
      <c r="H134" s="4"/>
      <c r="I134" s="6"/>
    </row>
    <row r="135" spans="5:9" x14ac:dyDescent="0.25">
      <c r="E135" s="3"/>
      <c r="F135" s="7"/>
      <c r="G135" s="4"/>
      <c r="H135" s="4"/>
      <c r="I135" s="6"/>
    </row>
    <row r="136" spans="5:9" x14ac:dyDescent="0.25">
      <c r="E136" s="3"/>
      <c r="F136" s="7"/>
      <c r="G136" s="4"/>
      <c r="H136" s="4"/>
      <c r="I136" s="6"/>
    </row>
    <row r="137" spans="5:9" x14ac:dyDescent="0.25">
      <c r="E137" s="3"/>
      <c r="F137" s="7"/>
      <c r="G137" s="4"/>
      <c r="H137" s="4"/>
      <c r="I137" s="6"/>
    </row>
    <row r="138" spans="5:9" x14ac:dyDescent="0.25">
      <c r="E138" s="3"/>
      <c r="F138" s="7"/>
      <c r="G138" s="4"/>
      <c r="H138" s="4"/>
      <c r="I138" s="6"/>
    </row>
    <row r="139" spans="5:9" x14ac:dyDescent="0.25">
      <c r="E139" s="3"/>
      <c r="F139" s="7"/>
      <c r="G139" s="4"/>
      <c r="H139" s="4"/>
      <c r="I139" s="6"/>
    </row>
    <row r="140" spans="5:9" x14ac:dyDescent="0.25">
      <c r="E140" s="3"/>
      <c r="F140" s="7"/>
      <c r="G140" s="4"/>
      <c r="H140" s="4"/>
      <c r="I140" s="6"/>
    </row>
    <row r="141" spans="5:9" x14ac:dyDescent="0.25">
      <c r="E141" s="3"/>
      <c r="F141" s="7"/>
      <c r="G141" s="4"/>
      <c r="H141" s="4"/>
      <c r="I141" s="6"/>
    </row>
    <row r="142" spans="5:9" x14ac:dyDescent="0.25">
      <c r="E142" s="3"/>
      <c r="F142" s="7"/>
      <c r="G142" s="4"/>
      <c r="H142" s="4"/>
      <c r="I142" s="6"/>
    </row>
    <row r="143" spans="5:9" x14ac:dyDescent="0.25">
      <c r="E143" s="3"/>
      <c r="F143" s="7"/>
      <c r="G143" s="4"/>
      <c r="H143" s="4"/>
      <c r="I143" s="6"/>
    </row>
    <row r="144" spans="5:9" x14ac:dyDescent="0.25">
      <c r="E144" s="3"/>
      <c r="F144" s="7"/>
      <c r="G144" s="4"/>
      <c r="H144" s="4"/>
      <c r="I144" s="6"/>
    </row>
    <row r="145" spans="5:9" x14ac:dyDescent="0.25">
      <c r="E145" s="3"/>
      <c r="F145" s="7"/>
      <c r="G145" s="4"/>
      <c r="H145" s="4"/>
      <c r="I145" s="6"/>
    </row>
    <row r="146" spans="5:9" x14ac:dyDescent="0.25">
      <c r="E146" s="3"/>
      <c r="F146" s="7"/>
      <c r="G146" s="4"/>
      <c r="H146" s="4"/>
      <c r="I146" s="6"/>
    </row>
    <row r="147" spans="5:9" x14ac:dyDescent="0.25">
      <c r="E147" s="3"/>
      <c r="F147" s="7"/>
      <c r="G147" s="4"/>
      <c r="H147" s="4"/>
      <c r="I147" s="6"/>
    </row>
    <row r="148" spans="5:9" x14ac:dyDescent="0.25">
      <c r="E148" s="3"/>
      <c r="F148" s="7"/>
      <c r="G148" s="4"/>
      <c r="H148" s="4"/>
      <c r="I148" s="6"/>
    </row>
    <row r="149" spans="5:9" x14ac:dyDescent="0.25">
      <c r="E149" s="3"/>
      <c r="F149" s="7"/>
      <c r="G149" s="4"/>
      <c r="H149" s="4"/>
      <c r="I149" s="6"/>
    </row>
    <row r="150" spans="5:9" x14ac:dyDescent="0.25">
      <c r="E150" s="3"/>
      <c r="F150" s="7"/>
      <c r="G150" s="4"/>
      <c r="H150" s="4"/>
      <c r="I150" s="6"/>
    </row>
    <row r="151" spans="5:9" x14ac:dyDescent="0.25">
      <c r="E151" s="3"/>
      <c r="F151" s="7"/>
      <c r="G151" s="4"/>
      <c r="H151" s="4"/>
      <c r="I151" s="6"/>
    </row>
    <row r="152" spans="5:9" x14ac:dyDescent="0.25">
      <c r="E152" s="3"/>
      <c r="F152" s="7"/>
      <c r="G152" s="4"/>
      <c r="H152" s="4"/>
      <c r="I152" s="6"/>
    </row>
    <row r="153" spans="5:9" x14ac:dyDescent="0.25">
      <c r="E153" s="3"/>
      <c r="F153" s="7"/>
      <c r="G153" s="4"/>
      <c r="H153" s="4"/>
      <c r="I153" s="6"/>
    </row>
    <row r="154" spans="5:9" x14ac:dyDescent="0.25">
      <c r="E154" s="3"/>
      <c r="F154" s="7"/>
      <c r="G154" s="4"/>
      <c r="H154" s="4"/>
      <c r="I154" s="6"/>
    </row>
    <row r="155" spans="5:9" x14ac:dyDescent="0.25">
      <c r="E155" s="3"/>
      <c r="F155" s="7"/>
      <c r="G155" s="4"/>
      <c r="H155" s="4"/>
      <c r="I155" s="6"/>
    </row>
    <row r="156" spans="5:9" x14ac:dyDescent="0.25">
      <c r="E156" s="3"/>
      <c r="F156" s="7"/>
      <c r="G156" s="4"/>
      <c r="H156" s="4"/>
      <c r="I156" s="6"/>
    </row>
    <row r="157" spans="5:9" x14ac:dyDescent="0.25">
      <c r="E157" s="3"/>
      <c r="F157" s="7"/>
      <c r="G157" s="4"/>
      <c r="H157" s="4"/>
      <c r="I157" s="6"/>
    </row>
    <row r="158" spans="5:9" x14ac:dyDescent="0.25">
      <c r="E158" s="3"/>
      <c r="F158" s="7"/>
      <c r="G158" s="4"/>
      <c r="H158" s="4"/>
      <c r="I158" s="6"/>
    </row>
    <row r="159" spans="5:9" x14ac:dyDescent="0.25">
      <c r="E159" s="3"/>
      <c r="F159" s="7"/>
      <c r="G159" s="4"/>
      <c r="H159" s="4"/>
      <c r="I159" s="6"/>
    </row>
    <row r="160" spans="5:9" x14ac:dyDescent="0.25">
      <c r="E160" s="3"/>
      <c r="F160" s="7"/>
      <c r="G160" s="4"/>
      <c r="H160" s="4"/>
      <c r="I160" s="6"/>
    </row>
    <row r="161" spans="5:9" x14ac:dyDescent="0.25">
      <c r="E161" s="3"/>
      <c r="F161" s="7"/>
      <c r="G161" s="4"/>
      <c r="H161" s="4"/>
      <c r="I161" s="6"/>
    </row>
    <row r="162" spans="5:9" x14ac:dyDescent="0.25">
      <c r="E162" s="3"/>
      <c r="F162" s="7"/>
      <c r="G162" s="4"/>
      <c r="H162" s="4"/>
      <c r="I162" s="6"/>
    </row>
    <row r="163" spans="5:9" x14ac:dyDescent="0.25">
      <c r="E163" s="3"/>
      <c r="F163" s="7"/>
      <c r="G163" s="4"/>
      <c r="H163" s="4"/>
      <c r="I163" s="6"/>
    </row>
    <row r="164" spans="5:9" x14ac:dyDescent="0.25">
      <c r="E164" s="3"/>
      <c r="F164" s="7"/>
      <c r="G164" s="4"/>
      <c r="H164" s="4"/>
      <c r="I164" s="6"/>
    </row>
    <row r="165" spans="5:9" x14ac:dyDescent="0.25">
      <c r="E165" s="3"/>
      <c r="F165" s="7"/>
      <c r="G165" s="4"/>
      <c r="H165" s="4"/>
      <c r="I165" s="6"/>
    </row>
    <row r="166" spans="5:9" x14ac:dyDescent="0.25">
      <c r="E166" s="3"/>
      <c r="F166" s="7"/>
      <c r="G166" s="4"/>
      <c r="H166" s="4"/>
      <c r="I166" s="6"/>
    </row>
    <row r="167" spans="5:9" x14ac:dyDescent="0.25">
      <c r="E167" s="3"/>
      <c r="F167" s="7"/>
      <c r="G167" s="4"/>
      <c r="H167" s="4"/>
      <c r="I167" s="6"/>
    </row>
    <row r="168" spans="5:9" x14ac:dyDescent="0.25">
      <c r="E168" s="3"/>
      <c r="F168" s="7"/>
      <c r="G168" s="4"/>
      <c r="H168" s="4"/>
      <c r="I168" s="6"/>
    </row>
    <row r="169" spans="5:9" x14ac:dyDescent="0.25">
      <c r="E169" s="3"/>
      <c r="F169" s="7"/>
      <c r="G169" s="4"/>
      <c r="H169" s="4"/>
      <c r="I169" s="6"/>
    </row>
    <row r="170" spans="5:9" x14ac:dyDescent="0.25">
      <c r="E170" s="3"/>
      <c r="F170" s="7"/>
      <c r="G170" s="4"/>
      <c r="H170" s="4"/>
      <c r="I170" s="6"/>
    </row>
    <row r="171" spans="5:9" x14ac:dyDescent="0.25">
      <c r="E171" s="3"/>
      <c r="F171" s="7"/>
      <c r="G171" s="4"/>
      <c r="H171" s="4"/>
      <c r="I171" s="6"/>
    </row>
    <row r="172" spans="5:9" x14ac:dyDescent="0.25">
      <c r="E172" s="3"/>
      <c r="F172" s="7"/>
      <c r="G172" s="4"/>
      <c r="H172" s="4"/>
      <c r="I172" s="6"/>
    </row>
    <row r="173" spans="5:9" x14ac:dyDescent="0.25">
      <c r="E173" s="3"/>
      <c r="F173" s="7"/>
      <c r="G173" s="4"/>
      <c r="H173" s="4"/>
      <c r="I173" s="6"/>
    </row>
    <row r="174" spans="5:9" x14ac:dyDescent="0.25">
      <c r="E174" s="3"/>
      <c r="F174" s="7"/>
      <c r="G174" s="4"/>
      <c r="H174" s="4"/>
      <c r="I174" s="6"/>
    </row>
    <row r="175" spans="5:9" x14ac:dyDescent="0.25">
      <c r="E175" s="3"/>
      <c r="F175" s="7"/>
      <c r="G175" s="4"/>
      <c r="H175" s="4"/>
      <c r="I175" s="6"/>
    </row>
    <row r="176" spans="5:9" x14ac:dyDescent="0.25">
      <c r="E176" s="3"/>
      <c r="F176" s="7"/>
      <c r="G176" s="4"/>
      <c r="H176" s="4"/>
      <c r="I176" s="6"/>
    </row>
    <row r="177" spans="5:9" x14ac:dyDescent="0.25">
      <c r="E177" s="3"/>
      <c r="F177" s="7"/>
      <c r="G177" s="4"/>
      <c r="H177" s="4"/>
      <c r="I177" s="6"/>
    </row>
    <row r="178" spans="5:9" x14ac:dyDescent="0.25">
      <c r="E178" s="3"/>
      <c r="F178" s="7"/>
      <c r="G178" s="4"/>
      <c r="H178" s="4"/>
      <c r="I178" s="6"/>
    </row>
    <row r="179" spans="5:9" x14ac:dyDescent="0.25">
      <c r="E179" s="3"/>
      <c r="F179" s="7"/>
      <c r="G179" s="4"/>
      <c r="H179" s="4"/>
      <c r="I179" s="6"/>
    </row>
    <row r="180" spans="5:9" x14ac:dyDescent="0.25">
      <c r="E180" s="3"/>
      <c r="F180" s="7"/>
      <c r="G180" s="4"/>
      <c r="H180" s="4"/>
      <c r="I180" s="6"/>
    </row>
    <row r="181" spans="5:9" x14ac:dyDescent="0.25">
      <c r="E181" s="3"/>
      <c r="F181" s="7"/>
      <c r="G181" s="4"/>
      <c r="H181" s="4"/>
      <c r="I181" s="6"/>
    </row>
    <row r="182" spans="5:9" x14ac:dyDescent="0.25">
      <c r="E182" s="3"/>
      <c r="F182" s="7"/>
      <c r="G182" s="4"/>
      <c r="H182" s="4"/>
      <c r="I182" s="6"/>
    </row>
    <row r="183" spans="5:9" x14ac:dyDescent="0.25">
      <c r="E183" s="3"/>
      <c r="F183" s="7"/>
      <c r="G183" s="4"/>
      <c r="H183" s="4"/>
      <c r="I183" s="6"/>
    </row>
    <row r="184" spans="5:9" x14ac:dyDescent="0.25">
      <c r="E184" s="3"/>
      <c r="F184" s="7"/>
      <c r="G184" s="4"/>
      <c r="H184" s="4"/>
      <c r="I184" s="6"/>
    </row>
    <row r="185" spans="5:9" x14ac:dyDescent="0.25">
      <c r="E185" s="3"/>
      <c r="F185" s="7"/>
      <c r="G185" s="4"/>
      <c r="H185" s="4"/>
      <c r="I185" s="6"/>
    </row>
    <row r="186" spans="5:9" x14ac:dyDescent="0.25">
      <c r="E186" s="3"/>
      <c r="F186" s="7"/>
      <c r="G186" s="4"/>
      <c r="H186" s="4"/>
      <c r="I186" s="6"/>
    </row>
    <row r="187" spans="5:9" x14ac:dyDescent="0.25">
      <c r="E187" s="3"/>
      <c r="F187" s="7"/>
      <c r="G187" s="4"/>
      <c r="H187" s="4"/>
      <c r="I187" s="6"/>
    </row>
    <row r="188" spans="5:9" x14ac:dyDescent="0.25">
      <c r="E188" s="3"/>
      <c r="F188" s="7"/>
      <c r="G188" s="4"/>
      <c r="H188" s="4"/>
      <c r="I188" s="6"/>
    </row>
    <row r="189" spans="5:9" x14ac:dyDescent="0.25">
      <c r="E189" s="3"/>
      <c r="F189" s="7"/>
      <c r="G189" s="4"/>
      <c r="H189" s="4"/>
      <c r="I189" s="6"/>
    </row>
    <row r="190" spans="5:9" x14ac:dyDescent="0.25">
      <c r="E190" s="3"/>
      <c r="F190" s="7"/>
      <c r="G190" s="4"/>
      <c r="H190" s="4"/>
      <c r="I190" s="6"/>
    </row>
    <row r="191" spans="5:9" x14ac:dyDescent="0.25">
      <c r="E191" s="3"/>
      <c r="F191" s="7"/>
      <c r="G191" s="4"/>
      <c r="H191" s="4"/>
      <c r="I191" s="6"/>
    </row>
    <row r="192" spans="5:9" x14ac:dyDescent="0.25">
      <c r="E192" s="3"/>
      <c r="F192" s="7"/>
      <c r="G192" s="4"/>
      <c r="H192" s="4"/>
      <c r="I192" s="6"/>
    </row>
    <row r="193" spans="5:9" x14ac:dyDescent="0.25">
      <c r="E193" s="3"/>
      <c r="F193" s="7"/>
      <c r="G193" s="4"/>
      <c r="H193" s="4"/>
      <c r="I193" s="6"/>
    </row>
    <row r="194" spans="5:9" x14ac:dyDescent="0.25">
      <c r="E194" s="3"/>
      <c r="F194" s="7"/>
      <c r="G194" s="4"/>
      <c r="H194" s="4"/>
      <c r="I194" s="6"/>
    </row>
    <row r="195" spans="5:9" x14ac:dyDescent="0.25">
      <c r="E195" s="3"/>
      <c r="F195" s="7"/>
      <c r="G195" s="4"/>
      <c r="H195" s="4"/>
      <c r="I195" s="6"/>
    </row>
    <row r="196" spans="5:9" x14ac:dyDescent="0.25">
      <c r="E196" s="3"/>
      <c r="F196" s="7"/>
      <c r="G196" s="4"/>
      <c r="H196" s="4"/>
      <c r="I196" s="6"/>
    </row>
    <row r="197" spans="5:9" x14ac:dyDescent="0.25">
      <c r="E197" s="3"/>
      <c r="F197" s="7"/>
      <c r="G197" s="4"/>
      <c r="H197" s="4"/>
      <c r="I197" s="6"/>
    </row>
    <row r="198" spans="5:9" x14ac:dyDescent="0.25">
      <c r="E198" s="3"/>
      <c r="F198" s="7"/>
      <c r="G198" s="4"/>
      <c r="H198" s="4"/>
      <c r="I198" s="6"/>
    </row>
    <row r="199" spans="5:9" x14ac:dyDescent="0.25">
      <c r="E199" s="3"/>
      <c r="F199" s="7"/>
      <c r="G199" s="4"/>
      <c r="H199" s="4"/>
      <c r="I199" s="6"/>
    </row>
    <row r="200" spans="5:9" x14ac:dyDescent="0.25">
      <c r="E200" s="3"/>
      <c r="F200" s="7"/>
      <c r="G200" s="4"/>
      <c r="H200" s="4"/>
      <c r="I200" s="6"/>
    </row>
    <row r="201" spans="5:9" x14ac:dyDescent="0.25">
      <c r="E201" s="3"/>
      <c r="F201" s="7"/>
      <c r="G201" s="4"/>
      <c r="H201" s="4"/>
      <c r="I201" s="6"/>
    </row>
    <row r="202" spans="5:9" x14ac:dyDescent="0.25">
      <c r="E202" s="3"/>
      <c r="F202" s="7"/>
      <c r="G202" s="4"/>
      <c r="H202" s="4"/>
      <c r="I202" s="6"/>
    </row>
    <row r="203" spans="5:9" x14ac:dyDescent="0.25">
      <c r="E203" s="3"/>
      <c r="F203" s="7"/>
      <c r="G203" s="4"/>
      <c r="H203" s="4"/>
      <c r="I203" s="6"/>
    </row>
    <row r="204" spans="5:9" x14ac:dyDescent="0.25">
      <c r="E204" s="3"/>
      <c r="F204" s="7"/>
      <c r="G204" s="4"/>
      <c r="H204" s="4"/>
      <c r="I204" s="6"/>
    </row>
    <row r="205" spans="5:9" x14ac:dyDescent="0.25">
      <c r="E205" s="3"/>
      <c r="F205" s="7"/>
      <c r="G205" s="4"/>
      <c r="H205" s="4"/>
      <c r="I205" s="6"/>
    </row>
    <row r="206" spans="5:9" x14ac:dyDescent="0.25">
      <c r="E206" s="3"/>
      <c r="F206" s="7"/>
      <c r="G206" s="4"/>
      <c r="H206" s="4"/>
      <c r="I206" s="6"/>
    </row>
    <row r="207" spans="5:9" x14ac:dyDescent="0.25">
      <c r="E207" s="3"/>
      <c r="F207" s="7"/>
      <c r="G207" s="4"/>
      <c r="H207" s="4"/>
      <c r="I207" s="6"/>
    </row>
    <row r="208" spans="5:9" x14ac:dyDescent="0.25">
      <c r="E208" s="3"/>
      <c r="F208" s="7"/>
      <c r="G208" s="4"/>
      <c r="H208" s="4"/>
      <c r="I208" s="6"/>
    </row>
    <row r="209" spans="5:9" x14ac:dyDescent="0.25">
      <c r="E209" s="3"/>
      <c r="F209" s="7"/>
      <c r="G209" s="4"/>
      <c r="H209" s="4"/>
      <c r="I209" s="6"/>
    </row>
    <row r="210" spans="5:9" x14ac:dyDescent="0.25">
      <c r="E210" s="3"/>
      <c r="F210" s="7"/>
      <c r="G210" s="4"/>
      <c r="H210" s="4"/>
      <c r="I210" s="6"/>
    </row>
    <row r="211" spans="5:9" x14ac:dyDescent="0.25">
      <c r="E211" s="3"/>
      <c r="F211" s="7"/>
      <c r="G211" s="4"/>
      <c r="H211" s="4"/>
      <c r="I211" s="6"/>
    </row>
    <row r="212" spans="5:9" x14ac:dyDescent="0.25">
      <c r="E212" s="3"/>
      <c r="F212" s="7"/>
      <c r="G212" s="4"/>
      <c r="H212" s="4"/>
      <c r="I212" s="6"/>
    </row>
    <row r="213" spans="5:9" x14ac:dyDescent="0.25">
      <c r="E213" s="3"/>
      <c r="F213" s="7"/>
      <c r="G213" s="4"/>
      <c r="H213" s="4"/>
      <c r="I213" s="6"/>
    </row>
    <row r="214" spans="5:9" x14ac:dyDescent="0.25">
      <c r="E214" s="3"/>
      <c r="F214" s="7"/>
      <c r="G214" s="4"/>
      <c r="H214" s="4"/>
      <c r="I214" s="6"/>
    </row>
    <row r="215" spans="5:9" x14ac:dyDescent="0.25">
      <c r="E215" s="3"/>
      <c r="F215" s="7"/>
      <c r="G215" s="4"/>
      <c r="H215" s="4"/>
      <c r="I215" s="6"/>
    </row>
    <row r="216" spans="5:9" x14ac:dyDescent="0.25">
      <c r="E216" s="3"/>
      <c r="F216" s="7"/>
      <c r="G216" s="4"/>
      <c r="H216" s="4"/>
      <c r="I216" s="6"/>
    </row>
    <row r="217" spans="5:9" x14ac:dyDescent="0.25">
      <c r="E217" s="3"/>
      <c r="F217" s="7"/>
      <c r="G217" s="4"/>
      <c r="H217" s="4"/>
      <c r="I217" s="6"/>
    </row>
    <row r="218" spans="5:9" x14ac:dyDescent="0.25">
      <c r="E218" s="3"/>
      <c r="F218" s="7"/>
      <c r="G218" s="4"/>
      <c r="H218" s="4"/>
      <c r="I218" s="6"/>
    </row>
    <row r="219" spans="5:9" x14ac:dyDescent="0.25">
      <c r="E219" s="3"/>
      <c r="F219" s="7"/>
      <c r="G219" s="4"/>
      <c r="H219" s="4"/>
      <c r="I219" s="6"/>
    </row>
    <row r="220" spans="5:9" x14ac:dyDescent="0.25">
      <c r="E220" s="3"/>
      <c r="F220" s="7"/>
      <c r="G220" s="4"/>
      <c r="H220" s="4"/>
      <c r="I220" s="6"/>
    </row>
    <row r="221" spans="5:9" x14ac:dyDescent="0.25">
      <c r="E221" s="3"/>
      <c r="F221" s="7"/>
      <c r="G221" s="4"/>
      <c r="H221" s="4"/>
      <c r="I221" s="6"/>
    </row>
    <row r="222" spans="5:9" x14ac:dyDescent="0.25">
      <c r="E222" s="3"/>
      <c r="F222" s="7"/>
      <c r="G222" s="4"/>
      <c r="H222" s="4"/>
      <c r="I222" s="6"/>
    </row>
    <row r="223" spans="5:9" x14ac:dyDescent="0.25">
      <c r="E223" s="3"/>
      <c r="F223" s="7"/>
      <c r="G223" s="4"/>
      <c r="H223" s="4"/>
      <c r="I223" s="6"/>
    </row>
    <row r="224" spans="5:9" x14ac:dyDescent="0.25">
      <c r="E224" s="3"/>
      <c r="F224" s="7"/>
      <c r="G224" s="4"/>
      <c r="H224" s="4"/>
      <c r="I224" s="6"/>
    </row>
    <row r="225" spans="5:9" x14ac:dyDescent="0.25">
      <c r="E225" s="3"/>
      <c r="F225" s="7"/>
      <c r="G225" s="4"/>
      <c r="H225" s="4"/>
      <c r="I225" s="6"/>
    </row>
    <row r="226" spans="5:9" x14ac:dyDescent="0.25">
      <c r="E226" s="3"/>
      <c r="F226" s="7"/>
      <c r="G226" s="4"/>
      <c r="H226" s="4"/>
      <c r="I226" s="6"/>
    </row>
    <row r="227" spans="5:9" x14ac:dyDescent="0.25">
      <c r="E227" s="3"/>
      <c r="F227" s="7"/>
      <c r="G227" s="4"/>
      <c r="H227" s="4"/>
      <c r="I227" s="6"/>
    </row>
    <row r="228" spans="5:9" x14ac:dyDescent="0.25">
      <c r="E228" s="3"/>
      <c r="F228" s="7"/>
      <c r="G228" s="4"/>
      <c r="H228" s="4"/>
      <c r="I228" s="6"/>
    </row>
    <row r="229" spans="5:9" x14ac:dyDescent="0.25">
      <c r="E229" s="3"/>
      <c r="F229" s="7"/>
      <c r="G229" s="4"/>
      <c r="H229" s="4"/>
      <c r="I229" s="6"/>
    </row>
    <row r="230" spans="5:9" x14ac:dyDescent="0.25">
      <c r="E230" s="3"/>
      <c r="F230" s="7"/>
      <c r="G230" s="4"/>
      <c r="H230" s="4"/>
      <c r="I230" s="6"/>
    </row>
    <row r="231" spans="5:9" x14ac:dyDescent="0.25">
      <c r="E231" s="3"/>
      <c r="F231" s="7"/>
      <c r="G231" s="4"/>
      <c r="H231" s="4"/>
      <c r="I231" s="6"/>
    </row>
    <row r="232" spans="5:9" x14ac:dyDescent="0.25">
      <c r="E232" s="3"/>
      <c r="F232" s="7"/>
      <c r="G232" s="4"/>
      <c r="H232" s="4"/>
      <c r="I232" s="6"/>
    </row>
    <row r="233" spans="5:9" x14ac:dyDescent="0.25">
      <c r="E233" s="3"/>
      <c r="F233" s="7"/>
      <c r="G233" s="4"/>
      <c r="H233" s="4"/>
      <c r="I233" s="6"/>
    </row>
    <row r="234" spans="5:9" x14ac:dyDescent="0.25">
      <c r="E234" s="3"/>
      <c r="F234" s="7"/>
      <c r="G234" s="4"/>
      <c r="H234" s="4"/>
      <c r="I234" s="6"/>
    </row>
    <row r="235" spans="5:9" x14ac:dyDescent="0.25">
      <c r="E235" s="3"/>
      <c r="F235" s="7"/>
      <c r="G235" s="4"/>
      <c r="H235" s="4"/>
      <c r="I235" s="6"/>
    </row>
    <row r="236" spans="5:9" x14ac:dyDescent="0.25">
      <c r="E236" s="3"/>
      <c r="F236" s="7"/>
      <c r="G236" s="4"/>
      <c r="H236" s="4"/>
      <c r="I236" s="6"/>
    </row>
    <row r="237" spans="5:9" x14ac:dyDescent="0.25">
      <c r="E237" s="3"/>
      <c r="F237" s="7"/>
      <c r="G237" s="4"/>
      <c r="H237" s="4"/>
      <c r="I237" s="6"/>
    </row>
    <row r="238" spans="5:9" x14ac:dyDescent="0.25">
      <c r="E238" s="3"/>
      <c r="F238" s="7"/>
      <c r="G238" s="4"/>
      <c r="H238" s="4"/>
      <c r="I238" s="6"/>
    </row>
    <row r="239" spans="5:9" x14ac:dyDescent="0.25">
      <c r="E239" s="3"/>
      <c r="F239" s="7"/>
      <c r="G239" s="4"/>
      <c r="H239" s="4"/>
      <c r="I239" s="6"/>
    </row>
    <row r="240" spans="5:9" x14ac:dyDescent="0.25">
      <c r="E240" s="3"/>
      <c r="F240" s="7"/>
      <c r="G240" s="4"/>
      <c r="H240" s="4"/>
      <c r="I240" s="6"/>
    </row>
    <row r="241" spans="5:9" x14ac:dyDescent="0.25">
      <c r="E241" s="3"/>
      <c r="F241" s="7"/>
      <c r="G241" s="4"/>
      <c r="H241" s="4"/>
      <c r="I241" s="6"/>
    </row>
    <row r="242" spans="5:9" x14ac:dyDescent="0.25">
      <c r="E242" s="3"/>
      <c r="F242" s="7"/>
      <c r="G242" s="4"/>
      <c r="H242" s="4"/>
      <c r="I242" s="6"/>
    </row>
    <row r="243" spans="5:9" x14ac:dyDescent="0.25">
      <c r="E243" s="3"/>
      <c r="F243" s="7"/>
      <c r="G243" s="4"/>
      <c r="H243" s="4"/>
      <c r="I243" s="6"/>
    </row>
    <row r="244" spans="5:9" x14ac:dyDescent="0.25">
      <c r="E244" s="3"/>
      <c r="F244" s="7"/>
      <c r="G244" s="4"/>
      <c r="H244" s="4"/>
      <c r="I244" s="6"/>
    </row>
    <row r="245" spans="5:9" x14ac:dyDescent="0.25">
      <c r="E245" s="3"/>
      <c r="F245" s="7"/>
      <c r="G245" s="4"/>
      <c r="H245" s="4"/>
      <c r="I245" s="6"/>
    </row>
    <row r="246" spans="5:9" x14ac:dyDescent="0.25">
      <c r="E246" s="3"/>
      <c r="F246" s="7"/>
      <c r="G246" s="4"/>
      <c r="H246" s="4"/>
      <c r="I246" s="6"/>
    </row>
    <row r="247" spans="5:9" x14ac:dyDescent="0.25">
      <c r="E247" s="3"/>
      <c r="F247" s="7"/>
      <c r="G247" s="4"/>
      <c r="H247" s="4"/>
      <c r="I247" s="6"/>
    </row>
    <row r="248" spans="5:9" x14ac:dyDescent="0.25">
      <c r="E248" s="3"/>
      <c r="F248" s="7"/>
      <c r="G248" s="4"/>
      <c r="H248" s="4"/>
      <c r="I248" s="6"/>
    </row>
    <row r="249" spans="5:9" x14ac:dyDescent="0.25">
      <c r="E249" s="3"/>
      <c r="F249" s="7"/>
      <c r="G249" s="4"/>
      <c r="H249" s="4"/>
      <c r="I249" s="6"/>
    </row>
    <row r="250" spans="5:9" x14ac:dyDescent="0.25">
      <c r="E250" s="3"/>
      <c r="F250" s="7"/>
      <c r="G250" s="4"/>
      <c r="H250" s="4"/>
      <c r="I250" s="6"/>
    </row>
    <row r="251" spans="5:9" x14ac:dyDescent="0.25">
      <c r="E251" s="3"/>
      <c r="F251" s="7"/>
      <c r="G251" s="4"/>
      <c r="H251" s="4"/>
      <c r="I251" s="6"/>
    </row>
    <row r="252" spans="5:9" x14ac:dyDescent="0.25">
      <c r="E252" s="3"/>
      <c r="F252" s="7"/>
      <c r="G252" s="4"/>
      <c r="H252" s="4"/>
      <c r="I252" s="6"/>
    </row>
    <row r="253" spans="5:9" x14ac:dyDescent="0.25">
      <c r="E253" s="3"/>
      <c r="F253" s="7"/>
      <c r="G253" s="4"/>
      <c r="H253" s="4"/>
      <c r="I253" s="6"/>
    </row>
    <row r="254" spans="5:9" x14ac:dyDescent="0.25">
      <c r="E254" s="3"/>
      <c r="F254" s="7"/>
      <c r="G254" s="4"/>
      <c r="H254" s="4"/>
      <c r="I254" s="6"/>
    </row>
    <row r="255" spans="5:9" x14ac:dyDescent="0.25">
      <c r="E255" s="3"/>
      <c r="F255" s="7"/>
      <c r="G255" s="4"/>
      <c r="H255" s="4"/>
      <c r="I255" s="6"/>
    </row>
    <row r="256" spans="5:9" x14ac:dyDescent="0.25">
      <c r="E256" s="3"/>
      <c r="F256" s="7"/>
      <c r="G256" s="4"/>
      <c r="H256" s="4"/>
      <c r="I256" s="6"/>
    </row>
    <row r="257" spans="5:9" x14ac:dyDescent="0.25">
      <c r="E257" s="3"/>
      <c r="F257" s="7"/>
      <c r="G257" s="4"/>
      <c r="H257" s="4"/>
      <c r="I257" s="6"/>
    </row>
    <row r="258" spans="5:9" x14ac:dyDescent="0.25">
      <c r="E258" s="3"/>
      <c r="F258" s="7"/>
      <c r="G258" s="4"/>
      <c r="H258" s="4"/>
      <c r="I258" s="6"/>
    </row>
    <row r="259" spans="5:9" x14ac:dyDescent="0.25">
      <c r="E259" s="3"/>
      <c r="F259" s="7"/>
      <c r="G259" s="4"/>
      <c r="H259" s="4"/>
      <c r="I259" s="6"/>
    </row>
    <row r="260" spans="5:9" x14ac:dyDescent="0.25">
      <c r="E260" s="3"/>
      <c r="F260" s="7"/>
      <c r="G260" s="4"/>
      <c r="H260" s="4"/>
      <c r="I260" s="6"/>
    </row>
    <row r="261" spans="5:9" x14ac:dyDescent="0.25">
      <c r="E261" s="3"/>
      <c r="F261" s="7"/>
      <c r="G261" s="4"/>
      <c r="H261" s="4"/>
      <c r="I261" s="6"/>
    </row>
    <row r="262" spans="5:9" x14ac:dyDescent="0.25">
      <c r="E262" s="3"/>
      <c r="F262" s="7"/>
      <c r="G262" s="4"/>
      <c r="H262" s="4"/>
      <c r="I262" s="6"/>
    </row>
    <row r="263" spans="5:9" x14ac:dyDescent="0.25">
      <c r="E263" s="3"/>
      <c r="F263" s="7"/>
      <c r="G263" s="4"/>
      <c r="H263" s="4"/>
      <c r="I263" s="6"/>
    </row>
    <row r="264" spans="5:9" x14ac:dyDescent="0.25">
      <c r="E264" s="3"/>
      <c r="F264" s="7"/>
      <c r="G264" s="4"/>
      <c r="H264" s="4"/>
      <c r="I264" s="6"/>
    </row>
    <row r="265" spans="5:9" x14ac:dyDescent="0.25">
      <c r="E265" s="3"/>
      <c r="F265" s="7"/>
      <c r="G265" s="4"/>
      <c r="H265" s="4"/>
      <c r="I265" s="6"/>
    </row>
    <row r="266" spans="5:9" x14ac:dyDescent="0.25">
      <c r="E266" s="3"/>
      <c r="F266" s="7"/>
      <c r="G266" s="4"/>
      <c r="H266" s="4"/>
      <c r="I266" s="6"/>
    </row>
    <row r="267" spans="5:9" x14ac:dyDescent="0.25">
      <c r="E267" s="3"/>
      <c r="F267" s="7"/>
      <c r="G267" s="4"/>
      <c r="H267" s="4"/>
      <c r="I267" s="6"/>
    </row>
    <row r="268" spans="5:9" x14ac:dyDescent="0.25">
      <c r="E268" s="3"/>
      <c r="F268" s="7"/>
      <c r="G268" s="4"/>
      <c r="H268" s="4"/>
      <c r="I268" s="6"/>
    </row>
    <row r="269" spans="5:9" x14ac:dyDescent="0.25">
      <c r="E269" s="3"/>
      <c r="F269" s="7"/>
      <c r="G269" s="4"/>
      <c r="H269" s="4"/>
      <c r="I269" s="6"/>
    </row>
    <row r="270" spans="5:9" x14ac:dyDescent="0.25">
      <c r="E270" s="3"/>
      <c r="F270" s="7"/>
      <c r="G270" s="4"/>
      <c r="H270" s="4"/>
      <c r="I270" s="6"/>
    </row>
    <row r="271" spans="5:9" x14ac:dyDescent="0.25">
      <c r="E271" s="3"/>
      <c r="F271" s="7"/>
      <c r="G271" s="4"/>
      <c r="H271" s="4"/>
      <c r="I271" s="6"/>
    </row>
    <row r="272" spans="5:9" x14ac:dyDescent="0.25">
      <c r="E272" s="3"/>
      <c r="F272" s="7"/>
      <c r="G272" s="4"/>
      <c r="H272" s="4"/>
      <c r="I272" s="6"/>
    </row>
    <row r="273" spans="5:9" x14ac:dyDescent="0.25">
      <c r="E273" s="3"/>
      <c r="F273" s="7"/>
      <c r="G273" s="4"/>
      <c r="H273" s="4"/>
      <c r="I273" s="6"/>
    </row>
    <row r="274" spans="5:9" x14ac:dyDescent="0.25">
      <c r="E274" s="3"/>
      <c r="F274" s="7"/>
      <c r="G274" s="4"/>
      <c r="H274" s="4"/>
      <c r="I274" s="6"/>
    </row>
    <row r="275" spans="5:9" x14ac:dyDescent="0.25">
      <c r="E275" s="3"/>
      <c r="F275" s="7"/>
      <c r="G275" s="4"/>
      <c r="H275" s="4"/>
      <c r="I275" s="6"/>
    </row>
    <row r="276" spans="5:9" x14ac:dyDescent="0.25">
      <c r="E276" s="3"/>
      <c r="F276" s="7"/>
      <c r="G276" s="4"/>
      <c r="H276" s="4"/>
      <c r="I276" s="6"/>
    </row>
    <row r="277" spans="5:9" x14ac:dyDescent="0.25">
      <c r="E277" s="3"/>
      <c r="F277" s="7"/>
      <c r="G277" s="4"/>
      <c r="H277" s="4"/>
      <c r="I277" s="6"/>
    </row>
    <row r="278" spans="5:9" x14ac:dyDescent="0.25">
      <c r="E278" s="3"/>
      <c r="F278" s="7"/>
      <c r="G278" s="4"/>
      <c r="H278" s="4"/>
      <c r="I278" s="6"/>
    </row>
    <row r="279" spans="5:9" x14ac:dyDescent="0.25">
      <c r="E279" s="3"/>
      <c r="F279" s="7"/>
      <c r="G279" s="4"/>
      <c r="H279" s="4"/>
      <c r="I279" s="6"/>
    </row>
    <row r="280" spans="5:9" x14ac:dyDescent="0.25">
      <c r="E280" s="3"/>
      <c r="F280" s="7"/>
      <c r="G280" s="4"/>
      <c r="H280" s="4"/>
      <c r="I280" s="6"/>
    </row>
    <row r="281" spans="5:9" x14ac:dyDescent="0.25">
      <c r="E281" s="3"/>
      <c r="F281" s="7"/>
      <c r="G281" s="4"/>
      <c r="H281" s="4"/>
      <c r="I281" s="6"/>
    </row>
    <row r="282" spans="5:9" x14ac:dyDescent="0.25">
      <c r="E282" s="3"/>
      <c r="F282" s="7"/>
      <c r="G282" s="4"/>
      <c r="H282" s="4"/>
      <c r="I282" s="6"/>
    </row>
    <row r="283" spans="5:9" x14ac:dyDescent="0.25">
      <c r="E283" s="3"/>
      <c r="F283" s="7"/>
      <c r="G283" s="4"/>
      <c r="H283" s="4"/>
      <c r="I283" s="6"/>
    </row>
    <row r="284" spans="5:9" x14ac:dyDescent="0.25">
      <c r="E284" s="3"/>
      <c r="F284" s="7"/>
      <c r="G284" s="4"/>
      <c r="H284" s="4"/>
      <c r="I284" s="6"/>
    </row>
    <row r="285" spans="5:9" x14ac:dyDescent="0.25">
      <c r="E285" s="3"/>
      <c r="F285" s="7"/>
      <c r="G285" s="4"/>
      <c r="H285" s="4"/>
      <c r="I285" s="6"/>
    </row>
    <row r="286" spans="5:9" x14ac:dyDescent="0.25">
      <c r="E286" s="3"/>
      <c r="F286" s="7"/>
      <c r="G286" s="4"/>
      <c r="H286" s="4"/>
      <c r="I286" s="6"/>
    </row>
    <row r="287" spans="5:9" x14ac:dyDescent="0.25">
      <c r="E287" s="3"/>
      <c r="F287" s="7"/>
      <c r="G287" s="4"/>
      <c r="H287" s="4"/>
      <c r="I287" s="6"/>
    </row>
    <row r="288" spans="5:9" x14ac:dyDescent="0.25">
      <c r="E288" s="3"/>
      <c r="F288" s="7"/>
      <c r="G288" s="4"/>
      <c r="H288" s="4"/>
      <c r="I288" s="6"/>
    </row>
    <row r="289" spans="5:9" x14ac:dyDescent="0.25">
      <c r="E289" s="3"/>
      <c r="F289" s="7"/>
      <c r="G289" s="4"/>
      <c r="H289" s="4"/>
      <c r="I289" s="6"/>
    </row>
    <row r="290" spans="5:9" x14ac:dyDescent="0.25">
      <c r="E290" s="3"/>
      <c r="F290" s="7"/>
      <c r="G290" s="4"/>
      <c r="H290" s="4"/>
      <c r="I290" s="6"/>
    </row>
    <row r="291" spans="5:9" x14ac:dyDescent="0.25">
      <c r="E291" s="3"/>
      <c r="F291" s="7"/>
      <c r="G291" s="4"/>
      <c r="H291" s="4"/>
      <c r="I291" s="6"/>
    </row>
    <row r="292" spans="5:9" x14ac:dyDescent="0.25">
      <c r="E292" s="3"/>
      <c r="F292" s="7"/>
      <c r="G292" s="4"/>
      <c r="H292" s="4"/>
      <c r="I292" s="6"/>
    </row>
    <row r="293" spans="5:9" x14ac:dyDescent="0.25">
      <c r="E293" s="3"/>
      <c r="F293" s="7"/>
      <c r="G293" s="4"/>
      <c r="H293" s="4"/>
      <c r="I293" s="6"/>
    </row>
    <row r="294" spans="5:9" x14ac:dyDescent="0.25">
      <c r="E294" s="3"/>
      <c r="F294" s="7"/>
      <c r="G294" s="4"/>
      <c r="H294" s="4"/>
      <c r="I294" s="6"/>
    </row>
    <row r="295" spans="5:9" x14ac:dyDescent="0.25">
      <c r="E295" s="3"/>
      <c r="F295" s="7"/>
      <c r="G295" s="4"/>
      <c r="H295" s="4"/>
      <c r="I295" s="6"/>
    </row>
    <row r="296" spans="5:9" x14ac:dyDescent="0.25">
      <c r="E296" s="3"/>
      <c r="F296" s="7"/>
      <c r="G296" s="4"/>
      <c r="H296" s="4"/>
      <c r="I296" s="6"/>
    </row>
    <row r="297" spans="5:9" x14ac:dyDescent="0.25">
      <c r="E297" s="3"/>
      <c r="F297" s="7"/>
      <c r="G297" s="4"/>
      <c r="H297" s="4"/>
      <c r="I297" s="6"/>
    </row>
    <row r="298" spans="5:9" x14ac:dyDescent="0.25">
      <c r="E298" s="3"/>
      <c r="F298" s="7"/>
      <c r="G298" s="4"/>
      <c r="H298" s="4"/>
      <c r="I298" s="6"/>
    </row>
    <row r="299" spans="5:9" x14ac:dyDescent="0.25">
      <c r="E299" s="3"/>
      <c r="F299" s="7"/>
      <c r="G299" s="4"/>
      <c r="H299" s="4"/>
      <c r="I299" s="6"/>
    </row>
    <row r="300" spans="5:9" x14ac:dyDescent="0.25">
      <c r="E300" s="3"/>
      <c r="F300" s="7"/>
      <c r="G300" s="4"/>
      <c r="H300" s="4"/>
      <c r="I300" s="6"/>
    </row>
    <row r="301" spans="5:9" x14ac:dyDescent="0.25">
      <c r="E301" s="3"/>
      <c r="F301" s="7"/>
      <c r="G301" s="4"/>
      <c r="H301" s="4"/>
      <c r="I301" s="6"/>
    </row>
    <row r="302" spans="5:9" x14ac:dyDescent="0.25">
      <c r="E302" s="3"/>
      <c r="F302" s="7"/>
      <c r="G302" s="4"/>
      <c r="H302" s="4"/>
      <c r="I302" s="6"/>
    </row>
    <row r="303" spans="5:9" x14ac:dyDescent="0.25">
      <c r="E303" s="3"/>
      <c r="F303" s="7"/>
      <c r="G303" s="4"/>
      <c r="H303" s="4"/>
      <c r="I303" s="6"/>
    </row>
    <row r="304" spans="5:9" x14ac:dyDescent="0.25">
      <c r="E304" s="3"/>
      <c r="F304" s="7"/>
      <c r="G304" s="4"/>
      <c r="H304" s="4"/>
      <c r="I304" s="6"/>
    </row>
    <row r="305" spans="5:9" x14ac:dyDescent="0.25">
      <c r="E305" s="3"/>
      <c r="F305" s="7"/>
      <c r="G305" s="4"/>
      <c r="H305" s="4"/>
      <c r="I305" s="6"/>
    </row>
    <row r="306" spans="5:9" x14ac:dyDescent="0.25">
      <c r="E306" s="3"/>
      <c r="F306" s="7"/>
      <c r="G306" s="4"/>
      <c r="H306" s="4"/>
      <c r="I306" s="6"/>
    </row>
    <row r="307" spans="5:9" x14ac:dyDescent="0.25">
      <c r="E307" s="3"/>
      <c r="F307" s="7"/>
      <c r="G307" s="4"/>
      <c r="H307" s="4"/>
      <c r="I307" s="6"/>
    </row>
    <row r="308" spans="5:9" x14ac:dyDescent="0.25">
      <c r="E308" s="3"/>
      <c r="F308" s="7"/>
      <c r="G308" s="4"/>
      <c r="H308" s="4"/>
      <c r="I308" s="6"/>
    </row>
    <row r="309" spans="5:9" x14ac:dyDescent="0.25">
      <c r="E309" s="3"/>
      <c r="F309" s="7"/>
      <c r="G309" s="4"/>
      <c r="H309" s="4"/>
      <c r="I309" s="6"/>
    </row>
    <row r="310" spans="5:9" x14ac:dyDescent="0.25">
      <c r="E310" s="3"/>
      <c r="F310" s="7"/>
      <c r="G310" s="4"/>
      <c r="H310" s="4"/>
      <c r="I310" s="6"/>
    </row>
    <row r="311" spans="5:9" x14ac:dyDescent="0.25">
      <c r="E311" s="3"/>
      <c r="F311" s="7"/>
      <c r="G311" s="4"/>
      <c r="H311" s="4"/>
      <c r="I311" s="6"/>
    </row>
    <row r="312" spans="5:9" x14ac:dyDescent="0.25">
      <c r="E312" s="3"/>
      <c r="F312" s="7"/>
      <c r="G312" s="4"/>
      <c r="H312" s="4"/>
      <c r="I312" s="6"/>
    </row>
    <row r="313" spans="5:9" x14ac:dyDescent="0.25">
      <c r="E313" s="3"/>
      <c r="F313" s="7"/>
      <c r="G313" s="4"/>
      <c r="H313" s="4"/>
      <c r="I313" s="6"/>
    </row>
    <row r="314" spans="5:9" x14ac:dyDescent="0.25">
      <c r="E314" s="3"/>
      <c r="F314" s="7"/>
      <c r="G314" s="4"/>
      <c r="H314" s="4"/>
      <c r="I314" s="6"/>
    </row>
    <row r="315" spans="5:9" x14ac:dyDescent="0.25">
      <c r="E315" s="3"/>
      <c r="F315" s="7"/>
      <c r="G315" s="4"/>
      <c r="H315" s="4"/>
      <c r="I315" s="6"/>
    </row>
    <row r="316" spans="5:9" x14ac:dyDescent="0.25">
      <c r="E316" s="3"/>
      <c r="F316" s="7"/>
      <c r="G316" s="4"/>
      <c r="H316" s="4"/>
      <c r="I316" s="6"/>
    </row>
    <row r="317" spans="5:9" x14ac:dyDescent="0.25">
      <c r="E317" s="3"/>
      <c r="F317" s="7"/>
      <c r="G317" s="4"/>
      <c r="H317" s="4"/>
      <c r="I317" s="6"/>
    </row>
    <row r="318" spans="5:9" x14ac:dyDescent="0.25">
      <c r="E318" s="3"/>
      <c r="F318" s="7"/>
      <c r="G318" s="4"/>
      <c r="H318" s="4"/>
      <c r="I318" s="6"/>
    </row>
    <row r="319" spans="5:9" x14ac:dyDescent="0.25">
      <c r="E319" s="3"/>
      <c r="F319" s="7"/>
      <c r="G319" s="4"/>
      <c r="H319" s="4"/>
      <c r="I319" s="6"/>
    </row>
    <row r="320" spans="5:9" x14ac:dyDescent="0.25">
      <c r="E320" s="3"/>
      <c r="F320" s="7"/>
      <c r="G320" s="4"/>
      <c r="H320" s="4"/>
      <c r="I320" s="6"/>
    </row>
    <row r="321" spans="5:9" x14ac:dyDescent="0.25">
      <c r="E321" s="3"/>
      <c r="F321" s="7"/>
      <c r="G321" s="4"/>
      <c r="H321" s="4"/>
      <c r="I321" s="6"/>
    </row>
    <row r="322" spans="5:9" x14ac:dyDescent="0.25">
      <c r="E322" s="3"/>
      <c r="F322" s="7"/>
      <c r="G322" s="4"/>
      <c r="H322" s="4"/>
      <c r="I322" s="6"/>
    </row>
    <row r="323" spans="5:9" x14ac:dyDescent="0.25">
      <c r="E323" s="3"/>
      <c r="F323" s="7"/>
      <c r="G323" s="4"/>
      <c r="H323" s="4"/>
      <c r="I323" s="6"/>
    </row>
    <row r="324" spans="5:9" x14ac:dyDescent="0.25">
      <c r="E324" s="3"/>
      <c r="F324" s="7"/>
      <c r="G324" s="4"/>
      <c r="H324" s="4"/>
      <c r="I324" s="6"/>
    </row>
    <row r="325" spans="5:9" x14ac:dyDescent="0.25">
      <c r="E325" s="3"/>
      <c r="F325" s="7"/>
      <c r="G325" s="4"/>
      <c r="H325" s="4"/>
      <c r="I325" s="6"/>
    </row>
    <row r="326" spans="5:9" x14ac:dyDescent="0.25">
      <c r="E326" s="3"/>
      <c r="F326" s="7"/>
      <c r="G326" s="4"/>
      <c r="H326" s="4"/>
      <c r="I326" s="6"/>
    </row>
    <row r="327" spans="5:9" x14ac:dyDescent="0.25">
      <c r="E327" s="3"/>
      <c r="F327" s="7"/>
      <c r="G327" s="4"/>
      <c r="H327" s="4"/>
      <c r="I327" s="6"/>
    </row>
    <row r="328" spans="5:9" x14ac:dyDescent="0.25">
      <c r="E328" s="3"/>
      <c r="F328" s="7"/>
      <c r="G328" s="4"/>
      <c r="H328" s="4"/>
      <c r="I328" s="6"/>
    </row>
    <row r="329" spans="5:9" x14ac:dyDescent="0.25">
      <c r="E329" s="3"/>
      <c r="F329" s="7"/>
      <c r="G329" s="4"/>
      <c r="H329" s="4"/>
      <c r="I329" s="6"/>
    </row>
    <row r="330" spans="5:9" x14ac:dyDescent="0.25">
      <c r="E330" s="3"/>
      <c r="F330" s="7"/>
      <c r="G330" s="4"/>
      <c r="H330" s="4"/>
      <c r="I330" s="6"/>
    </row>
    <row r="331" spans="5:9" x14ac:dyDescent="0.25">
      <c r="E331" s="3"/>
      <c r="F331" s="7"/>
      <c r="G331" s="4"/>
      <c r="H331" s="4"/>
      <c r="I331" s="6"/>
    </row>
    <row r="332" spans="5:9" x14ac:dyDescent="0.25">
      <c r="E332" s="3"/>
      <c r="F332" s="7"/>
      <c r="G332" s="4"/>
      <c r="H332" s="4"/>
      <c r="I332" s="6"/>
    </row>
    <row r="333" spans="5:9" x14ac:dyDescent="0.25">
      <c r="E333" s="3"/>
      <c r="F333" s="7"/>
      <c r="G333" s="4"/>
      <c r="H333" s="4"/>
      <c r="I333" s="6"/>
    </row>
    <row r="334" spans="5:9" x14ac:dyDescent="0.25">
      <c r="E334" s="3"/>
      <c r="F334" s="7"/>
      <c r="G334" s="4"/>
      <c r="H334" s="4"/>
      <c r="I334" s="6"/>
    </row>
    <row r="335" spans="5:9" x14ac:dyDescent="0.25">
      <c r="E335" s="3"/>
      <c r="F335" s="7"/>
      <c r="G335" s="4"/>
      <c r="H335" s="4"/>
      <c r="I335" s="6"/>
    </row>
    <row r="336" spans="5:9" x14ac:dyDescent="0.25">
      <c r="E336" s="3"/>
      <c r="F336" s="7"/>
      <c r="G336" s="4"/>
      <c r="H336" s="4"/>
      <c r="I336" s="6"/>
    </row>
    <row r="337" spans="5:9" x14ac:dyDescent="0.25">
      <c r="E337" s="3"/>
      <c r="F337" s="7"/>
      <c r="G337" s="4"/>
      <c r="H337" s="4"/>
      <c r="I337" s="6"/>
    </row>
    <row r="338" spans="5:9" x14ac:dyDescent="0.25">
      <c r="E338" s="3"/>
      <c r="F338" s="7"/>
      <c r="G338" s="4"/>
      <c r="H338" s="4"/>
      <c r="I338" s="6"/>
    </row>
    <row r="339" spans="5:9" x14ac:dyDescent="0.25">
      <c r="E339" s="3"/>
      <c r="F339" s="7"/>
      <c r="G339" s="4"/>
      <c r="H339" s="4"/>
      <c r="I339" s="6"/>
    </row>
    <row r="340" spans="5:9" x14ac:dyDescent="0.25">
      <c r="E340" s="3"/>
      <c r="F340" s="7"/>
      <c r="G340" s="4"/>
      <c r="H340" s="4"/>
      <c r="I340" s="6"/>
    </row>
    <row r="341" spans="5:9" x14ac:dyDescent="0.25">
      <c r="E341" s="3"/>
      <c r="F341" s="7"/>
      <c r="G341" s="4"/>
      <c r="H341" s="4"/>
      <c r="I341" s="6"/>
    </row>
    <row r="342" spans="5:9" x14ac:dyDescent="0.25">
      <c r="E342" s="3"/>
      <c r="F342" s="7"/>
      <c r="G342" s="4"/>
      <c r="H342" s="4"/>
      <c r="I342" s="6"/>
    </row>
    <row r="343" spans="5:9" x14ac:dyDescent="0.25">
      <c r="E343" s="3"/>
      <c r="F343" s="7"/>
      <c r="G343" s="4"/>
      <c r="H343" s="4"/>
      <c r="I343" s="6"/>
    </row>
    <row r="344" spans="5:9" x14ac:dyDescent="0.25">
      <c r="E344" s="3"/>
      <c r="F344" s="7"/>
      <c r="G344" s="4"/>
      <c r="H344" s="4"/>
      <c r="I344" s="6"/>
    </row>
    <row r="345" spans="5:9" x14ac:dyDescent="0.25">
      <c r="E345" s="3"/>
      <c r="F345" s="7"/>
      <c r="G345" s="4"/>
      <c r="H345" s="4"/>
      <c r="I345" s="6"/>
    </row>
    <row r="346" spans="5:9" x14ac:dyDescent="0.25">
      <c r="E346" s="3"/>
      <c r="F346" s="7"/>
      <c r="G346" s="4"/>
      <c r="H346" s="4"/>
      <c r="I346" s="6"/>
    </row>
    <row r="347" spans="5:9" x14ac:dyDescent="0.25">
      <c r="E347" s="3"/>
      <c r="F347" s="7"/>
      <c r="G347" s="4"/>
      <c r="H347" s="4"/>
      <c r="I347" s="6"/>
    </row>
    <row r="348" spans="5:9" x14ac:dyDescent="0.25">
      <c r="E348" s="3"/>
      <c r="F348" s="7"/>
      <c r="G348" s="4"/>
      <c r="H348" s="4"/>
      <c r="I348" s="6"/>
    </row>
    <row r="349" spans="5:9" x14ac:dyDescent="0.25">
      <c r="E349" s="3"/>
      <c r="F349" s="7"/>
      <c r="G349" s="4"/>
      <c r="H349" s="4"/>
      <c r="I349" s="6"/>
    </row>
    <row r="350" spans="5:9" x14ac:dyDescent="0.25">
      <c r="E350" s="3"/>
      <c r="F350" s="7"/>
      <c r="G350" s="4"/>
      <c r="H350" s="4"/>
      <c r="I350" s="6"/>
    </row>
    <row r="351" spans="5:9" x14ac:dyDescent="0.25">
      <c r="E351" s="3"/>
      <c r="F351" s="7"/>
      <c r="G351" s="4"/>
      <c r="H351" s="4"/>
      <c r="I351" s="6"/>
    </row>
    <row r="352" spans="5:9" x14ac:dyDescent="0.25">
      <c r="E352" s="3"/>
      <c r="F352" s="7"/>
      <c r="G352" s="4"/>
      <c r="H352" s="4"/>
      <c r="I352" s="6"/>
    </row>
    <row r="353" spans="5:9" x14ac:dyDescent="0.25">
      <c r="E353" s="3"/>
      <c r="F353" s="7"/>
      <c r="G353" s="4"/>
      <c r="H353" s="4"/>
      <c r="I353" s="6"/>
    </row>
    <row r="354" spans="5:9" x14ac:dyDescent="0.25">
      <c r="E354" s="3"/>
      <c r="F354" s="7"/>
      <c r="G354" s="4"/>
      <c r="H354" s="4"/>
      <c r="I354" s="6"/>
    </row>
    <row r="355" spans="5:9" x14ac:dyDescent="0.25">
      <c r="E355" s="3"/>
      <c r="F355" s="7"/>
      <c r="G355" s="4"/>
      <c r="H355" s="4"/>
      <c r="I355" s="6"/>
    </row>
    <row r="356" spans="5:9" x14ac:dyDescent="0.25">
      <c r="E356" s="3"/>
      <c r="F356" s="7"/>
      <c r="G356" s="4"/>
      <c r="H356" s="4"/>
      <c r="I356" s="6"/>
    </row>
    <row r="357" spans="5:9" x14ac:dyDescent="0.25">
      <c r="E357" s="3"/>
      <c r="F357" s="7"/>
      <c r="G357" s="4"/>
      <c r="H357" s="4"/>
      <c r="I357" s="6"/>
    </row>
    <row r="358" spans="5:9" x14ac:dyDescent="0.25">
      <c r="E358" s="3"/>
      <c r="F358" s="7"/>
      <c r="G358" s="4"/>
      <c r="H358" s="4"/>
      <c r="I358" s="6"/>
    </row>
    <row r="359" spans="5:9" x14ac:dyDescent="0.25">
      <c r="E359" s="3"/>
      <c r="F359" s="7"/>
      <c r="G359" s="4"/>
      <c r="H359" s="4"/>
      <c r="I359" s="6"/>
    </row>
    <row r="360" spans="5:9" x14ac:dyDescent="0.25">
      <c r="E360" s="3"/>
      <c r="F360" s="7"/>
      <c r="G360" s="4"/>
      <c r="H360" s="4"/>
      <c r="I360" s="6"/>
    </row>
    <row r="361" spans="5:9" x14ac:dyDescent="0.25">
      <c r="E361" s="3"/>
      <c r="F361" s="7"/>
      <c r="G361" s="4"/>
      <c r="H361" s="4"/>
      <c r="I361" s="6"/>
    </row>
    <row r="362" spans="5:9" x14ac:dyDescent="0.25">
      <c r="E362" s="3"/>
      <c r="F362" s="7"/>
      <c r="G362" s="4"/>
      <c r="H362" s="4"/>
      <c r="I362" s="6"/>
    </row>
    <row r="363" spans="5:9" x14ac:dyDescent="0.25">
      <c r="E363" s="3"/>
      <c r="F363" s="7"/>
      <c r="G363" s="4"/>
      <c r="H363" s="4"/>
      <c r="I363" s="6"/>
    </row>
    <row r="364" spans="5:9" x14ac:dyDescent="0.25">
      <c r="E364" s="3"/>
      <c r="F364" s="7"/>
      <c r="G364" s="4"/>
      <c r="H364" s="4"/>
      <c r="I364" s="6"/>
    </row>
    <row r="365" spans="5:9" x14ac:dyDescent="0.25">
      <c r="E365" s="3"/>
      <c r="F365" s="7"/>
      <c r="G365" s="4"/>
      <c r="H365" s="4"/>
      <c r="I365" s="6"/>
    </row>
    <row r="366" spans="5:9" x14ac:dyDescent="0.25">
      <c r="E366" s="3"/>
      <c r="F366" s="7"/>
      <c r="G366" s="4"/>
      <c r="H366" s="4"/>
      <c r="I366" s="6"/>
    </row>
    <row r="367" spans="5:9" x14ac:dyDescent="0.25">
      <c r="E367" s="3"/>
      <c r="F367" s="7"/>
      <c r="G367" s="4"/>
      <c r="H367" s="4"/>
      <c r="I367" s="6"/>
    </row>
    <row r="368" spans="5:9" x14ac:dyDescent="0.25">
      <c r="E368" s="3"/>
      <c r="F368" s="7"/>
      <c r="G368" s="4"/>
      <c r="H368" s="4"/>
      <c r="I368" s="6"/>
    </row>
    <row r="369" spans="5:9" x14ac:dyDescent="0.25">
      <c r="E369" s="3"/>
      <c r="F369" s="7"/>
      <c r="G369" s="4"/>
      <c r="H369" s="4"/>
      <c r="I369" s="6"/>
    </row>
    <row r="370" spans="5:9" x14ac:dyDescent="0.25">
      <c r="E370" s="3"/>
      <c r="F370" s="7"/>
      <c r="G370" s="4"/>
      <c r="H370" s="4"/>
      <c r="I370" s="6"/>
    </row>
    <row r="371" spans="5:9" x14ac:dyDescent="0.25">
      <c r="E371" s="3"/>
      <c r="F371" s="7"/>
      <c r="G371" s="4"/>
      <c r="H371" s="4"/>
      <c r="I371" s="6"/>
    </row>
    <row r="372" spans="5:9" x14ac:dyDescent="0.25">
      <c r="E372" s="3"/>
      <c r="F372" s="7"/>
      <c r="G372" s="4"/>
      <c r="H372" s="4"/>
      <c r="I372" s="6"/>
    </row>
    <row r="373" spans="5:9" x14ac:dyDescent="0.25">
      <c r="E373" s="3"/>
      <c r="F373" s="7"/>
      <c r="G373" s="4"/>
      <c r="H373" s="4"/>
      <c r="I373" s="6"/>
    </row>
    <row r="374" spans="5:9" x14ac:dyDescent="0.25">
      <c r="E374" s="3"/>
      <c r="F374" s="7"/>
      <c r="G374" s="4"/>
      <c r="H374" s="4"/>
      <c r="I374" s="6"/>
    </row>
    <row r="375" spans="5:9" x14ac:dyDescent="0.25">
      <c r="E375" s="3"/>
      <c r="F375" s="7"/>
      <c r="G375" s="4"/>
      <c r="H375" s="4"/>
      <c r="I375" s="6"/>
    </row>
    <row r="376" spans="5:9" x14ac:dyDescent="0.25">
      <c r="E376" s="3"/>
      <c r="F376" s="7"/>
      <c r="G376" s="4"/>
      <c r="H376" s="4"/>
      <c r="I376" s="6"/>
    </row>
    <row r="377" spans="5:9" x14ac:dyDescent="0.25">
      <c r="E377" s="3"/>
      <c r="F377" s="7"/>
      <c r="G377" s="4"/>
      <c r="H377" s="4"/>
      <c r="I377" s="6"/>
    </row>
    <row r="378" spans="5:9" x14ac:dyDescent="0.25">
      <c r="E378" s="3"/>
      <c r="F378" s="7"/>
      <c r="G378" s="4"/>
      <c r="H378" s="4"/>
      <c r="I378" s="6"/>
    </row>
    <row r="379" spans="5:9" x14ac:dyDescent="0.25">
      <c r="E379" s="3"/>
      <c r="F379" s="7"/>
      <c r="G379" s="4"/>
      <c r="H379" s="4"/>
      <c r="I379" s="6"/>
    </row>
    <row r="380" spans="5:9" x14ac:dyDescent="0.25">
      <c r="E380" s="3"/>
      <c r="F380" s="7"/>
      <c r="G380" s="4"/>
      <c r="H380" s="4"/>
      <c r="I380" s="6"/>
    </row>
    <row r="381" spans="5:9" x14ac:dyDescent="0.25">
      <c r="E381" s="3"/>
      <c r="F381" s="7"/>
      <c r="G381" s="4"/>
      <c r="H381" s="4"/>
      <c r="I381" s="6"/>
    </row>
    <row r="382" spans="5:9" x14ac:dyDescent="0.25">
      <c r="E382" s="3"/>
      <c r="F382" s="7"/>
      <c r="G382" s="4"/>
      <c r="H382" s="4"/>
      <c r="I382" s="6"/>
    </row>
    <row r="383" spans="5:9" x14ac:dyDescent="0.25">
      <c r="E383" s="3"/>
      <c r="F383" s="7"/>
      <c r="G383" s="4"/>
      <c r="H383" s="4"/>
      <c r="I383" s="6"/>
    </row>
    <row r="384" spans="5:9" x14ac:dyDescent="0.25">
      <c r="E384" s="3"/>
      <c r="F384" s="7"/>
      <c r="G384" s="4"/>
      <c r="H384" s="4"/>
      <c r="I384" s="6"/>
    </row>
    <row r="385" spans="5:9" x14ac:dyDescent="0.25">
      <c r="E385" s="3"/>
      <c r="F385" s="7"/>
      <c r="G385" s="4"/>
      <c r="H385" s="4"/>
      <c r="I385" s="6"/>
    </row>
    <row r="386" spans="5:9" x14ac:dyDescent="0.25">
      <c r="E386" s="3"/>
      <c r="F386" s="7"/>
      <c r="G386" s="4"/>
      <c r="H386" s="4"/>
      <c r="I386" s="6"/>
    </row>
    <row r="387" spans="5:9" x14ac:dyDescent="0.25">
      <c r="E387" s="3"/>
      <c r="F387" s="7"/>
      <c r="G387" s="4"/>
      <c r="H387" s="4"/>
      <c r="I387" s="6"/>
    </row>
    <row r="388" spans="5:9" x14ac:dyDescent="0.25">
      <c r="E388" s="3"/>
      <c r="F388" s="7"/>
      <c r="G388" s="4"/>
      <c r="H388" s="4"/>
      <c r="I388" s="6"/>
    </row>
    <row r="389" spans="5:9" x14ac:dyDescent="0.25">
      <c r="E389" s="3"/>
      <c r="F389" s="7"/>
      <c r="G389" s="4"/>
      <c r="H389" s="4"/>
      <c r="I389" s="6"/>
    </row>
    <row r="390" spans="5:9" x14ac:dyDescent="0.25">
      <c r="E390" s="3"/>
      <c r="F390" s="7"/>
      <c r="G390" s="4"/>
      <c r="H390" s="4"/>
      <c r="I390" s="6"/>
    </row>
    <row r="391" spans="5:9" x14ac:dyDescent="0.25">
      <c r="E391" s="3"/>
      <c r="F391" s="7"/>
      <c r="G391" s="4"/>
      <c r="H391" s="4"/>
      <c r="I391" s="6"/>
    </row>
    <row r="392" spans="5:9" x14ac:dyDescent="0.25">
      <c r="E392" s="3"/>
      <c r="F392" s="7"/>
      <c r="G392" s="4"/>
      <c r="H392" s="4"/>
      <c r="I392" s="6"/>
    </row>
    <row r="393" spans="5:9" x14ac:dyDescent="0.25">
      <c r="E393" s="3"/>
      <c r="F393" s="7"/>
      <c r="G393" s="4"/>
      <c r="H393" s="4"/>
      <c r="I393" s="6"/>
    </row>
    <row r="394" spans="5:9" x14ac:dyDescent="0.25">
      <c r="E394" s="3"/>
      <c r="F394" s="7"/>
      <c r="G394" s="4"/>
      <c r="H394" s="4"/>
      <c r="I394" s="6"/>
    </row>
    <row r="395" spans="5:9" x14ac:dyDescent="0.25">
      <c r="E395" s="3"/>
      <c r="F395" s="7"/>
      <c r="G395" s="4"/>
      <c r="H395" s="4"/>
      <c r="I395" s="6"/>
    </row>
    <row r="396" spans="5:9" x14ac:dyDescent="0.25">
      <c r="E396" s="3"/>
      <c r="F396" s="7"/>
      <c r="G396" s="4"/>
      <c r="H396" s="4"/>
      <c r="I396" s="6"/>
    </row>
    <row r="397" spans="5:9" x14ac:dyDescent="0.25">
      <c r="E397" s="3"/>
      <c r="F397" s="7"/>
      <c r="G397" s="4"/>
      <c r="H397" s="4"/>
      <c r="I397" s="6"/>
    </row>
    <row r="398" spans="5:9" x14ac:dyDescent="0.25">
      <c r="E398" s="3"/>
      <c r="F398" s="7"/>
      <c r="G398" s="4"/>
      <c r="H398" s="4"/>
      <c r="I398" s="6"/>
    </row>
    <row r="399" spans="5:9" x14ac:dyDescent="0.25">
      <c r="E399" s="3"/>
      <c r="F399" s="7"/>
      <c r="G399" s="4"/>
      <c r="H399" s="4"/>
      <c r="I399" s="6"/>
    </row>
    <row r="400" spans="5:9" x14ac:dyDescent="0.25">
      <c r="E400" s="3"/>
      <c r="F400" s="7"/>
      <c r="G400" s="4"/>
      <c r="H400" s="4"/>
      <c r="I400" s="6"/>
    </row>
    <row r="401" spans="5:9" x14ac:dyDescent="0.25">
      <c r="E401" s="3"/>
      <c r="F401" s="7"/>
      <c r="G401" s="4"/>
      <c r="H401" s="4"/>
      <c r="I401" s="6"/>
    </row>
    <row r="402" spans="5:9" x14ac:dyDescent="0.25">
      <c r="E402" s="3"/>
      <c r="F402" s="7"/>
      <c r="G402" s="4"/>
      <c r="H402" s="4"/>
      <c r="I402" s="6"/>
    </row>
    <row r="403" spans="5:9" x14ac:dyDescent="0.25">
      <c r="E403" s="3"/>
      <c r="F403" s="7"/>
      <c r="G403" s="4"/>
      <c r="H403" s="4"/>
      <c r="I403" s="6"/>
    </row>
    <row r="404" spans="5:9" x14ac:dyDescent="0.25">
      <c r="E404" s="3"/>
      <c r="F404" s="7"/>
      <c r="G404" s="4"/>
      <c r="H404" s="4"/>
      <c r="I404" s="6"/>
    </row>
    <row r="405" spans="5:9" x14ac:dyDescent="0.25">
      <c r="E405" s="3"/>
      <c r="F405" s="7"/>
      <c r="G405" s="4"/>
      <c r="H405" s="4"/>
      <c r="I405" s="6"/>
    </row>
    <row r="406" spans="5:9" x14ac:dyDescent="0.25">
      <c r="E406" s="3"/>
      <c r="F406" s="7"/>
      <c r="G406" s="4"/>
      <c r="H406" s="4"/>
      <c r="I406" s="6"/>
    </row>
    <row r="407" spans="5:9" x14ac:dyDescent="0.25">
      <c r="E407" s="3"/>
      <c r="F407" s="7"/>
      <c r="G407" s="4"/>
      <c r="H407" s="4"/>
      <c r="I407" s="6"/>
    </row>
    <row r="408" spans="5:9" x14ac:dyDescent="0.25">
      <c r="E408" s="3"/>
      <c r="F408" s="7"/>
      <c r="G408" s="4"/>
      <c r="H408" s="4"/>
      <c r="I408" s="6"/>
    </row>
    <row r="409" spans="5:9" x14ac:dyDescent="0.25">
      <c r="E409" s="3"/>
      <c r="F409" s="7"/>
      <c r="G409" s="4"/>
      <c r="H409" s="4"/>
      <c r="I409" s="6"/>
    </row>
    <row r="410" spans="5:9" x14ac:dyDescent="0.25">
      <c r="E410" s="3"/>
      <c r="F410" s="7"/>
      <c r="G410" s="4"/>
      <c r="H410" s="4"/>
      <c r="I410" s="6"/>
    </row>
    <row r="411" spans="5:9" x14ac:dyDescent="0.25">
      <c r="E411" s="3"/>
      <c r="F411" s="7"/>
      <c r="G411" s="4"/>
      <c r="H411" s="4"/>
      <c r="I411" s="6"/>
    </row>
    <row r="412" spans="5:9" x14ac:dyDescent="0.25">
      <c r="E412" s="3"/>
      <c r="F412" s="7"/>
      <c r="G412" s="4"/>
      <c r="H412" s="4"/>
      <c r="I412" s="6"/>
    </row>
    <row r="413" spans="5:9" x14ac:dyDescent="0.25">
      <c r="E413" s="3"/>
      <c r="F413" s="7"/>
      <c r="G413" s="4"/>
      <c r="H413" s="4"/>
      <c r="I413" s="6"/>
    </row>
    <row r="414" spans="5:9" x14ac:dyDescent="0.25">
      <c r="E414" s="3"/>
      <c r="F414" s="7"/>
      <c r="G414" s="4"/>
      <c r="H414" s="4"/>
      <c r="I414" s="6"/>
    </row>
    <row r="415" spans="5:9" x14ac:dyDescent="0.25">
      <c r="E415" s="3"/>
      <c r="F415" s="7"/>
      <c r="G415" s="4"/>
      <c r="H415" s="4"/>
      <c r="I415" s="6"/>
    </row>
    <row r="416" spans="5:9" x14ac:dyDescent="0.25">
      <c r="E416" s="3"/>
      <c r="F416" s="7"/>
      <c r="G416" s="4"/>
      <c r="H416" s="4"/>
      <c r="I416" s="6"/>
    </row>
    <row r="417" spans="5:9" x14ac:dyDescent="0.25">
      <c r="E417" s="3"/>
      <c r="F417" s="7"/>
      <c r="G417" s="4"/>
      <c r="H417" s="4"/>
      <c r="I417" s="6"/>
    </row>
    <row r="418" spans="5:9" x14ac:dyDescent="0.25">
      <c r="E418" s="3"/>
      <c r="F418" s="7"/>
      <c r="G418" s="4"/>
      <c r="H418" s="4"/>
      <c r="I418" s="6"/>
    </row>
    <row r="419" spans="5:9" x14ac:dyDescent="0.25">
      <c r="E419" s="3"/>
      <c r="F419" s="7"/>
      <c r="G419" s="4"/>
      <c r="H419" s="4"/>
      <c r="I419" s="6"/>
    </row>
    <row r="420" spans="5:9" x14ac:dyDescent="0.25">
      <c r="E420" s="3"/>
      <c r="F420" s="7"/>
      <c r="G420" s="4"/>
      <c r="H420" s="4"/>
      <c r="I420" s="6"/>
    </row>
    <row r="421" spans="5:9" x14ac:dyDescent="0.25">
      <c r="E421" s="3"/>
      <c r="F421" s="7"/>
      <c r="G421" s="4"/>
      <c r="H421" s="4"/>
      <c r="I421" s="6"/>
    </row>
    <row r="422" spans="5:9" x14ac:dyDescent="0.25">
      <c r="E422" s="3"/>
      <c r="F422" s="7"/>
      <c r="G422" s="4"/>
      <c r="H422" s="4"/>
      <c r="I422" s="6"/>
    </row>
    <row r="423" spans="5:9" x14ac:dyDescent="0.25">
      <c r="E423" s="3"/>
      <c r="F423" s="7"/>
      <c r="G423" s="4"/>
      <c r="H423" s="4"/>
      <c r="I423" s="6"/>
    </row>
    <row r="424" spans="5:9" x14ac:dyDescent="0.25">
      <c r="E424" s="3"/>
      <c r="F424" s="7"/>
      <c r="G424" s="4"/>
      <c r="H424" s="4"/>
      <c r="I424" s="6"/>
    </row>
    <row r="425" spans="5:9" x14ac:dyDescent="0.25">
      <c r="E425" s="3"/>
      <c r="F425" s="7"/>
      <c r="G425" s="4"/>
      <c r="H425" s="4"/>
      <c r="I425" s="6"/>
    </row>
    <row r="426" spans="5:9" x14ac:dyDescent="0.25">
      <c r="E426" s="3"/>
      <c r="F426" s="7"/>
      <c r="G426" s="4"/>
      <c r="H426" s="4"/>
      <c r="I426" s="6"/>
    </row>
    <row r="427" spans="5:9" x14ac:dyDescent="0.25">
      <c r="E427" s="3"/>
      <c r="F427" s="7"/>
      <c r="G427" s="4"/>
      <c r="H427" s="4"/>
      <c r="I427" s="6"/>
    </row>
    <row r="428" spans="5:9" x14ac:dyDescent="0.25">
      <c r="E428" s="3"/>
      <c r="F428" s="7"/>
      <c r="G428" s="4"/>
      <c r="H428" s="4"/>
      <c r="I428" s="6"/>
    </row>
    <row r="429" spans="5:9" x14ac:dyDescent="0.25">
      <c r="E429" s="3"/>
      <c r="F429" s="7"/>
      <c r="G429" s="4"/>
      <c r="H429" s="4"/>
      <c r="I429" s="6"/>
    </row>
    <row r="430" spans="5:9" x14ac:dyDescent="0.25">
      <c r="E430" s="3"/>
      <c r="F430" s="7"/>
      <c r="G430" s="4"/>
      <c r="H430" s="4"/>
      <c r="I430" s="6"/>
    </row>
    <row r="431" spans="5:9" x14ac:dyDescent="0.25">
      <c r="E431" s="3"/>
      <c r="F431" s="7"/>
      <c r="G431" s="4"/>
      <c r="H431" s="4"/>
      <c r="I431" s="6"/>
    </row>
    <row r="432" spans="5:9" x14ac:dyDescent="0.25">
      <c r="E432" s="3"/>
      <c r="F432" s="7"/>
      <c r="G432" s="4"/>
      <c r="H432" s="4"/>
      <c r="I432" s="6"/>
    </row>
    <row r="433" spans="5:9" x14ac:dyDescent="0.25">
      <c r="E433" s="3"/>
      <c r="F433" s="7"/>
      <c r="G433" s="4"/>
      <c r="H433" s="4"/>
      <c r="I433" s="6"/>
    </row>
    <row r="434" spans="5:9" x14ac:dyDescent="0.25">
      <c r="E434" s="3"/>
      <c r="F434" s="7"/>
      <c r="G434" s="4"/>
      <c r="H434" s="4"/>
      <c r="I434" s="6"/>
    </row>
    <row r="435" spans="5:9" x14ac:dyDescent="0.25">
      <c r="E435" s="3"/>
      <c r="F435" s="7"/>
      <c r="G435" s="4"/>
      <c r="H435" s="4"/>
      <c r="I435" s="6"/>
    </row>
    <row r="436" spans="5:9" x14ac:dyDescent="0.25">
      <c r="E436" s="3"/>
      <c r="F436" s="7"/>
      <c r="G436" s="4"/>
      <c r="H436" s="4"/>
      <c r="I436" s="6"/>
    </row>
    <row r="437" spans="5:9" x14ac:dyDescent="0.25">
      <c r="E437" s="3"/>
      <c r="F437" s="7"/>
      <c r="G437" s="4"/>
      <c r="H437" s="4"/>
      <c r="I437" s="6"/>
    </row>
    <row r="438" spans="5:9" x14ac:dyDescent="0.25">
      <c r="E438" s="3"/>
      <c r="F438" s="7"/>
      <c r="G438" s="4"/>
      <c r="H438" s="4"/>
      <c r="I438" s="6"/>
    </row>
    <row r="439" spans="5:9" x14ac:dyDescent="0.25">
      <c r="E439" s="3"/>
      <c r="F439" s="7"/>
      <c r="G439" s="4"/>
      <c r="H439" s="4"/>
      <c r="I439" s="6"/>
    </row>
    <row r="440" spans="5:9" x14ac:dyDescent="0.25">
      <c r="E440" s="3"/>
      <c r="F440" s="7"/>
      <c r="G440" s="4"/>
      <c r="H440" s="4"/>
      <c r="I440" s="6"/>
    </row>
    <row r="441" spans="5:9" x14ac:dyDescent="0.25">
      <c r="E441" s="3"/>
      <c r="F441" s="7"/>
      <c r="G441" s="4"/>
      <c r="H441" s="4"/>
      <c r="I441" s="6"/>
    </row>
    <row r="442" spans="5:9" x14ac:dyDescent="0.25">
      <c r="E442" s="3"/>
      <c r="F442" s="7"/>
      <c r="G442" s="4"/>
      <c r="H442" s="4"/>
      <c r="I442" s="6"/>
    </row>
    <row r="443" spans="5:9" x14ac:dyDescent="0.25">
      <c r="E443" s="3"/>
      <c r="F443" s="7"/>
      <c r="G443" s="4"/>
      <c r="H443" s="4"/>
      <c r="I443" s="6"/>
    </row>
    <row r="444" spans="5:9" x14ac:dyDescent="0.25">
      <c r="E444" s="3"/>
      <c r="F444" s="7"/>
      <c r="G444" s="4"/>
      <c r="H444" s="4"/>
      <c r="I444" s="6"/>
    </row>
    <row r="445" spans="5:9" x14ac:dyDescent="0.25">
      <c r="E445" s="3"/>
      <c r="F445" s="7"/>
      <c r="G445" s="4"/>
      <c r="H445" s="4"/>
      <c r="I445" s="6"/>
    </row>
    <row r="446" spans="5:9" x14ac:dyDescent="0.25">
      <c r="E446" s="3"/>
      <c r="F446" s="7"/>
      <c r="G446" s="4"/>
      <c r="H446" s="4"/>
      <c r="I446" s="6"/>
    </row>
    <row r="447" spans="5:9" x14ac:dyDescent="0.25">
      <c r="E447" s="3"/>
      <c r="F447" s="7"/>
      <c r="G447" s="4"/>
      <c r="H447" s="4"/>
      <c r="I447" s="6"/>
    </row>
    <row r="448" spans="5:9" x14ac:dyDescent="0.25">
      <c r="E448" s="3"/>
      <c r="F448" s="7"/>
      <c r="G448" s="4"/>
      <c r="H448" s="4"/>
      <c r="I448" s="6"/>
    </row>
    <row r="449" spans="5:9" x14ac:dyDescent="0.25">
      <c r="E449" s="3"/>
      <c r="F449" s="7"/>
      <c r="G449" s="4"/>
      <c r="H449" s="4"/>
      <c r="I449" s="6"/>
    </row>
    <row r="450" spans="5:9" x14ac:dyDescent="0.25">
      <c r="E450" s="3"/>
      <c r="F450" s="7"/>
      <c r="G450" s="4"/>
      <c r="H450" s="4"/>
      <c r="I450" s="6"/>
    </row>
    <row r="451" spans="5:9" x14ac:dyDescent="0.25">
      <c r="E451" s="3"/>
      <c r="F451" s="7"/>
      <c r="G451" s="4"/>
      <c r="H451" s="4"/>
      <c r="I451" s="6"/>
    </row>
    <row r="452" spans="5:9" x14ac:dyDescent="0.25">
      <c r="E452" s="3"/>
      <c r="F452" s="7"/>
      <c r="G452" s="4"/>
      <c r="H452" s="4"/>
      <c r="I452" s="6"/>
    </row>
    <row r="453" spans="5:9" x14ac:dyDescent="0.25">
      <c r="E453" s="3"/>
      <c r="F453" s="7"/>
      <c r="G453" s="4"/>
      <c r="H453" s="4"/>
      <c r="I453" s="6"/>
    </row>
    <row r="454" spans="5:9" x14ac:dyDescent="0.25">
      <c r="E454" s="3"/>
      <c r="F454" s="7"/>
      <c r="G454" s="4"/>
      <c r="H454" s="4"/>
      <c r="I454" s="6"/>
    </row>
    <row r="455" spans="5:9" x14ac:dyDescent="0.25">
      <c r="E455" s="3"/>
      <c r="F455" s="7"/>
      <c r="G455" s="4"/>
      <c r="H455" s="4"/>
      <c r="I455" s="6"/>
    </row>
    <row r="456" spans="5:9" x14ac:dyDescent="0.25">
      <c r="E456" s="3"/>
      <c r="F456" s="7"/>
      <c r="G456" s="4"/>
      <c r="H456" s="4"/>
      <c r="I456" s="6"/>
    </row>
    <row r="457" spans="5:9" x14ac:dyDescent="0.25">
      <c r="E457" s="3"/>
      <c r="F457" s="7"/>
      <c r="G457" s="4"/>
      <c r="H457" s="4"/>
      <c r="I457" s="6"/>
    </row>
    <row r="458" spans="5:9" x14ac:dyDescent="0.25">
      <c r="E458" s="3"/>
      <c r="F458" s="7"/>
      <c r="G458" s="4"/>
      <c r="H458" s="4"/>
      <c r="I458" s="6"/>
    </row>
    <row r="459" spans="5:9" x14ac:dyDescent="0.25">
      <c r="E459" s="3"/>
      <c r="F459" s="7"/>
      <c r="G459" s="4"/>
      <c r="H459" s="4"/>
      <c r="I459" s="6"/>
    </row>
    <row r="460" spans="5:9" x14ac:dyDescent="0.25">
      <c r="E460" s="3"/>
      <c r="F460" s="7"/>
      <c r="G460" s="4"/>
      <c r="H460" s="4"/>
      <c r="I460" s="6"/>
    </row>
    <row r="461" spans="5:9" x14ac:dyDescent="0.25">
      <c r="E461" s="3"/>
      <c r="F461" s="7"/>
      <c r="G461" s="4"/>
      <c r="H461" s="4"/>
      <c r="I461" s="6"/>
    </row>
    <row r="462" spans="5:9" x14ac:dyDescent="0.25">
      <c r="E462" s="3"/>
      <c r="F462" s="7"/>
      <c r="G462" s="4"/>
      <c r="H462" s="4"/>
      <c r="I462" s="6"/>
    </row>
    <row r="463" spans="5:9" x14ac:dyDescent="0.25">
      <c r="E463" s="3"/>
      <c r="F463" s="7"/>
      <c r="G463" s="4"/>
      <c r="H463" s="4"/>
      <c r="I463" s="6"/>
    </row>
    <row r="464" spans="5:9" x14ac:dyDescent="0.25">
      <c r="E464" s="3"/>
      <c r="F464" s="7"/>
      <c r="G464" s="4"/>
      <c r="H464" s="4"/>
      <c r="I464" s="6"/>
    </row>
    <row r="465" spans="5:9" x14ac:dyDescent="0.25">
      <c r="E465" s="3"/>
      <c r="F465" s="7"/>
      <c r="G465" s="4"/>
      <c r="H465" s="4"/>
      <c r="I465" s="6"/>
    </row>
    <row r="466" spans="5:9" x14ac:dyDescent="0.25">
      <c r="E466" s="3"/>
      <c r="F466" s="7"/>
      <c r="G466" s="4"/>
      <c r="H466" s="4"/>
      <c r="I466" s="6"/>
    </row>
    <row r="467" spans="5:9" x14ac:dyDescent="0.25">
      <c r="E467" s="3"/>
      <c r="F467" s="7"/>
      <c r="G467" s="4"/>
      <c r="H467" s="4"/>
      <c r="I467" s="6"/>
    </row>
    <row r="468" spans="5:9" x14ac:dyDescent="0.25">
      <c r="E468" s="3"/>
      <c r="F468" s="7"/>
      <c r="G468" s="4"/>
      <c r="H468" s="4"/>
      <c r="I468" s="6"/>
    </row>
    <row r="469" spans="5:9" x14ac:dyDescent="0.25">
      <c r="E469" s="3"/>
      <c r="F469" s="7"/>
      <c r="G469" s="4"/>
      <c r="H469" s="4"/>
      <c r="I469" s="6"/>
    </row>
    <row r="470" spans="5:9" x14ac:dyDescent="0.25">
      <c r="E470" s="3"/>
      <c r="F470" s="7"/>
      <c r="G470" s="4"/>
      <c r="H470" s="4"/>
      <c r="I470" s="6"/>
    </row>
    <row r="471" spans="5:9" x14ac:dyDescent="0.25">
      <c r="E471" s="3"/>
      <c r="F471" s="7"/>
      <c r="G471" s="4"/>
      <c r="H471" s="4"/>
      <c r="I471" s="6"/>
    </row>
    <row r="472" spans="5:9" x14ac:dyDescent="0.25">
      <c r="E472" s="3"/>
      <c r="F472" s="7"/>
      <c r="G472" s="4"/>
      <c r="H472" s="4"/>
      <c r="I472" s="6"/>
    </row>
    <row r="473" spans="5:9" x14ac:dyDescent="0.25">
      <c r="E473" s="3"/>
      <c r="F473" s="7"/>
      <c r="G473" s="4"/>
      <c r="H473" s="4"/>
      <c r="I473" s="6"/>
    </row>
    <row r="474" spans="5:9" x14ac:dyDescent="0.25">
      <c r="E474" s="3"/>
      <c r="F474" s="7"/>
      <c r="G474" s="4"/>
      <c r="H474" s="4"/>
      <c r="I474" s="6"/>
    </row>
    <row r="475" spans="5:9" x14ac:dyDescent="0.25">
      <c r="E475" s="3"/>
      <c r="F475" s="7"/>
      <c r="G475" s="4"/>
      <c r="H475" s="4"/>
      <c r="I475" s="6"/>
    </row>
    <row r="476" spans="5:9" x14ac:dyDescent="0.25">
      <c r="E476" s="3"/>
      <c r="F476" s="7"/>
      <c r="G476" s="4"/>
      <c r="H476" s="4"/>
      <c r="I476" s="6"/>
    </row>
    <row r="477" spans="5:9" x14ac:dyDescent="0.25">
      <c r="E477" s="3"/>
      <c r="F477" s="7"/>
      <c r="G477" s="4"/>
      <c r="H477" s="4"/>
      <c r="I477" s="6"/>
    </row>
    <row r="478" spans="5:9" x14ac:dyDescent="0.25">
      <c r="E478" s="3"/>
      <c r="F478" s="7"/>
      <c r="G478" s="4"/>
      <c r="H478" s="4"/>
      <c r="I478" s="6"/>
    </row>
    <row r="479" spans="5:9" x14ac:dyDescent="0.25">
      <c r="E479" s="3"/>
      <c r="F479" s="7"/>
      <c r="G479" s="4"/>
      <c r="H479" s="4"/>
      <c r="I479" s="6"/>
    </row>
    <row r="480" spans="5:9" x14ac:dyDescent="0.25">
      <c r="E480" s="3"/>
      <c r="F480" s="7"/>
      <c r="G480" s="4"/>
      <c r="H480" s="4"/>
      <c r="I480" s="6"/>
    </row>
    <row r="481" spans="5:9" x14ac:dyDescent="0.25">
      <c r="E481" s="3"/>
      <c r="F481" s="7"/>
      <c r="G481" s="4"/>
      <c r="H481" s="4"/>
      <c r="I481" s="6"/>
    </row>
    <row r="482" spans="5:9" x14ac:dyDescent="0.25">
      <c r="E482" s="3"/>
      <c r="F482" s="7"/>
      <c r="G482" s="4"/>
      <c r="H482" s="4"/>
      <c r="I482" s="6"/>
    </row>
    <row r="483" spans="5:9" x14ac:dyDescent="0.25">
      <c r="E483" s="3"/>
      <c r="F483" s="7"/>
      <c r="G483" s="4"/>
      <c r="H483" s="4"/>
      <c r="I483" s="6"/>
    </row>
    <row r="484" spans="5:9" x14ac:dyDescent="0.25">
      <c r="E484" s="3"/>
      <c r="F484" s="7"/>
      <c r="G484" s="4"/>
      <c r="H484" s="4"/>
      <c r="I484" s="6"/>
    </row>
    <row r="485" spans="5:9" x14ac:dyDescent="0.25">
      <c r="E485" s="3"/>
      <c r="F485" s="7"/>
      <c r="G485" s="4"/>
      <c r="H485" s="4"/>
      <c r="I485" s="6"/>
    </row>
    <row r="486" spans="5:9" x14ac:dyDescent="0.25">
      <c r="E486" s="3"/>
      <c r="F486" s="7"/>
      <c r="G486" s="4"/>
      <c r="H486" s="4"/>
      <c r="I486" s="6"/>
    </row>
    <row r="487" spans="5:9" x14ac:dyDescent="0.25">
      <c r="E487" s="3"/>
      <c r="F487" s="7"/>
      <c r="G487" s="4"/>
      <c r="H487" s="4"/>
      <c r="I487" s="6"/>
    </row>
    <row r="488" spans="5:9" x14ac:dyDescent="0.25">
      <c r="E488" s="3"/>
      <c r="F488" s="7"/>
      <c r="G488" s="4"/>
      <c r="H488" s="4"/>
      <c r="I488" s="6"/>
    </row>
    <row r="489" spans="5:9" x14ac:dyDescent="0.25">
      <c r="E489" s="3"/>
      <c r="F489" s="7"/>
      <c r="G489" s="4"/>
      <c r="H489" s="4"/>
      <c r="I489" s="6"/>
    </row>
    <row r="490" spans="5:9" x14ac:dyDescent="0.25">
      <c r="E490" s="3"/>
      <c r="F490" s="7"/>
      <c r="G490" s="4"/>
      <c r="H490" s="4"/>
      <c r="I490" s="6"/>
    </row>
    <row r="491" spans="5:9" x14ac:dyDescent="0.25">
      <c r="E491" s="3"/>
      <c r="F491" s="7"/>
      <c r="G491" s="4"/>
      <c r="H491" s="4"/>
      <c r="I491" s="6"/>
    </row>
    <row r="492" spans="5:9" x14ac:dyDescent="0.25">
      <c r="E492" s="3"/>
      <c r="F492" s="7"/>
      <c r="G492" s="4"/>
      <c r="H492" s="4"/>
      <c r="I492" s="6"/>
    </row>
    <row r="493" spans="5:9" x14ac:dyDescent="0.25">
      <c r="E493" s="3"/>
      <c r="F493" s="7"/>
      <c r="G493" s="4"/>
      <c r="H493" s="4"/>
      <c r="I493" s="6"/>
    </row>
    <row r="494" spans="5:9" x14ac:dyDescent="0.25">
      <c r="E494" s="3"/>
      <c r="F494" s="7"/>
      <c r="G494" s="4"/>
      <c r="H494" s="4"/>
      <c r="I494" s="6"/>
    </row>
    <row r="495" spans="5:9" x14ac:dyDescent="0.25">
      <c r="E495" s="3"/>
      <c r="F495" s="7"/>
      <c r="G495" s="4"/>
      <c r="H495" s="4"/>
      <c r="I495" s="6"/>
    </row>
    <row r="496" spans="5:9" x14ac:dyDescent="0.25">
      <c r="E496" s="3"/>
      <c r="F496" s="7"/>
      <c r="G496" s="4"/>
      <c r="H496" s="4"/>
      <c r="I496" s="6"/>
    </row>
    <row r="497" spans="5:9" x14ac:dyDescent="0.25">
      <c r="E497" s="3"/>
      <c r="F497" s="7"/>
      <c r="G497" s="4"/>
      <c r="H497" s="4"/>
      <c r="I497" s="6"/>
    </row>
    <row r="498" spans="5:9" x14ac:dyDescent="0.25">
      <c r="E498" s="3"/>
      <c r="F498" s="7"/>
      <c r="G498" s="4"/>
      <c r="H498" s="4"/>
      <c r="I498" s="6"/>
    </row>
    <row r="499" spans="5:9" x14ac:dyDescent="0.25">
      <c r="E499" s="3"/>
      <c r="F499" s="7"/>
      <c r="G499" s="4"/>
      <c r="H499" s="4"/>
      <c r="I499" s="6"/>
    </row>
    <row r="500" spans="5:9" x14ac:dyDescent="0.25">
      <c r="E500" s="3"/>
      <c r="F500" s="7"/>
      <c r="G500" s="4"/>
      <c r="H500" s="4"/>
      <c r="I500" s="6"/>
    </row>
    <row r="501" spans="5:9" x14ac:dyDescent="0.25">
      <c r="E501" s="3"/>
      <c r="F501" s="7"/>
      <c r="G501" s="4"/>
      <c r="H501" s="4"/>
      <c r="I501" s="6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00_INICIO</vt:lpstr>
      <vt:lpstr>01_PARAMETROS</vt:lpstr>
      <vt:lpstr>02_CATALOGOS</vt:lpstr>
      <vt:lpstr>03_CLIENTES</vt:lpstr>
      <vt:lpstr>04_PRODUCTOS</vt:lpstr>
      <vt:lpstr>05_VENTAS</vt:lpstr>
      <vt:lpstr>06_TICKET</vt:lpstr>
      <vt:lpstr>07_CAJA</vt:lpstr>
      <vt:lpstr>08_STOCK</vt:lpstr>
      <vt:lpstr>09_CTACTE</vt:lpstr>
      <vt:lpstr>10_DASHBOARD</vt:lpstr>
      <vt:lpstr>11_AUDITORIA</vt:lpstr>
      <vt:lpstr>12_VERSION</vt:lpstr>
      <vt:lpstr>13_LOG</vt:lpstr>
      <vt:lpstr>23_OFERTAS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Pite</dc:creator>
  <cp:lastModifiedBy>Pite</cp:lastModifiedBy>
  <dcterms:created xsi:type="dcterms:W3CDTF">2026-08-01T03:41:47Z</dcterms:created>
  <dcterms:modified xsi:type="dcterms:W3CDTF">2026-09-05T20:29:24Z</dcterms:modified>
</cp:coreProperties>
</file>