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te\Documents\Trabajo\Carne Premium-Vacío\CarnePremiumERP\01_ERP\"/>
    </mc:Choice>
  </mc:AlternateContent>
  <xr:revisionPtr revIDLastSave="0" documentId="8_{363083CD-965D-4427-AE7B-2B7686DED57C}" xr6:coauthVersionLast="47" xr6:coauthVersionMax="47" xr10:uidLastSave="{00000000-0000-0000-0000-000000000000}"/>
  <bookViews>
    <workbookView xWindow="-120" yWindow="-120" windowWidth="20730" windowHeight="11160" firstSheet="3" activeTab="8" xr2:uid="{00000000-000D-0000-FFFF-FFFF00000000}"/>
  </bookViews>
  <sheets>
    <sheet name="00_INICIO" sheetId="1" r:id="rId1"/>
    <sheet name="01_PARAMETROS" sheetId="2" r:id="rId2"/>
    <sheet name="02_CATALOGOS" sheetId="3" r:id="rId3"/>
    <sheet name="03_CLIENTES" sheetId="4" r:id="rId4"/>
    <sheet name="04_PRODUCTOS" sheetId="5" r:id="rId5"/>
    <sheet name="05_VENTAS" sheetId="6" r:id="rId6"/>
    <sheet name="12_VERSION" sheetId="7" r:id="rId7"/>
    <sheet name="10_DASHBOARD" sheetId="8" r:id="rId8"/>
    <sheet name="06_TICKET" sheetId="9" r:id="rId9"/>
    <sheet name="22_PRECIOS" sheetId="10" r:id="rId10"/>
    <sheet name="23_OFERTAS" sheetId="11" r:id="rId11"/>
    <sheet name="21_HISTORICO_PRECIOS" sheetId="12" r:id="rId12"/>
  </sheets>
  <calcPr calcId="191029"/>
  <fileRecoveryPr repairLoad="1"/>
</workbook>
</file>

<file path=xl/calcChain.xml><?xml version="1.0" encoding="utf-8"?>
<calcChain xmlns="http://schemas.openxmlformats.org/spreadsheetml/2006/main">
  <c r="B8" i="9" l="1"/>
  <c r="B7" i="9"/>
  <c r="B5" i="9"/>
  <c r="B4" i="9"/>
  <c r="B7" i="8"/>
  <c r="G501" i="6"/>
  <c r="H501" i="6" s="1"/>
  <c r="I501" i="6" s="1"/>
  <c r="J501" i="6" s="1"/>
  <c r="G500" i="6"/>
  <c r="H500" i="6" s="1"/>
  <c r="I500" i="6" s="1"/>
  <c r="J500" i="6" s="1"/>
  <c r="G499" i="6"/>
  <c r="H499" i="6" s="1"/>
  <c r="I499" i="6" s="1"/>
  <c r="J499" i="6" s="1"/>
  <c r="G498" i="6"/>
  <c r="H498" i="6" s="1"/>
  <c r="I498" i="6" s="1"/>
  <c r="J498" i="6" s="1"/>
  <c r="G497" i="6"/>
  <c r="H497" i="6" s="1"/>
  <c r="I497" i="6" s="1"/>
  <c r="J497" i="6" s="1"/>
  <c r="G496" i="6"/>
  <c r="H496" i="6" s="1"/>
  <c r="I496" i="6" s="1"/>
  <c r="J496" i="6" s="1"/>
  <c r="G495" i="6"/>
  <c r="H495" i="6" s="1"/>
  <c r="I495" i="6" s="1"/>
  <c r="J495" i="6" s="1"/>
  <c r="G494" i="6"/>
  <c r="H494" i="6" s="1"/>
  <c r="I494" i="6" s="1"/>
  <c r="J494" i="6" s="1"/>
  <c r="G493" i="6"/>
  <c r="H493" i="6" s="1"/>
  <c r="I493" i="6" s="1"/>
  <c r="J493" i="6" s="1"/>
  <c r="G492" i="6"/>
  <c r="H492" i="6" s="1"/>
  <c r="I492" i="6" s="1"/>
  <c r="J492" i="6" s="1"/>
  <c r="G491" i="6"/>
  <c r="H491" i="6" s="1"/>
  <c r="I491" i="6" s="1"/>
  <c r="J491" i="6" s="1"/>
  <c r="G490" i="6"/>
  <c r="H490" i="6" s="1"/>
  <c r="I490" i="6" s="1"/>
  <c r="J490" i="6" s="1"/>
  <c r="G489" i="6"/>
  <c r="H489" i="6" s="1"/>
  <c r="I489" i="6" s="1"/>
  <c r="J489" i="6" s="1"/>
  <c r="G488" i="6"/>
  <c r="H488" i="6" s="1"/>
  <c r="I488" i="6" s="1"/>
  <c r="J488" i="6" s="1"/>
  <c r="G487" i="6"/>
  <c r="H487" i="6" s="1"/>
  <c r="I487" i="6" s="1"/>
  <c r="J487" i="6" s="1"/>
  <c r="G486" i="6"/>
  <c r="H486" i="6" s="1"/>
  <c r="I486" i="6" s="1"/>
  <c r="J486" i="6" s="1"/>
  <c r="G485" i="6"/>
  <c r="H485" i="6" s="1"/>
  <c r="I485" i="6" s="1"/>
  <c r="J485" i="6" s="1"/>
  <c r="G484" i="6"/>
  <c r="H484" i="6" s="1"/>
  <c r="I484" i="6" s="1"/>
  <c r="J484" i="6" s="1"/>
  <c r="G483" i="6"/>
  <c r="H483" i="6" s="1"/>
  <c r="I483" i="6" s="1"/>
  <c r="J483" i="6" s="1"/>
  <c r="G482" i="6"/>
  <c r="H482" i="6" s="1"/>
  <c r="I482" i="6" s="1"/>
  <c r="J482" i="6" s="1"/>
  <c r="G481" i="6"/>
  <c r="H481" i="6" s="1"/>
  <c r="I481" i="6" s="1"/>
  <c r="J481" i="6" s="1"/>
  <c r="G480" i="6"/>
  <c r="H480" i="6" s="1"/>
  <c r="I480" i="6" s="1"/>
  <c r="J480" i="6" s="1"/>
  <c r="G479" i="6"/>
  <c r="H479" i="6" s="1"/>
  <c r="I479" i="6" s="1"/>
  <c r="J479" i="6" s="1"/>
  <c r="G478" i="6"/>
  <c r="H478" i="6" s="1"/>
  <c r="I478" i="6" s="1"/>
  <c r="J478" i="6" s="1"/>
  <c r="G477" i="6"/>
  <c r="H477" i="6" s="1"/>
  <c r="I477" i="6" s="1"/>
  <c r="J477" i="6" s="1"/>
  <c r="G476" i="6"/>
  <c r="H476" i="6" s="1"/>
  <c r="I476" i="6" s="1"/>
  <c r="J476" i="6" s="1"/>
  <c r="G475" i="6"/>
  <c r="H475" i="6" s="1"/>
  <c r="I475" i="6" s="1"/>
  <c r="J475" i="6" s="1"/>
  <c r="G474" i="6"/>
  <c r="H474" i="6" s="1"/>
  <c r="I474" i="6" s="1"/>
  <c r="J474" i="6" s="1"/>
  <c r="G473" i="6"/>
  <c r="H473" i="6" s="1"/>
  <c r="I473" i="6" s="1"/>
  <c r="J473" i="6" s="1"/>
  <c r="G472" i="6"/>
  <c r="H472" i="6" s="1"/>
  <c r="I472" i="6" s="1"/>
  <c r="J472" i="6" s="1"/>
  <c r="G471" i="6"/>
  <c r="H471" i="6" s="1"/>
  <c r="I471" i="6" s="1"/>
  <c r="J471" i="6" s="1"/>
  <c r="G470" i="6"/>
  <c r="H470" i="6" s="1"/>
  <c r="I470" i="6" s="1"/>
  <c r="J470" i="6" s="1"/>
  <c r="G469" i="6"/>
  <c r="H469" i="6" s="1"/>
  <c r="I469" i="6" s="1"/>
  <c r="J469" i="6" s="1"/>
  <c r="G468" i="6"/>
  <c r="H468" i="6" s="1"/>
  <c r="I468" i="6" s="1"/>
  <c r="J468" i="6" s="1"/>
  <c r="G467" i="6"/>
  <c r="H467" i="6" s="1"/>
  <c r="I467" i="6" s="1"/>
  <c r="J467" i="6" s="1"/>
  <c r="G466" i="6"/>
  <c r="H466" i="6" s="1"/>
  <c r="I466" i="6" s="1"/>
  <c r="J466" i="6" s="1"/>
  <c r="G465" i="6"/>
  <c r="H465" i="6" s="1"/>
  <c r="I465" i="6" s="1"/>
  <c r="J465" i="6" s="1"/>
  <c r="G464" i="6"/>
  <c r="H464" i="6" s="1"/>
  <c r="I464" i="6" s="1"/>
  <c r="J464" i="6" s="1"/>
  <c r="G463" i="6"/>
  <c r="H463" i="6" s="1"/>
  <c r="I463" i="6" s="1"/>
  <c r="J463" i="6" s="1"/>
  <c r="G462" i="6"/>
  <c r="H462" i="6" s="1"/>
  <c r="I462" i="6" s="1"/>
  <c r="J462" i="6" s="1"/>
  <c r="G461" i="6"/>
  <c r="H461" i="6" s="1"/>
  <c r="I461" i="6" s="1"/>
  <c r="J461" i="6" s="1"/>
  <c r="G460" i="6"/>
  <c r="H460" i="6" s="1"/>
  <c r="I460" i="6" s="1"/>
  <c r="J460" i="6" s="1"/>
  <c r="G459" i="6"/>
  <c r="H459" i="6" s="1"/>
  <c r="I459" i="6" s="1"/>
  <c r="J459" i="6" s="1"/>
  <c r="G458" i="6"/>
  <c r="H458" i="6" s="1"/>
  <c r="I458" i="6" s="1"/>
  <c r="J458" i="6" s="1"/>
  <c r="G457" i="6"/>
  <c r="H457" i="6" s="1"/>
  <c r="I457" i="6" s="1"/>
  <c r="J457" i="6" s="1"/>
  <c r="G456" i="6"/>
  <c r="H456" i="6" s="1"/>
  <c r="I456" i="6" s="1"/>
  <c r="J456" i="6" s="1"/>
  <c r="G455" i="6"/>
  <c r="H455" i="6" s="1"/>
  <c r="I455" i="6" s="1"/>
  <c r="J455" i="6" s="1"/>
  <c r="G454" i="6"/>
  <c r="H454" i="6" s="1"/>
  <c r="I454" i="6" s="1"/>
  <c r="J454" i="6" s="1"/>
  <c r="G453" i="6"/>
  <c r="H453" i="6" s="1"/>
  <c r="I453" i="6" s="1"/>
  <c r="J453" i="6" s="1"/>
  <c r="G452" i="6"/>
  <c r="H452" i="6" s="1"/>
  <c r="I452" i="6" s="1"/>
  <c r="J452" i="6" s="1"/>
  <c r="G451" i="6"/>
  <c r="H451" i="6" s="1"/>
  <c r="I451" i="6" s="1"/>
  <c r="J451" i="6" s="1"/>
  <c r="G450" i="6"/>
  <c r="H450" i="6" s="1"/>
  <c r="I450" i="6" s="1"/>
  <c r="J450" i="6" s="1"/>
  <c r="G449" i="6"/>
  <c r="H449" i="6" s="1"/>
  <c r="I449" i="6" s="1"/>
  <c r="J449" i="6" s="1"/>
  <c r="G448" i="6"/>
  <c r="H448" i="6" s="1"/>
  <c r="I448" i="6" s="1"/>
  <c r="J448" i="6" s="1"/>
  <c r="G447" i="6"/>
  <c r="H447" i="6" s="1"/>
  <c r="I447" i="6" s="1"/>
  <c r="J447" i="6" s="1"/>
  <c r="G446" i="6"/>
  <c r="H446" i="6" s="1"/>
  <c r="I446" i="6" s="1"/>
  <c r="J446" i="6" s="1"/>
  <c r="G445" i="6"/>
  <c r="H445" i="6" s="1"/>
  <c r="I445" i="6" s="1"/>
  <c r="J445" i="6" s="1"/>
  <c r="G444" i="6"/>
  <c r="H444" i="6" s="1"/>
  <c r="I444" i="6" s="1"/>
  <c r="J444" i="6" s="1"/>
  <c r="G443" i="6"/>
  <c r="H443" i="6" s="1"/>
  <c r="I443" i="6" s="1"/>
  <c r="J443" i="6" s="1"/>
  <c r="G442" i="6"/>
  <c r="H442" i="6" s="1"/>
  <c r="I442" i="6" s="1"/>
  <c r="J442" i="6" s="1"/>
  <c r="G441" i="6"/>
  <c r="H441" i="6" s="1"/>
  <c r="I441" i="6" s="1"/>
  <c r="J441" i="6" s="1"/>
  <c r="G440" i="6"/>
  <c r="H440" i="6" s="1"/>
  <c r="I440" i="6" s="1"/>
  <c r="J440" i="6" s="1"/>
  <c r="G439" i="6"/>
  <c r="H439" i="6" s="1"/>
  <c r="I439" i="6" s="1"/>
  <c r="J439" i="6" s="1"/>
  <c r="G438" i="6"/>
  <c r="H438" i="6" s="1"/>
  <c r="I438" i="6" s="1"/>
  <c r="J438" i="6" s="1"/>
  <c r="G437" i="6"/>
  <c r="H437" i="6" s="1"/>
  <c r="I437" i="6" s="1"/>
  <c r="J437" i="6" s="1"/>
  <c r="G436" i="6"/>
  <c r="H436" i="6" s="1"/>
  <c r="I436" i="6" s="1"/>
  <c r="J436" i="6" s="1"/>
  <c r="G435" i="6"/>
  <c r="H435" i="6" s="1"/>
  <c r="I435" i="6" s="1"/>
  <c r="J435" i="6" s="1"/>
  <c r="G434" i="6"/>
  <c r="H434" i="6" s="1"/>
  <c r="I434" i="6" s="1"/>
  <c r="J434" i="6" s="1"/>
  <c r="G433" i="6"/>
  <c r="H433" i="6" s="1"/>
  <c r="I433" i="6" s="1"/>
  <c r="J433" i="6" s="1"/>
  <c r="G432" i="6"/>
  <c r="H432" i="6" s="1"/>
  <c r="I432" i="6" s="1"/>
  <c r="J432" i="6" s="1"/>
  <c r="G431" i="6"/>
  <c r="H431" i="6" s="1"/>
  <c r="I431" i="6" s="1"/>
  <c r="J431" i="6" s="1"/>
  <c r="G430" i="6"/>
  <c r="H430" i="6" s="1"/>
  <c r="I430" i="6" s="1"/>
  <c r="J430" i="6" s="1"/>
  <c r="G429" i="6"/>
  <c r="H429" i="6" s="1"/>
  <c r="I429" i="6" s="1"/>
  <c r="J429" i="6" s="1"/>
  <c r="G428" i="6"/>
  <c r="H428" i="6" s="1"/>
  <c r="I428" i="6" s="1"/>
  <c r="J428" i="6" s="1"/>
  <c r="G427" i="6"/>
  <c r="H427" i="6" s="1"/>
  <c r="I427" i="6" s="1"/>
  <c r="J427" i="6" s="1"/>
  <c r="G426" i="6"/>
  <c r="H426" i="6" s="1"/>
  <c r="I426" i="6" s="1"/>
  <c r="J426" i="6" s="1"/>
  <c r="G425" i="6"/>
  <c r="H425" i="6" s="1"/>
  <c r="I425" i="6" s="1"/>
  <c r="J425" i="6" s="1"/>
  <c r="G424" i="6"/>
  <c r="H424" i="6" s="1"/>
  <c r="I424" i="6" s="1"/>
  <c r="J424" i="6" s="1"/>
  <c r="G423" i="6"/>
  <c r="H423" i="6" s="1"/>
  <c r="I423" i="6" s="1"/>
  <c r="J423" i="6" s="1"/>
  <c r="G422" i="6"/>
  <c r="H422" i="6" s="1"/>
  <c r="I422" i="6" s="1"/>
  <c r="J422" i="6" s="1"/>
  <c r="G421" i="6"/>
  <c r="H421" i="6" s="1"/>
  <c r="I421" i="6" s="1"/>
  <c r="J421" i="6" s="1"/>
  <c r="G420" i="6"/>
  <c r="H420" i="6" s="1"/>
  <c r="I420" i="6" s="1"/>
  <c r="J420" i="6" s="1"/>
  <c r="G419" i="6"/>
  <c r="H419" i="6" s="1"/>
  <c r="I419" i="6" s="1"/>
  <c r="J419" i="6" s="1"/>
  <c r="G418" i="6"/>
  <c r="H418" i="6" s="1"/>
  <c r="I418" i="6" s="1"/>
  <c r="J418" i="6" s="1"/>
  <c r="G417" i="6"/>
  <c r="H417" i="6" s="1"/>
  <c r="I417" i="6" s="1"/>
  <c r="J417" i="6" s="1"/>
  <c r="G416" i="6"/>
  <c r="H416" i="6" s="1"/>
  <c r="I416" i="6" s="1"/>
  <c r="J416" i="6" s="1"/>
  <c r="G415" i="6"/>
  <c r="H415" i="6" s="1"/>
  <c r="I415" i="6" s="1"/>
  <c r="J415" i="6" s="1"/>
  <c r="G414" i="6"/>
  <c r="H414" i="6" s="1"/>
  <c r="I414" i="6" s="1"/>
  <c r="J414" i="6" s="1"/>
  <c r="G413" i="6"/>
  <c r="H413" i="6" s="1"/>
  <c r="I413" i="6" s="1"/>
  <c r="J413" i="6" s="1"/>
  <c r="G412" i="6"/>
  <c r="H412" i="6" s="1"/>
  <c r="I412" i="6" s="1"/>
  <c r="J412" i="6" s="1"/>
  <c r="G411" i="6"/>
  <c r="H411" i="6" s="1"/>
  <c r="I411" i="6" s="1"/>
  <c r="J411" i="6" s="1"/>
  <c r="G410" i="6"/>
  <c r="H410" i="6" s="1"/>
  <c r="I410" i="6" s="1"/>
  <c r="J410" i="6" s="1"/>
  <c r="G409" i="6"/>
  <c r="H409" i="6" s="1"/>
  <c r="I409" i="6" s="1"/>
  <c r="J409" i="6" s="1"/>
  <c r="G408" i="6"/>
  <c r="H408" i="6" s="1"/>
  <c r="I408" i="6" s="1"/>
  <c r="J408" i="6" s="1"/>
  <c r="G407" i="6"/>
  <c r="H407" i="6" s="1"/>
  <c r="I407" i="6" s="1"/>
  <c r="J407" i="6" s="1"/>
  <c r="G406" i="6"/>
  <c r="H406" i="6" s="1"/>
  <c r="I406" i="6" s="1"/>
  <c r="J406" i="6" s="1"/>
  <c r="G405" i="6"/>
  <c r="H405" i="6" s="1"/>
  <c r="I405" i="6" s="1"/>
  <c r="J405" i="6" s="1"/>
  <c r="G404" i="6"/>
  <c r="H404" i="6" s="1"/>
  <c r="I404" i="6" s="1"/>
  <c r="J404" i="6" s="1"/>
  <c r="G403" i="6"/>
  <c r="H403" i="6" s="1"/>
  <c r="I403" i="6" s="1"/>
  <c r="J403" i="6" s="1"/>
  <c r="G402" i="6"/>
  <c r="H402" i="6" s="1"/>
  <c r="I402" i="6" s="1"/>
  <c r="J402" i="6" s="1"/>
  <c r="G401" i="6"/>
  <c r="H401" i="6" s="1"/>
  <c r="I401" i="6" s="1"/>
  <c r="J401" i="6" s="1"/>
  <c r="G400" i="6"/>
  <c r="H400" i="6" s="1"/>
  <c r="I400" i="6" s="1"/>
  <c r="J400" i="6" s="1"/>
  <c r="G399" i="6"/>
  <c r="H399" i="6" s="1"/>
  <c r="I399" i="6" s="1"/>
  <c r="J399" i="6" s="1"/>
  <c r="G398" i="6"/>
  <c r="H398" i="6" s="1"/>
  <c r="I398" i="6" s="1"/>
  <c r="J398" i="6" s="1"/>
  <c r="G397" i="6"/>
  <c r="H397" i="6" s="1"/>
  <c r="I397" i="6" s="1"/>
  <c r="J397" i="6" s="1"/>
  <c r="G396" i="6"/>
  <c r="H396" i="6" s="1"/>
  <c r="I396" i="6" s="1"/>
  <c r="J396" i="6" s="1"/>
  <c r="G395" i="6"/>
  <c r="H395" i="6" s="1"/>
  <c r="I395" i="6" s="1"/>
  <c r="J395" i="6" s="1"/>
  <c r="G394" i="6"/>
  <c r="H394" i="6" s="1"/>
  <c r="I394" i="6" s="1"/>
  <c r="J394" i="6" s="1"/>
  <c r="G393" i="6"/>
  <c r="H393" i="6" s="1"/>
  <c r="I393" i="6" s="1"/>
  <c r="J393" i="6" s="1"/>
  <c r="G392" i="6"/>
  <c r="H392" i="6" s="1"/>
  <c r="I392" i="6" s="1"/>
  <c r="J392" i="6" s="1"/>
  <c r="G391" i="6"/>
  <c r="H391" i="6" s="1"/>
  <c r="I391" i="6" s="1"/>
  <c r="J391" i="6" s="1"/>
  <c r="G390" i="6"/>
  <c r="H390" i="6" s="1"/>
  <c r="I390" i="6" s="1"/>
  <c r="J390" i="6" s="1"/>
  <c r="G389" i="6"/>
  <c r="H389" i="6" s="1"/>
  <c r="I389" i="6" s="1"/>
  <c r="J389" i="6" s="1"/>
  <c r="G388" i="6"/>
  <c r="H388" i="6" s="1"/>
  <c r="I388" i="6" s="1"/>
  <c r="J388" i="6" s="1"/>
  <c r="G387" i="6"/>
  <c r="H387" i="6" s="1"/>
  <c r="I387" i="6" s="1"/>
  <c r="J387" i="6" s="1"/>
  <c r="G386" i="6"/>
  <c r="H386" i="6" s="1"/>
  <c r="I386" i="6" s="1"/>
  <c r="J386" i="6" s="1"/>
  <c r="G385" i="6"/>
  <c r="H385" i="6" s="1"/>
  <c r="I385" i="6" s="1"/>
  <c r="J385" i="6" s="1"/>
  <c r="G384" i="6"/>
  <c r="H384" i="6" s="1"/>
  <c r="I384" i="6" s="1"/>
  <c r="J384" i="6" s="1"/>
  <c r="G383" i="6"/>
  <c r="H383" i="6" s="1"/>
  <c r="I383" i="6" s="1"/>
  <c r="J383" i="6" s="1"/>
  <c r="G382" i="6"/>
  <c r="H382" i="6" s="1"/>
  <c r="I382" i="6" s="1"/>
  <c r="J382" i="6" s="1"/>
  <c r="G381" i="6"/>
  <c r="H381" i="6" s="1"/>
  <c r="I381" i="6" s="1"/>
  <c r="J381" i="6" s="1"/>
  <c r="G380" i="6"/>
  <c r="H380" i="6" s="1"/>
  <c r="I380" i="6" s="1"/>
  <c r="J380" i="6" s="1"/>
  <c r="G379" i="6"/>
  <c r="H379" i="6" s="1"/>
  <c r="I379" i="6" s="1"/>
  <c r="J379" i="6" s="1"/>
  <c r="G378" i="6"/>
  <c r="H378" i="6" s="1"/>
  <c r="I378" i="6" s="1"/>
  <c r="J378" i="6" s="1"/>
  <c r="G377" i="6"/>
  <c r="H377" i="6" s="1"/>
  <c r="I377" i="6" s="1"/>
  <c r="J377" i="6" s="1"/>
  <c r="G376" i="6"/>
  <c r="H376" i="6" s="1"/>
  <c r="I376" i="6" s="1"/>
  <c r="J376" i="6" s="1"/>
  <c r="G375" i="6"/>
  <c r="H375" i="6" s="1"/>
  <c r="I375" i="6" s="1"/>
  <c r="J375" i="6" s="1"/>
  <c r="G374" i="6"/>
  <c r="H374" i="6" s="1"/>
  <c r="I374" i="6" s="1"/>
  <c r="J374" i="6" s="1"/>
  <c r="G373" i="6"/>
  <c r="H373" i="6" s="1"/>
  <c r="I373" i="6" s="1"/>
  <c r="J373" i="6" s="1"/>
  <c r="G372" i="6"/>
  <c r="H372" i="6" s="1"/>
  <c r="I372" i="6" s="1"/>
  <c r="J372" i="6" s="1"/>
  <c r="G371" i="6"/>
  <c r="H371" i="6" s="1"/>
  <c r="I371" i="6" s="1"/>
  <c r="J371" i="6" s="1"/>
  <c r="G370" i="6"/>
  <c r="H370" i="6" s="1"/>
  <c r="I370" i="6" s="1"/>
  <c r="J370" i="6" s="1"/>
  <c r="G369" i="6"/>
  <c r="H369" i="6" s="1"/>
  <c r="I369" i="6" s="1"/>
  <c r="J369" i="6" s="1"/>
  <c r="G368" i="6"/>
  <c r="H368" i="6" s="1"/>
  <c r="I368" i="6" s="1"/>
  <c r="J368" i="6" s="1"/>
  <c r="G367" i="6"/>
  <c r="H367" i="6" s="1"/>
  <c r="I367" i="6" s="1"/>
  <c r="J367" i="6" s="1"/>
  <c r="G366" i="6"/>
  <c r="H366" i="6" s="1"/>
  <c r="I366" i="6" s="1"/>
  <c r="J366" i="6" s="1"/>
  <c r="G365" i="6"/>
  <c r="H365" i="6" s="1"/>
  <c r="I365" i="6" s="1"/>
  <c r="J365" i="6" s="1"/>
  <c r="G364" i="6"/>
  <c r="H364" i="6" s="1"/>
  <c r="I364" i="6" s="1"/>
  <c r="J364" i="6" s="1"/>
  <c r="G363" i="6"/>
  <c r="H363" i="6" s="1"/>
  <c r="I363" i="6" s="1"/>
  <c r="J363" i="6" s="1"/>
  <c r="G362" i="6"/>
  <c r="H362" i="6" s="1"/>
  <c r="I362" i="6" s="1"/>
  <c r="J362" i="6" s="1"/>
  <c r="G361" i="6"/>
  <c r="H361" i="6" s="1"/>
  <c r="I361" i="6" s="1"/>
  <c r="J361" i="6" s="1"/>
  <c r="G360" i="6"/>
  <c r="H360" i="6" s="1"/>
  <c r="I360" i="6" s="1"/>
  <c r="J360" i="6" s="1"/>
  <c r="G359" i="6"/>
  <c r="H359" i="6" s="1"/>
  <c r="I359" i="6" s="1"/>
  <c r="J359" i="6" s="1"/>
  <c r="G358" i="6"/>
  <c r="H358" i="6" s="1"/>
  <c r="I358" i="6" s="1"/>
  <c r="J358" i="6" s="1"/>
  <c r="G357" i="6"/>
  <c r="H357" i="6" s="1"/>
  <c r="I357" i="6" s="1"/>
  <c r="J357" i="6" s="1"/>
  <c r="G356" i="6"/>
  <c r="H356" i="6" s="1"/>
  <c r="I356" i="6" s="1"/>
  <c r="J356" i="6" s="1"/>
  <c r="G355" i="6"/>
  <c r="H355" i="6" s="1"/>
  <c r="I355" i="6" s="1"/>
  <c r="J355" i="6" s="1"/>
  <c r="G354" i="6"/>
  <c r="H354" i="6" s="1"/>
  <c r="I354" i="6" s="1"/>
  <c r="J354" i="6" s="1"/>
  <c r="G353" i="6"/>
  <c r="H353" i="6" s="1"/>
  <c r="I353" i="6" s="1"/>
  <c r="J353" i="6" s="1"/>
  <c r="G352" i="6"/>
  <c r="H352" i="6" s="1"/>
  <c r="I352" i="6" s="1"/>
  <c r="J352" i="6" s="1"/>
  <c r="G351" i="6"/>
  <c r="H351" i="6" s="1"/>
  <c r="I351" i="6" s="1"/>
  <c r="J351" i="6" s="1"/>
  <c r="G350" i="6"/>
  <c r="H350" i="6" s="1"/>
  <c r="I350" i="6" s="1"/>
  <c r="J350" i="6" s="1"/>
  <c r="G349" i="6"/>
  <c r="H349" i="6" s="1"/>
  <c r="I349" i="6" s="1"/>
  <c r="J349" i="6" s="1"/>
  <c r="G348" i="6"/>
  <c r="H348" i="6" s="1"/>
  <c r="I348" i="6" s="1"/>
  <c r="J348" i="6" s="1"/>
  <c r="G347" i="6"/>
  <c r="H347" i="6" s="1"/>
  <c r="I347" i="6" s="1"/>
  <c r="J347" i="6" s="1"/>
  <c r="G346" i="6"/>
  <c r="H346" i="6" s="1"/>
  <c r="I346" i="6" s="1"/>
  <c r="J346" i="6" s="1"/>
  <c r="G345" i="6"/>
  <c r="H345" i="6" s="1"/>
  <c r="I345" i="6" s="1"/>
  <c r="J345" i="6" s="1"/>
  <c r="G344" i="6"/>
  <c r="H344" i="6" s="1"/>
  <c r="I344" i="6" s="1"/>
  <c r="J344" i="6" s="1"/>
  <c r="G343" i="6"/>
  <c r="H343" i="6" s="1"/>
  <c r="I343" i="6" s="1"/>
  <c r="J343" i="6" s="1"/>
  <c r="G342" i="6"/>
  <c r="H342" i="6" s="1"/>
  <c r="I342" i="6" s="1"/>
  <c r="J342" i="6" s="1"/>
  <c r="G341" i="6"/>
  <c r="H341" i="6" s="1"/>
  <c r="I341" i="6" s="1"/>
  <c r="J341" i="6" s="1"/>
  <c r="G340" i="6"/>
  <c r="H340" i="6" s="1"/>
  <c r="I340" i="6" s="1"/>
  <c r="J340" i="6" s="1"/>
  <c r="G339" i="6"/>
  <c r="H339" i="6" s="1"/>
  <c r="I339" i="6" s="1"/>
  <c r="J339" i="6" s="1"/>
  <c r="G338" i="6"/>
  <c r="H338" i="6" s="1"/>
  <c r="I338" i="6" s="1"/>
  <c r="J338" i="6" s="1"/>
  <c r="G337" i="6"/>
  <c r="H337" i="6" s="1"/>
  <c r="I337" i="6" s="1"/>
  <c r="J337" i="6" s="1"/>
  <c r="G336" i="6"/>
  <c r="H336" i="6" s="1"/>
  <c r="I336" i="6" s="1"/>
  <c r="J336" i="6" s="1"/>
  <c r="G335" i="6"/>
  <c r="H335" i="6" s="1"/>
  <c r="I335" i="6" s="1"/>
  <c r="J335" i="6" s="1"/>
  <c r="G334" i="6"/>
  <c r="H334" i="6" s="1"/>
  <c r="I334" i="6" s="1"/>
  <c r="J334" i="6" s="1"/>
  <c r="G333" i="6"/>
  <c r="H333" i="6" s="1"/>
  <c r="I333" i="6" s="1"/>
  <c r="J333" i="6" s="1"/>
  <c r="G332" i="6"/>
  <c r="H332" i="6" s="1"/>
  <c r="I332" i="6" s="1"/>
  <c r="J332" i="6" s="1"/>
  <c r="G331" i="6"/>
  <c r="H331" i="6" s="1"/>
  <c r="I331" i="6" s="1"/>
  <c r="J331" i="6" s="1"/>
  <c r="G330" i="6"/>
  <c r="H330" i="6" s="1"/>
  <c r="I330" i="6" s="1"/>
  <c r="J330" i="6" s="1"/>
  <c r="G329" i="6"/>
  <c r="H329" i="6" s="1"/>
  <c r="I329" i="6" s="1"/>
  <c r="J329" i="6" s="1"/>
  <c r="G328" i="6"/>
  <c r="H328" i="6" s="1"/>
  <c r="I328" i="6" s="1"/>
  <c r="J328" i="6" s="1"/>
  <c r="G327" i="6"/>
  <c r="H327" i="6" s="1"/>
  <c r="I327" i="6" s="1"/>
  <c r="J327" i="6" s="1"/>
  <c r="G326" i="6"/>
  <c r="H326" i="6" s="1"/>
  <c r="I326" i="6" s="1"/>
  <c r="J326" i="6" s="1"/>
  <c r="G325" i="6"/>
  <c r="H325" i="6" s="1"/>
  <c r="I325" i="6" s="1"/>
  <c r="J325" i="6" s="1"/>
  <c r="G324" i="6"/>
  <c r="H324" i="6" s="1"/>
  <c r="I324" i="6" s="1"/>
  <c r="J324" i="6" s="1"/>
  <c r="G323" i="6"/>
  <c r="H323" i="6" s="1"/>
  <c r="I323" i="6" s="1"/>
  <c r="J323" i="6" s="1"/>
  <c r="G322" i="6"/>
  <c r="H322" i="6" s="1"/>
  <c r="I322" i="6" s="1"/>
  <c r="J322" i="6" s="1"/>
  <c r="G321" i="6"/>
  <c r="H321" i="6" s="1"/>
  <c r="I321" i="6" s="1"/>
  <c r="J321" i="6" s="1"/>
  <c r="G320" i="6"/>
  <c r="H320" i="6" s="1"/>
  <c r="I320" i="6" s="1"/>
  <c r="J320" i="6" s="1"/>
  <c r="G319" i="6"/>
  <c r="H319" i="6" s="1"/>
  <c r="I319" i="6" s="1"/>
  <c r="J319" i="6" s="1"/>
  <c r="G318" i="6"/>
  <c r="H318" i="6" s="1"/>
  <c r="I318" i="6" s="1"/>
  <c r="J318" i="6" s="1"/>
  <c r="G317" i="6"/>
  <c r="H317" i="6" s="1"/>
  <c r="I317" i="6" s="1"/>
  <c r="J317" i="6" s="1"/>
  <c r="G316" i="6"/>
  <c r="H316" i="6" s="1"/>
  <c r="I316" i="6" s="1"/>
  <c r="J316" i="6" s="1"/>
  <c r="G315" i="6"/>
  <c r="H315" i="6" s="1"/>
  <c r="I315" i="6" s="1"/>
  <c r="J315" i="6" s="1"/>
  <c r="G314" i="6"/>
  <c r="H314" i="6" s="1"/>
  <c r="I314" i="6" s="1"/>
  <c r="J314" i="6" s="1"/>
  <c r="G313" i="6"/>
  <c r="H313" i="6" s="1"/>
  <c r="I313" i="6" s="1"/>
  <c r="J313" i="6" s="1"/>
  <c r="G312" i="6"/>
  <c r="H312" i="6" s="1"/>
  <c r="I312" i="6" s="1"/>
  <c r="J312" i="6" s="1"/>
  <c r="G311" i="6"/>
  <c r="H311" i="6" s="1"/>
  <c r="I311" i="6" s="1"/>
  <c r="J311" i="6" s="1"/>
  <c r="G310" i="6"/>
  <c r="H310" i="6" s="1"/>
  <c r="I310" i="6" s="1"/>
  <c r="J310" i="6" s="1"/>
  <c r="G309" i="6"/>
  <c r="H309" i="6" s="1"/>
  <c r="I309" i="6" s="1"/>
  <c r="J309" i="6" s="1"/>
  <c r="G308" i="6"/>
  <c r="H308" i="6" s="1"/>
  <c r="I308" i="6" s="1"/>
  <c r="J308" i="6" s="1"/>
  <c r="G307" i="6"/>
  <c r="H307" i="6" s="1"/>
  <c r="I307" i="6" s="1"/>
  <c r="J307" i="6" s="1"/>
  <c r="G306" i="6"/>
  <c r="H306" i="6" s="1"/>
  <c r="I306" i="6" s="1"/>
  <c r="J306" i="6" s="1"/>
  <c r="G305" i="6"/>
  <c r="H305" i="6" s="1"/>
  <c r="I305" i="6" s="1"/>
  <c r="J305" i="6" s="1"/>
  <c r="G304" i="6"/>
  <c r="H304" i="6" s="1"/>
  <c r="I304" i="6" s="1"/>
  <c r="J304" i="6" s="1"/>
  <c r="G303" i="6"/>
  <c r="H303" i="6" s="1"/>
  <c r="I303" i="6" s="1"/>
  <c r="J303" i="6" s="1"/>
  <c r="G302" i="6"/>
  <c r="H302" i="6" s="1"/>
  <c r="I302" i="6" s="1"/>
  <c r="J302" i="6" s="1"/>
  <c r="G301" i="6"/>
  <c r="H301" i="6" s="1"/>
  <c r="I301" i="6" s="1"/>
  <c r="J301" i="6" s="1"/>
  <c r="G300" i="6"/>
  <c r="H300" i="6" s="1"/>
  <c r="I300" i="6" s="1"/>
  <c r="J300" i="6" s="1"/>
  <c r="G299" i="6"/>
  <c r="H299" i="6" s="1"/>
  <c r="I299" i="6" s="1"/>
  <c r="J299" i="6" s="1"/>
  <c r="G298" i="6"/>
  <c r="H298" i="6" s="1"/>
  <c r="I298" i="6" s="1"/>
  <c r="J298" i="6" s="1"/>
  <c r="G297" i="6"/>
  <c r="H297" i="6" s="1"/>
  <c r="I297" i="6" s="1"/>
  <c r="J297" i="6" s="1"/>
  <c r="G296" i="6"/>
  <c r="H296" i="6" s="1"/>
  <c r="I296" i="6" s="1"/>
  <c r="J296" i="6" s="1"/>
  <c r="G295" i="6"/>
  <c r="H295" i="6" s="1"/>
  <c r="I295" i="6" s="1"/>
  <c r="J295" i="6" s="1"/>
  <c r="G294" i="6"/>
  <c r="H294" i="6" s="1"/>
  <c r="I294" i="6" s="1"/>
  <c r="J294" i="6" s="1"/>
  <c r="G293" i="6"/>
  <c r="H293" i="6" s="1"/>
  <c r="I293" i="6" s="1"/>
  <c r="J293" i="6" s="1"/>
  <c r="G292" i="6"/>
  <c r="H292" i="6" s="1"/>
  <c r="I292" i="6" s="1"/>
  <c r="J292" i="6" s="1"/>
  <c r="G291" i="6"/>
  <c r="H291" i="6" s="1"/>
  <c r="I291" i="6" s="1"/>
  <c r="J291" i="6" s="1"/>
  <c r="G290" i="6"/>
  <c r="H290" i="6" s="1"/>
  <c r="I290" i="6" s="1"/>
  <c r="J290" i="6" s="1"/>
  <c r="G289" i="6"/>
  <c r="H289" i="6" s="1"/>
  <c r="I289" i="6" s="1"/>
  <c r="J289" i="6" s="1"/>
  <c r="G288" i="6"/>
  <c r="H288" i="6" s="1"/>
  <c r="I288" i="6" s="1"/>
  <c r="J288" i="6" s="1"/>
  <c r="G287" i="6"/>
  <c r="H287" i="6" s="1"/>
  <c r="I287" i="6" s="1"/>
  <c r="J287" i="6" s="1"/>
  <c r="G286" i="6"/>
  <c r="H286" i="6" s="1"/>
  <c r="I286" i="6" s="1"/>
  <c r="J286" i="6" s="1"/>
  <c r="G285" i="6"/>
  <c r="H285" i="6" s="1"/>
  <c r="I285" i="6" s="1"/>
  <c r="J285" i="6" s="1"/>
  <c r="G284" i="6"/>
  <c r="H284" i="6" s="1"/>
  <c r="I284" i="6" s="1"/>
  <c r="J284" i="6" s="1"/>
  <c r="G283" i="6"/>
  <c r="H283" i="6" s="1"/>
  <c r="I283" i="6" s="1"/>
  <c r="J283" i="6" s="1"/>
  <c r="G282" i="6"/>
  <c r="H282" i="6" s="1"/>
  <c r="I282" i="6" s="1"/>
  <c r="J282" i="6" s="1"/>
  <c r="G281" i="6"/>
  <c r="H281" i="6" s="1"/>
  <c r="I281" i="6" s="1"/>
  <c r="J281" i="6" s="1"/>
  <c r="G280" i="6"/>
  <c r="H280" i="6" s="1"/>
  <c r="I280" i="6" s="1"/>
  <c r="J280" i="6" s="1"/>
  <c r="G279" i="6"/>
  <c r="H279" i="6" s="1"/>
  <c r="I279" i="6" s="1"/>
  <c r="J279" i="6" s="1"/>
  <c r="G278" i="6"/>
  <c r="H278" i="6" s="1"/>
  <c r="I278" i="6" s="1"/>
  <c r="J278" i="6" s="1"/>
  <c r="G277" i="6"/>
  <c r="H277" i="6" s="1"/>
  <c r="I277" i="6" s="1"/>
  <c r="J277" i="6" s="1"/>
  <c r="G276" i="6"/>
  <c r="H276" i="6" s="1"/>
  <c r="I276" i="6" s="1"/>
  <c r="J276" i="6" s="1"/>
  <c r="G275" i="6"/>
  <c r="H275" i="6" s="1"/>
  <c r="I275" i="6" s="1"/>
  <c r="J275" i="6" s="1"/>
  <c r="G274" i="6"/>
  <c r="H274" i="6" s="1"/>
  <c r="I274" i="6" s="1"/>
  <c r="J274" i="6" s="1"/>
  <c r="G273" i="6"/>
  <c r="H273" i="6" s="1"/>
  <c r="I273" i="6" s="1"/>
  <c r="J273" i="6" s="1"/>
  <c r="G272" i="6"/>
  <c r="H272" i="6" s="1"/>
  <c r="I272" i="6" s="1"/>
  <c r="J272" i="6" s="1"/>
  <c r="G271" i="6"/>
  <c r="H271" i="6" s="1"/>
  <c r="I271" i="6" s="1"/>
  <c r="J271" i="6" s="1"/>
  <c r="G270" i="6"/>
  <c r="H270" i="6" s="1"/>
  <c r="I270" i="6" s="1"/>
  <c r="J270" i="6" s="1"/>
  <c r="G269" i="6"/>
  <c r="H269" i="6" s="1"/>
  <c r="I269" i="6" s="1"/>
  <c r="J269" i="6" s="1"/>
  <c r="G268" i="6"/>
  <c r="H268" i="6" s="1"/>
  <c r="I268" i="6" s="1"/>
  <c r="J268" i="6" s="1"/>
  <c r="G267" i="6"/>
  <c r="H267" i="6" s="1"/>
  <c r="I267" i="6" s="1"/>
  <c r="J267" i="6" s="1"/>
  <c r="G266" i="6"/>
  <c r="H266" i="6" s="1"/>
  <c r="I266" i="6" s="1"/>
  <c r="J266" i="6" s="1"/>
  <c r="G265" i="6"/>
  <c r="H265" i="6" s="1"/>
  <c r="I265" i="6" s="1"/>
  <c r="J265" i="6" s="1"/>
  <c r="G264" i="6"/>
  <c r="H264" i="6" s="1"/>
  <c r="I264" i="6" s="1"/>
  <c r="J264" i="6" s="1"/>
  <c r="G263" i="6"/>
  <c r="H263" i="6" s="1"/>
  <c r="I263" i="6" s="1"/>
  <c r="J263" i="6" s="1"/>
  <c r="G262" i="6"/>
  <c r="H262" i="6" s="1"/>
  <c r="I262" i="6" s="1"/>
  <c r="J262" i="6" s="1"/>
  <c r="G261" i="6"/>
  <c r="H261" i="6" s="1"/>
  <c r="I261" i="6" s="1"/>
  <c r="J261" i="6" s="1"/>
  <c r="G260" i="6"/>
  <c r="H260" i="6" s="1"/>
  <c r="I260" i="6" s="1"/>
  <c r="J260" i="6" s="1"/>
  <c r="G259" i="6"/>
  <c r="H259" i="6" s="1"/>
  <c r="I259" i="6" s="1"/>
  <c r="J259" i="6" s="1"/>
  <c r="G258" i="6"/>
  <c r="H258" i="6" s="1"/>
  <c r="I258" i="6" s="1"/>
  <c r="J258" i="6" s="1"/>
  <c r="G257" i="6"/>
  <c r="H257" i="6" s="1"/>
  <c r="I257" i="6" s="1"/>
  <c r="J257" i="6" s="1"/>
  <c r="G256" i="6"/>
  <c r="H256" i="6" s="1"/>
  <c r="I256" i="6" s="1"/>
  <c r="J256" i="6" s="1"/>
  <c r="G255" i="6"/>
  <c r="H255" i="6" s="1"/>
  <c r="I255" i="6" s="1"/>
  <c r="J255" i="6" s="1"/>
  <c r="G254" i="6"/>
  <c r="H254" i="6" s="1"/>
  <c r="I254" i="6" s="1"/>
  <c r="J254" i="6" s="1"/>
  <c r="G253" i="6"/>
  <c r="H253" i="6" s="1"/>
  <c r="I253" i="6" s="1"/>
  <c r="J253" i="6" s="1"/>
  <c r="G252" i="6"/>
  <c r="H252" i="6" s="1"/>
  <c r="I252" i="6" s="1"/>
  <c r="J252" i="6" s="1"/>
  <c r="G251" i="6"/>
  <c r="H251" i="6" s="1"/>
  <c r="I251" i="6" s="1"/>
  <c r="J251" i="6" s="1"/>
  <c r="G250" i="6"/>
  <c r="H250" i="6" s="1"/>
  <c r="I250" i="6" s="1"/>
  <c r="J250" i="6" s="1"/>
  <c r="G249" i="6"/>
  <c r="H249" i="6" s="1"/>
  <c r="I249" i="6" s="1"/>
  <c r="J249" i="6" s="1"/>
  <c r="G248" i="6"/>
  <c r="H248" i="6" s="1"/>
  <c r="I248" i="6" s="1"/>
  <c r="J248" i="6" s="1"/>
  <c r="G247" i="6"/>
  <c r="H247" i="6" s="1"/>
  <c r="I247" i="6" s="1"/>
  <c r="J247" i="6" s="1"/>
  <c r="G246" i="6"/>
  <c r="H246" i="6" s="1"/>
  <c r="I246" i="6" s="1"/>
  <c r="J246" i="6" s="1"/>
  <c r="G245" i="6"/>
  <c r="H245" i="6" s="1"/>
  <c r="I245" i="6" s="1"/>
  <c r="J245" i="6" s="1"/>
  <c r="G244" i="6"/>
  <c r="H244" i="6" s="1"/>
  <c r="I244" i="6" s="1"/>
  <c r="J244" i="6" s="1"/>
  <c r="G243" i="6"/>
  <c r="H243" i="6" s="1"/>
  <c r="I243" i="6" s="1"/>
  <c r="J243" i="6" s="1"/>
  <c r="G242" i="6"/>
  <c r="H242" i="6" s="1"/>
  <c r="I242" i="6" s="1"/>
  <c r="J242" i="6" s="1"/>
  <c r="G241" i="6"/>
  <c r="H241" i="6" s="1"/>
  <c r="I241" i="6" s="1"/>
  <c r="J241" i="6" s="1"/>
  <c r="G240" i="6"/>
  <c r="H240" i="6" s="1"/>
  <c r="I240" i="6" s="1"/>
  <c r="J240" i="6" s="1"/>
  <c r="G239" i="6"/>
  <c r="H239" i="6" s="1"/>
  <c r="I239" i="6" s="1"/>
  <c r="J239" i="6" s="1"/>
  <c r="G238" i="6"/>
  <c r="H238" i="6" s="1"/>
  <c r="I238" i="6" s="1"/>
  <c r="J238" i="6" s="1"/>
  <c r="G237" i="6"/>
  <c r="H237" i="6" s="1"/>
  <c r="I237" i="6" s="1"/>
  <c r="J237" i="6" s="1"/>
  <c r="G236" i="6"/>
  <c r="H236" i="6" s="1"/>
  <c r="I236" i="6" s="1"/>
  <c r="J236" i="6" s="1"/>
  <c r="G235" i="6"/>
  <c r="H235" i="6" s="1"/>
  <c r="I235" i="6" s="1"/>
  <c r="J235" i="6" s="1"/>
  <c r="G234" i="6"/>
  <c r="H234" i="6" s="1"/>
  <c r="I234" i="6" s="1"/>
  <c r="J234" i="6" s="1"/>
  <c r="G233" i="6"/>
  <c r="H233" i="6" s="1"/>
  <c r="I233" i="6" s="1"/>
  <c r="J233" i="6" s="1"/>
  <c r="G232" i="6"/>
  <c r="H232" i="6" s="1"/>
  <c r="I232" i="6" s="1"/>
  <c r="J232" i="6" s="1"/>
  <c r="G231" i="6"/>
  <c r="H231" i="6" s="1"/>
  <c r="I231" i="6" s="1"/>
  <c r="J231" i="6" s="1"/>
  <c r="G230" i="6"/>
  <c r="H230" i="6" s="1"/>
  <c r="I230" i="6" s="1"/>
  <c r="J230" i="6" s="1"/>
  <c r="G229" i="6"/>
  <c r="H229" i="6" s="1"/>
  <c r="I229" i="6" s="1"/>
  <c r="J229" i="6" s="1"/>
  <c r="G228" i="6"/>
  <c r="H228" i="6" s="1"/>
  <c r="I228" i="6" s="1"/>
  <c r="J228" i="6" s="1"/>
  <c r="G227" i="6"/>
  <c r="H227" i="6" s="1"/>
  <c r="I227" i="6" s="1"/>
  <c r="J227" i="6" s="1"/>
  <c r="G226" i="6"/>
  <c r="H226" i="6" s="1"/>
  <c r="I226" i="6" s="1"/>
  <c r="J226" i="6" s="1"/>
  <c r="G225" i="6"/>
  <c r="H225" i="6" s="1"/>
  <c r="I225" i="6" s="1"/>
  <c r="J225" i="6" s="1"/>
  <c r="G224" i="6"/>
  <c r="H224" i="6" s="1"/>
  <c r="I224" i="6" s="1"/>
  <c r="J224" i="6" s="1"/>
  <c r="G223" i="6"/>
  <c r="H223" i="6" s="1"/>
  <c r="I223" i="6" s="1"/>
  <c r="J223" i="6" s="1"/>
  <c r="G222" i="6"/>
  <c r="H222" i="6" s="1"/>
  <c r="I222" i="6" s="1"/>
  <c r="J222" i="6" s="1"/>
  <c r="G221" i="6"/>
  <c r="H221" i="6" s="1"/>
  <c r="I221" i="6" s="1"/>
  <c r="J221" i="6" s="1"/>
  <c r="G220" i="6"/>
  <c r="H220" i="6" s="1"/>
  <c r="I220" i="6" s="1"/>
  <c r="J220" i="6" s="1"/>
  <c r="G219" i="6"/>
  <c r="H219" i="6" s="1"/>
  <c r="I219" i="6" s="1"/>
  <c r="J219" i="6" s="1"/>
  <c r="G218" i="6"/>
  <c r="H218" i="6" s="1"/>
  <c r="I218" i="6" s="1"/>
  <c r="J218" i="6" s="1"/>
  <c r="G217" i="6"/>
  <c r="H217" i="6" s="1"/>
  <c r="I217" i="6" s="1"/>
  <c r="J217" i="6" s="1"/>
  <c r="G216" i="6"/>
  <c r="H216" i="6" s="1"/>
  <c r="I216" i="6" s="1"/>
  <c r="J216" i="6" s="1"/>
  <c r="G215" i="6"/>
  <c r="H215" i="6" s="1"/>
  <c r="I215" i="6" s="1"/>
  <c r="J215" i="6" s="1"/>
  <c r="G214" i="6"/>
  <c r="H214" i="6" s="1"/>
  <c r="I214" i="6" s="1"/>
  <c r="J214" i="6" s="1"/>
  <c r="G213" i="6"/>
  <c r="H213" i="6" s="1"/>
  <c r="I213" i="6" s="1"/>
  <c r="J213" i="6" s="1"/>
  <c r="G212" i="6"/>
  <c r="H212" i="6" s="1"/>
  <c r="I212" i="6" s="1"/>
  <c r="J212" i="6" s="1"/>
  <c r="G211" i="6"/>
  <c r="H211" i="6" s="1"/>
  <c r="I211" i="6" s="1"/>
  <c r="J211" i="6" s="1"/>
  <c r="G210" i="6"/>
  <c r="H210" i="6" s="1"/>
  <c r="I210" i="6" s="1"/>
  <c r="J210" i="6" s="1"/>
  <c r="G209" i="6"/>
  <c r="H209" i="6" s="1"/>
  <c r="I209" i="6" s="1"/>
  <c r="J209" i="6" s="1"/>
  <c r="G208" i="6"/>
  <c r="H208" i="6" s="1"/>
  <c r="I208" i="6" s="1"/>
  <c r="J208" i="6" s="1"/>
  <c r="G207" i="6"/>
  <c r="H207" i="6" s="1"/>
  <c r="I207" i="6" s="1"/>
  <c r="J207" i="6" s="1"/>
  <c r="G206" i="6"/>
  <c r="H206" i="6" s="1"/>
  <c r="I206" i="6" s="1"/>
  <c r="J206" i="6" s="1"/>
  <c r="G205" i="6"/>
  <c r="H205" i="6" s="1"/>
  <c r="I205" i="6" s="1"/>
  <c r="J205" i="6" s="1"/>
  <c r="G204" i="6"/>
  <c r="H204" i="6" s="1"/>
  <c r="I204" i="6" s="1"/>
  <c r="J204" i="6" s="1"/>
  <c r="G203" i="6"/>
  <c r="H203" i="6" s="1"/>
  <c r="I203" i="6" s="1"/>
  <c r="J203" i="6" s="1"/>
  <c r="G202" i="6"/>
  <c r="H202" i="6" s="1"/>
  <c r="I202" i="6" s="1"/>
  <c r="J202" i="6" s="1"/>
  <c r="G201" i="6"/>
  <c r="H201" i="6" s="1"/>
  <c r="I201" i="6" s="1"/>
  <c r="J201" i="6" s="1"/>
  <c r="A201" i="6"/>
  <c r="G200" i="6"/>
  <c r="H200" i="6" s="1"/>
  <c r="I200" i="6" s="1"/>
  <c r="J200" i="6" s="1"/>
  <c r="A200" i="6"/>
  <c r="G199" i="6"/>
  <c r="H199" i="6" s="1"/>
  <c r="I199" i="6" s="1"/>
  <c r="J199" i="6" s="1"/>
  <c r="A199" i="6"/>
  <c r="G198" i="6"/>
  <c r="H198" i="6" s="1"/>
  <c r="I198" i="6" s="1"/>
  <c r="J198" i="6" s="1"/>
  <c r="A198" i="6"/>
  <c r="G197" i="6"/>
  <c r="H197" i="6" s="1"/>
  <c r="I197" i="6" s="1"/>
  <c r="J197" i="6" s="1"/>
  <c r="A197" i="6"/>
  <c r="G196" i="6"/>
  <c r="H196" i="6" s="1"/>
  <c r="I196" i="6" s="1"/>
  <c r="J196" i="6" s="1"/>
  <c r="A196" i="6"/>
  <c r="G195" i="6"/>
  <c r="H195" i="6" s="1"/>
  <c r="I195" i="6" s="1"/>
  <c r="J195" i="6" s="1"/>
  <c r="A195" i="6"/>
  <c r="G194" i="6"/>
  <c r="H194" i="6" s="1"/>
  <c r="I194" i="6" s="1"/>
  <c r="J194" i="6" s="1"/>
  <c r="A194" i="6"/>
  <c r="G193" i="6"/>
  <c r="H193" i="6" s="1"/>
  <c r="I193" i="6" s="1"/>
  <c r="J193" i="6" s="1"/>
  <c r="A193" i="6"/>
  <c r="G192" i="6"/>
  <c r="H192" i="6" s="1"/>
  <c r="I192" i="6" s="1"/>
  <c r="J192" i="6" s="1"/>
  <c r="A192" i="6"/>
  <c r="G191" i="6"/>
  <c r="H191" i="6" s="1"/>
  <c r="I191" i="6" s="1"/>
  <c r="J191" i="6" s="1"/>
  <c r="A191" i="6"/>
  <c r="G190" i="6"/>
  <c r="H190" i="6" s="1"/>
  <c r="I190" i="6" s="1"/>
  <c r="J190" i="6" s="1"/>
  <c r="A190" i="6"/>
  <c r="G189" i="6"/>
  <c r="H189" i="6" s="1"/>
  <c r="I189" i="6" s="1"/>
  <c r="J189" i="6" s="1"/>
  <c r="A189" i="6"/>
  <c r="G188" i="6"/>
  <c r="H188" i="6" s="1"/>
  <c r="I188" i="6" s="1"/>
  <c r="J188" i="6" s="1"/>
  <c r="A188" i="6"/>
  <c r="G187" i="6"/>
  <c r="H187" i="6" s="1"/>
  <c r="I187" i="6" s="1"/>
  <c r="J187" i="6" s="1"/>
  <c r="A187" i="6"/>
  <c r="G186" i="6"/>
  <c r="H186" i="6" s="1"/>
  <c r="I186" i="6" s="1"/>
  <c r="J186" i="6" s="1"/>
  <c r="A186" i="6"/>
  <c r="G185" i="6"/>
  <c r="H185" i="6" s="1"/>
  <c r="I185" i="6" s="1"/>
  <c r="J185" i="6" s="1"/>
  <c r="A185" i="6"/>
  <c r="G184" i="6"/>
  <c r="H184" i="6" s="1"/>
  <c r="I184" i="6" s="1"/>
  <c r="J184" i="6" s="1"/>
  <c r="A184" i="6"/>
  <c r="G183" i="6"/>
  <c r="H183" i="6" s="1"/>
  <c r="I183" i="6" s="1"/>
  <c r="J183" i="6" s="1"/>
  <c r="A183" i="6"/>
  <c r="G182" i="6"/>
  <c r="H182" i="6" s="1"/>
  <c r="I182" i="6" s="1"/>
  <c r="J182" i="6" s="1"/>
  <c r="A182" i="6"/>
  <c r="G181" i="6"/>
  <c r="H181" i="6" s="1"/>
  <c r="I181" i="6" s="1"/>
  <c r="J181" i="6" s="1"/>
  <c r="A181" i="6"/>
  <c r="G180" i="6"/>
  <c r="H180" i="6" s="1"/>
  <c r="I180" i="6" s="1"/>
  <c r="J180" i="6" s="1"/>
  <c r="A180" i="6"/>
  <c r="G179" i="6"/>
  <c r="H179" i="6" s="1"/>
  <c r="I179" i="6" s="1"/>
  <c r="J179" i="6" s="1"/>
  <c r="A179" i="6"/>
  <c r="G178" i="6"/>
  <c r="H178" i="6" s="1"/>
  <c r="I178" i="6" s="1"/>
  <c r="J178" i="6" s="1"/>
  <c r="A178" i="6"/>
  <c r="G177" i="6"/>
  <c r="H177" i="6" s="1"/>
  <c r="I177" i="6" s="1"/>
  <c r="J177" i="6" s="1"/>
  <c r="A177" i="6"/>
  <c r="G176" i="6"/>
  <c r="H176" i="6" s="1"/>
  <c r="I176" i="6" s="1"/>
  <c r="J176" i="6" s="1"/>
  <c r="A176" i="6"/>
  <c r="G175" i="6"/>
  <c r="H175" i="6" s="1"/>
  <c r="I175" i="6" s="1"/>
  <c r="J175" i="6" s="1"/>
  <c r="A175" i="6"/>
  <c r="G174" i="6"/>
  <c r="H174" i="6" s="1"/>
  <c r="I174" i="6" s="1"/>
  <c r="J174" i="6" s="1"/>
  <c r="A174" i="6"/>
  <c r="G173" i="6"/>
  <c r="H173" i="6" s="1"/>
  <c r="I173" i="6" s="1"/>
  <c r="J173" i="6" s="1"/>
  <c r="A173" i="6"/>
  <c r="G172" i="6"/>
  <c r="H172" i="6" s="1"/>
  <c r="I172" i="6" s="1"/>
  <c r="J172" i="6" s="1"/>
  <c r="A172" i="6"/>
  <c r="G171" i="6"/>
  <c r="H171" i="6" s="1"/>
  <c r="I171" i="6" s="1"/>
  <c r="J171" i="6" s="1"/>
  <c r="A171" i="6"/>
  <c r="G170" i="6"/>
  <c r="H170" i="6" s="1"/>
  <c r="I170" i="6" s="1"/>
  <c r="J170" i="6" s="1"/>
  <c r="A170" i="6"/>
  <c r="G169" i="6"/>
  <c r="H169" i="6" s="1"/>
  <c r="I169" i="6" s="1"/>
  <c r="J169" i="6" s="1"/>
  <c r="A169" i="6"/>
  <c r="G168" i="6"/>
  <c r="H168" i="6" s="1"/>
  <c r="I168" i="6" s="1"/>
  <c r="J168" i="6" s="1"/>
  <c r="A168" i="6"/>
  <c r="G167" i="6"/>
  <c r="H167" i="6" s="1"/>
  <c r="I167" i="6" s="1"/>
  <c r="J167" i="6" s="1"/>
  <c r="A167" i="6"/>
  <c r="G166" i="6"/>
  <c r="H166" i="6" s="1"/>
  <c r="I166" i="6" s="1"/>
  <c r="J166" i="6" s="1"/>
  <c r="A166" i="6"/>
  <c r="G165" i="6"/>
  <c r="H165" i="6" s="1"/>
  <c r="I165" i="6" s="1"/>
  <c r="J165" i="6" s="1"/>
  <c r="A165" i="6"/>
  <c r="G164" i="6"/>
  <c r="H164" i="6" s="1"/>
  <c r="I164" i="6" s="1"/>
  <c r="J164" i="6" s="1"/>
  <c r="A164" i="6"/>
  <c r="G163" i="6"/>
  <c r="H163" i="6" s="1"/>
  <c r="I163" i="6" s="1"/>
  <c r="J163" i="6" s="1"/>
  <c r="A163" i="6"/>
  <c r="G162" i="6"/>
  <c r="H162" i="6" s="1"/>
  <c r="I162" i="6" s="1"/>
  <c r="J162" i="6" s="1"/>
  <c r="A162" i="6"/>
  <c r="G161" i="6"/>
  <c r="H161" i="6" s="1"/>
  <c r="I161" i="6" s="1"/>
  <c r="J161" i="6" s="1"/>
  <c r="A161" i="6"/>
  <c r="G160" i="6"/>
  <c r="H160" i="6" s="1"/>
  <c r="I160" i="6" s="1"/>
  <c r="J160" i="6" s="1"/>
  <c r="A160" i="6"/>
  <c r="G159" i="6"/>
  <c r="H159" i="6" s="1"/>
  <c r="I159" i="6" s="1"/>
  <c r="J159" i="6" s="1"/>
  <c r="A159" i="6"/>
  <c r="G158" i="6"/>
  <c r="H158" i="6" s="1"/>
  <c r="I158" i="6" s="1"/>
  <c r="J158" i="6" s="1"/>
  <c r="A158" i="6"/>
  <c r="G157" i="6"/>
  <c r="H157" i="6" s="1"/>
  <c r="I157" i="6" s="1"/>
  <c r="J157" i="6" s="1"/>
  <c r="A157" i="6"/>
  <c r="G156" i="6"/>
  <c r="H156" i="6" s="1"/>
  <c r="I156" i="6" s="1"/>
  <c r="J156" i="6" s="1"/>
  <c r="A156" i="6"/>
  <c r="G155" i="6"/>
  <c r="H155" i="6" s="1"/>
  <c r="I155" i="6" s="1"/>
  <c r="J155" i="6" s="1"/>
  <c r="A155" i="6"/>
  <c r="G154" i="6"/>
  <c r="H154" i="6" s="1"/>
  <c r="I154" i="6" s="1"/>
  <c r="J154" i="6" s="1"/>
  <c r="A154" i="6"/>
  <c r="G153" i="6"/>
  <c r="H153" i="6" s="1"/>
  <c r="I153" i="6" s="1"/>
  <c r="J153" i="6" s="1"/>
  <c r="A153" i="6"/>
  <c r="G152" i="6"/>
  <c r="H152" i="6" s="1"/>
  <c r="I152" i="6" s="1"/>
  <c r="J152" i="6" s="1"/>
  <c r="A152" i="6"/>
  <c r="G151" i="6"/>
  <c r="H151" i="6" s="1"/>
  <c r="I151" i="6" s="1"/>
  <c r="J151" i="6" s="1"/>
  <c r="A151" i="6"/>
  <c r="G150" i="6"/>
  <c r="H150" i="6" s="1"/>
  <c r="I150" i="6" s="1"/>
  <c r="J150" i="6" s="1"/>
  <c r="A150" i="6"/>
  <c r="G149" i="6"/>
  <c r="H149" i="6" s="1"/>
  <c r="I149" i="6" s="1"/>
  <c r="J149" i="6" s="1"/>
  <c r="A149" i="6"/>
  <c r="G148" i="6"/>
  <c r="H148" i="6" s="1"/>
  <c r="I148" i="6" s="1"/>
  <c r="J148" i="6" s="1"/>
  <c r="A148" i="6"/>
  <c r="G147" i="6"/>
  <c r="H147" i="6" s="1"/>
  <c r="I147" i="6" s="1"/>
  <c r="J147" i="6" s="1"/>
  <c r="A147" i="6"/>
  <c r="G146" i="6"/>
  <c r="H146" i="6" s="1"/>
  <c r="I146" i="6" s="1"/>
  <c r="J146" i="6" s="1"/>
  <c r="A146" i="6"/>
  <c r="G145" i="6"/>
  <c r="H145" i="6" s="1"/>
  <c r="I145" i="6" s="1"/>
  <c r="J145" i="6" s="1"/>
  <c r="A145" i="6"/>
  <c r="G144" i="6"/>
  <c r="H144" i="6" s="1"/>
  <c r="I144" i="6" s="1"/>
  <c r="J144" i="6" s="1"/>
  <c r="A144" i="6"/>
  <c r="G143" i="6"/>
  <c r="H143" i="6" s="1"/>
  <c r="I143" i="6" s="1"/>
  <c r="J143" i="6" s="1"/>
  <c r="A143" i="6"/>
  <c r="G142" i="6"/>
  <c r="H142" i="6" s="1"/>
  <c r="I142" i="6" s="1"/>
  <c r="J142" i="6" s="1"/>
  <c r="A142" i="6"/>
  <c r="G141" i="6"/>
  <c r="H141" i="6" s="1"/>
  <c r="I141" i="6" s="1"/>
  <c r="J141" i="6" s="1"/>
  <c r="A141" i="6"/>
  <c r="G140" i="6"/>
  <c r="H140" i="6" s="1"/>
  <c r="I140" i="6" s="1"/>
  <c r="J140" i="6" s="1"/>
  <c r="A140" i="6"/>
  <c r="G139" i="6"/>
  <c r="H139" i="6" s="1"/>
  <c r="I139" i="6" s="1"/>
  <c r="J139" i="6" s="1"/>
  <c r="A139" i="6"/>
  <c r="G138" i="6"/>
  <c r="H138" i="6" s="1"/>
  <c r="I138" i="6" s="1"/>
  <c r="J138" i="6" s="1"/>
  <c r="A138" i="6"/>
  <c r="G137" i="6"/>
  <c r="H137" i="6" s="1"/>
  <c r="I137" i="6" s="1"/>
  <c r="J137" i="6" s="1"/>
  <c r="A137" i="6"/>
  <c r="G136" i="6"/>
  <c r="H136" i="6" s="1"/>
  <c r="I136" i="6" s="1"/>
  <c r="J136" i="6" s="1"/>
  <c r="A136" i="6"/>
  <c r="G135" i="6"/>
  <c r="H135" i="6" s="1"/>
  <c r="I135" i="6" s="1"/>
  <c r="J135" i="6" s="1"/>
  <c r="A135" i="6"/>
  <c r="G134" i="6"/>
  <c r="H134" i="6" s="1"/>
  <c r="I134" i="6" s="1"/>
  <c r="J134" i="6" s="1"/>
  <c r="A134" i="6"/>
  <c r="G133" i="6"/>
  <c r="H133" i="6" s="1"/>
  <c r="I133" i="6" s="1"/>
  <c r="J133" i="6" s="1"/>
  <c r="A133" i="6"/>
  <c r="G132" i="6"/>
  <c r="H132" i="6" s="1"/>
  <c r="I132" i="6" s="1"/>
  <c r="J132" i="6" s="1"/>
  <c r="A132" i="6"/>
  <c r="G131" i="6"/>
  <c r="H131" i="6" s="1"/>
  <c r="I131" i="6" s="1"/>
  <c r="J131" i="6" s="1"/>
  <c r="A131" i="6"/>
  <c r="G130" i="6"/>
  <c r="H130" i="6" s="1"/>
  <c r="I130" i="6" s="1"/>
  <c r="J130" i="6" s="1"/>
  <c r="A130" i="6"/>
  <c r="G129" i="6"/>
  <c r="H129" i="6" s="1"/>
  <c r="I129" i="6" s="1"/>
  <c r="J129" i="6" s="1"/>
  <c r="A129" i="6"/>
  <c r="G128" i="6"/>
  <c r="H128" i="6" s="1"/>
  <c r="I128" i="6" s="1"/>
  <c r="J128" i="6" s="1"/>
  <c r="A128" i="6"/>
  <c r="G127" i="6"/>
  <c r="H127" i="6" s="1"/>
  <c r="I127" i="6" s="1"/>
  <c r="J127" i="6" s="1"/>
  <c r="A127" i="6"/>
  <c r="G126" i="6"/>
  <c r="H126" i="6" s="1"/>
  <c r="I126" i="6" s="1"/>
  <c r="J126" i="6" s="1"/>
  <c r="A126" i="6"/>
  <c r="G125" i="6"/>
  <c r="H125" i="6" s="1"/>
  <c r="I125" i="6" s="1"/>
  <c r="J125" i="6" s="1"/>
  <c r="A125" i="6"/>
  <c r="G124" i="6"/>
  <c r="H124" i="6" s="1"/>
  <c r="I124" i="6" s="1"/>
  <c r="J124" i="6" s="1"/>
  <c r="A124" i="6"/>
  <c r="G123" i="6"/>
  <c r="H123" i="6" s="1"/>
  <c r="I123" i="6" s="1"/>
  <c r="J123" i="6" s="1"/>
  <c r="A123" i="6"/>
  <c r="G122" i="6"/>
  <c r="H122" i="6" s="1"/>
  <c r="I122" i="6" s="1"/>
  <c r="J122" i="6" s="1"/>
  <c r="A122" i="6"/>
  <c r="G121" i="6"/>
  <c r="H121" i="6" s="1"/>
  <c r="I121" i="6" s="1"/>
  <c r="J121" i="6" s="1"/>
  <c r="A121" i="6"/>
  <c r="G120" i="6"/>
  <c r="H120" i="6" s="1"/>
  <c r="I120" i="6" s="1"/>
  <c r="J120" i="6" s="1"/>
  <c r="A120" i="6"/>
  <c r="G119" i="6"/>
  <c r="H119" i="6" s="1"/>
  <c r="I119" i="6" s="1"/>
  <c r="J119" i="6" s="1"/>
  <c r="A119" i="6"/>
  <c r="G118" i="6"/>
  <c r="H118" i="6" s="1"/>
  <c r="I118" i="6" s="1"/>
  <c r="J118" i="6" s="1"/>
  <c r="A118" i="6"/>
  <c r="G117" i="6"/>
  <c r="H117" i="6" s="1"/>
  <c r="I117" i="6" s="1"/>
  <c r="J117" i="6" s="1"/>
  <c r="A117" i="6"/>
  <c r="G116" i="6"/>
  <c r="H116" i="6" s="1"/>
  <c r="I116" i="6" s="1"/>
  <c r="J116" i="6" s="1"/>
  <c r="A116" i="6"/>
  <c r="G115" i="6"/>
  <c r="H115" i="6" s="1"/>
  <c r="I115" i="6" s="1"/>
  <c r="J115" i="6" s="1"/>
  <c r="A115" i="6"/>
  <c r="G114" i="6"/>
  <c r="H114" i="6" s="1"/>
  <c r="I114" i="6" s="1"/>
  <c r="J114" i="6" s="1"/>
  <c r="A114" i="6"/>
  <c r="G113" i="6"/>
  <c r="H113" i="6" s="1"/>
  <c r="I113" i="6" s="1"/>
  <c r="J113" i="6" s="1"/>
  <c r="A113" i="6"/>
  <c r="G112" i="6"/>
  <c r="H112" i="6" s="1"/>
  <c r="I112" i="6" s="1"/>
  <c r="J112" i="6" s="1"/>
  <c r="A112" i="6"/>
  <c r="G111" i="6"/>
  <c r="H111" i="6" s="1"/>
  <c r="I111" i="6" s="1"/>
  <c r="J111" i="6" s="1"/>
  <c r="A111" i="6"/>
  <c r="G110" i="6"/>
  <c r="H110" i="6" s="1"/>
  <c r="I110" i="6" s="1"/>
  <c r="J110" i="6" s="1"/>
  <c r="A110" i="6"/>
  <c r="G109" i="6"/>
  <c r="H109" i="6" s="1"/>
  <c r="I109" i="6" s="1"/>
  <c r="J109" i="6" s="1"/>
  <c r="A109" i="6"/>
  <c r="G108" i="6"/>
  <c r="H108" i="6" s="1"/>
  <c r="I108" i="6" s="1"/>
  <c r="J108" i="6" s="1"/>
  <c r="A108" i="6"/>
  <c r="G107" i="6"/>
  <c r="H107" i="6" s="1"/>
  <c r="I107" i="6" s="1"/>
  <c r="J107" i="6" s="1"/>
  <c r="A107" i="6"/>
  <c r="G106" i="6"/>
  <c r="H106" i="6" s="1"/>
  <c r="I106" i="6" s="1"/>
  <c r="J106" i="6" s="1"/>
  <c r="A106" i="6"/>
  <c r="G105" i="6"/>
  <c r="H105" i="6" s="1"/>
  <c r="I105" i="6" s="1"/>
  <c r="J105" i="6" s="1"/>
  <c r="A105" i="6"/>
  <c r="G104" i="6"/>
  <c r="H104" i="6" s="1"/>
  <c r="I104" i="6" s="1"/>
  <c r="J104" i="6" s="1"/>
  <c r="A104" i="6"/>
  <c r="G103" i="6"/>
  <c r="H103" i="6" s="1"/>
  <c r="I103" i="6" s="1"/>
  <c r="J103" i="6" s="1"/>
  <c r="A103" i="6"/>
  <c r="G102" i="6"/>
  <c r="H102" i="6" s="1"/>
  <c r="I102" i="6" s="1"/>
  <c r="J102" i="6" s="1"/>
  <c r="A102" i="6"/>
  <c r="G101" i="6"/>
  <c r="H101" i="6" s="1"/>
  <c r="I101" i="6" s="1"/>
  <c r="J101" i="6" s="1"/>
  <c r="B101" i="6"/>
  <c r="A101" i="6"/>
  <c r="G100" i="6"/>
  <c r="H100" i="6" s="1"/>
  <c r="I100" i="6" s="1"/>
  <c r="J100" i="6" s="1"/>
  <c r="B100" i="6"/>
  <c r="A100" i="6"/>
  <c r="G99" i="6"/>
  <c r="H99" i="6" s="1"/>
  <c r="I99" i="6" s="1"/>
  <c r="J99" i="6" s="1"/>
  <c r="B99" i="6"/>
  <c r="A99" i="6"/>
  <c r="G98" i="6"/>
  <c r="H98" i="6" s="1"/>
  <c r="I98" i="6" s="1"/>
  <c r="J98" i="6" s="1"/>
  <c r="B98" i="6"/>
  <c r="A98" i="6"/>
  <c r="G97" i="6"/>
  <c r="H97" i="6" s="1"/>
  <c r="I97" i="6" s="1"/>
  <c r="J97" i="6" s="1"/>
  <c r="B97" i="6"/>
  <c r="A97" i="6"/>
  <c r="G96" i="6"/>
  <c r="H96" i="6" s="1"/>
  <c r="I96" i="6" s="1"/>
  <c r="J96" i="6" s="1"/>
  <c r="B96" i="6"/>
  <c r="A96" i="6"/>
  <c r="G95" i="6"/>
  <c r="H95" i="6" s="1"/>
  <c r="I95" i="6" s="1"/>
  <c r="J95" i="6" s="1"/>
  <c r="B95" i="6"/>
  <c r="A95" i="6"/>
  <c r="G94" i="6"/>
  <c r="H94" i="6" s="1"/>
  <c r="I94" i="6" s="1"/>
  <c r="J94" i="6" s="1"/>
  <c r="B94" i="6"/>
  <c r="A94" i="6"/>
  <c r="G93" i="6"/>
  <c r="H93" i="6" s="1"/>
  <c r="I93" i="6" s="1"/>
  <c r="J93" i="6" s="1"/>
  <c r="B93" i="6"/>
  <c r="A93" i="6"/>
  <c r="G92" i="6"/>
  <c r="H92" i="6" s="1"/>
  <c r="I92" i="6" s="1"/>
  <c r="J92" i="6" s="1"/>
  <c r="B92" i="6"/>
  <c r="A92" i="6"/>
  <c r="G91" i="6"/>
  <c r="H91" i="6" s="1"/>
  <c r="I91" i="6" s="1"/>
  <c r="J91" i="6" s="1"/>
  <c r="B91" i="6"/>
  <c r="A91" i="6"/>
  <c r="G90" i="6"/>
  <c r="H90" i="6" s="1"/>
  <c r="I90" i="6" s="1"/>
  <c r="J90" i="6" s="1"/>
  <c r="B90" i="6"/>
  <c r="A90" i="6"/>
  <c r="G89" i="6"/>
  <c r="H89" i="6" s="1"/>
  <c r="I89" i="6" s="1"/>
  <c r="J89" i="6" s="1"/>
  <c r="B89" i="6"/>
  <c r="A89" i="6"/>
  <c r="G88" i="6"/>
  <c r="H88" i="6" s="1"/>
  <c r="I88" i="6" s="1"/>
  <c r="J88" i="6" s="1"/>
  <c r="B88" i="6"/>
  <c r="A88" i="6"/>
  <c r="G87" i="6"/>
  <c r="H87" i="6" s="1"/>
  <c r="I87" i="6" s="1"/>
  <c r="J87" i="6" s="1"/>
  <c r="B87" i="6"/>
  <c r="A87" i="6"/>
  <c r="G86" i="6"/>
  <c r="H86" i="6" s="1"/>
  <c r="I86" i="6" s="1"/>
  <c r="J86" i="6" s="1"/>
  <c r="B86" i="6"/>
  <c r="A86" i="6"/>
  <c r="G85" i="6"/>
  <c r="H85" i="6" s="1"/>
  <c r="I85" i="6" s="1"/>
  <c r="J85" i="6" s="1"/>
  <c r="B85" i="6"/>
  <c r="A85" i="6"/>
  <c r="G84" i="6"/>
  <c r="H84" i="6" s="1"/>
  <c r="I84" i="6" s="1"/>
  <c r="J84" i="6" s="1"/>
  <c r="B84" i="6"/>
  <c r="A84" i="6"/>
  <c r="G83" i="6"/>
  <c r="H83" i="6" s="1"/>
  <c r="I83" i="6" s="1"/>
  <c r="J83" i="6" s="1"/>
  <c r="B83" i="6"/>
  <c r="A83" i="6"/>
  <c r="G82" i="6"/>
  <c r="H82" i="6" s="1"/>
  <c r="I82" i="6" s="1"/>
  <c r="J82" i="6" s="1"/>
  <c r="B82" i="6"/>
  <c r="A82" i="6"/>
  <c r="G81" i="6"/>
  <c r="H81" i="6" s="1"/>
  <c r="I81" i="6" s="1"/>
  <c r="J81" i="6" s="1"/>
  <c r="B81" i="6"/>
  <c r="A81" i="6"/>
  <c r="G80" i="6"/>
  <c r="H80" i="6" s="1"/>
  <c r="I80" i="6" s="1"/>
  <c r="J80" i="6" s="1"/>
  <c r="B80" i="6"/>
  <c r="A80" i="6"/>
  <c r="G79" i="6"/>
  <c r="H79" i="6" s="1"/>
  <c r="I79" i="6" s="1"/>
  <c r="J79" i="6" s="1"/>
  <c r="B79" i="6"/>
  <c r="A79" i="6"/>
  <c r="G78" i="6"/>
  <c r="H78" i="6" s="1"/>
  <c r="I78" i="6" s="1"/>
  <c r="J78" i="6" s="1"/>
  <c r="B78" i="6"/>
  <c r="A78" i="6"/>
  <c r="G77" i="6"/>
  <c r="H77" i="6" s="1"/>
  <c r="I77" i="6" s="1"/>
  <c r="J77" i="6" s="1"/>
  <c r="B77" i="6"/>
  <c r="A77" i="6"/>
  <c r="G76" i="6"/>
  <c r="H76" i="6" s="1"/>
  <c r="I76" i="6" s="1"/>
  <c r="J76" i="6" s="1"/>
  <c r="B76" i="6"/>
  <c r="A76" i="6"/>
  <c r="G75" i="6"/>
  <c r="H75" i="6" s="1"/>
  <c r="I75" i="6" s="1"/>
  <c r="J75" i="6" s="1"/>
  <c r="B75" i="6"/>
  <c r="A75" i="6"/>
  <c r="G74" i="6"/>
  <c r="H74" i="6" s="1"/>
  <c r="I74" i="6" s="1"/>
  <c r="J74" i="6" s="1"/>
  <c r="B74" i="6"/>
  <c r="A74" i="6"/>
  <c r="G73" i="6"/>
  <c r="H73" i="6" s="1"/>
  <c r="I73" i="6" s="1"/>
  <c r="J73" i="6" s="1"/>
  <c r="B73" i="6"/>
  <c r="A73" i="6"/>
  <c r="G72" i="6"/>
  <c r="H72" i="6" s="1"/>
  <c r="I72" i="6" s="1"/>
  <c r="J72" i="6" s="1"/>
  <c r="B72" i="6"/>
  <c r="A72" i="6"/>
  <c r="G71" i="6"/>
  <c r="H71" i="6" s="1"/>
  <c r="I71" i="6" s="1"/>
  <c r="J71" i="6" s="1"/>
  <c r="B71" i="6"/>
  <c r="A71" i="6"/>
  <c r="G70" i="6"/>
  <c r="H70" i="6" s="1"/>
  <c r="I70" i="6" s="1"/>
  <c r="J70" i="6" s="1"/>
  <c r="B70" i="6"/>
  <c r="A70" i="6"/>
  <c r="G69" i="6"/>
  <c r="H69" i="6" s="1"/>
  <c r="I69" i="6" s="1"/>
  <c r="J69" i="6" s="1"/>
  <c r="B69" i="6"/>
  <c r="A69" i="6"/>
  <c r="G68" i="6"/>
  <c r="H68" i="6" s="1"/>
  <c r="I68" i="6" s="1"/>
  <c r="J68" i="6" s="1"/>
  <c r="B68" i="6"/>
  <c r="A68" i="6"/>
  <c r="G67" i="6"/>
  <c r="H67" i="6" s="1"/>
  <c r="I67" i="6" s="1"/>
  <c r="J67" i="6" s="1"/>
  <c r="B67" i="6"/>
  <c r="A67" i="6"/>
  <c r="G66" i="6"/>
  <c r="H66" i="6" s="1"/>
  <c r="I66" i="6" s="1"/>
  <c r="J66" i="6" s="1"/>
  <c r="B66" i="6"/>
  <c r="A66" i="6"/>
  <c r="G65" i="6"/>
  <c r="H65" i="6" s="1"/>
  <c r="I65" i="6" s="1"/>
  <c r="J65" i="6" s="1"/>
  <c r="B65" i="6"/>
  <c r="A65" i="6"/>
  <c r="G64" i="6"/>
  <c r="H64" i="6" s="1"/>
  <c r="I64" i="6" s="1"/>
  <c r="J64" i="6" s="1"/>
  <c r="B64" i="6"/>
  <c r="A64" i="6"/>
  <c r="G63" i="6"/>
  <c r="H63" i="6" s="1"/>
  <c r="I63" i="6" s="1"/>
  <c r="J63" i="6" s="1"/>
  <c r="B63" i="6"/>
  <c r="A63" i="6"/>
  <c r="G62" i="6"/>
  <c r="H62" i="6" s="1"/>
  <c r="I62" i="6" s="1"/>
  <c r="J62" i="6" s="1"/>
  <c r="B62" i="6"/>
  <c r="A62" i="6"/>
  <c r="G61" i="6"/>
  <c r="H61" i="6" s="1"/>
  <c r="I61" i="6" s="1"/>
  <c r="J61" i="6" s="1"/>
  <c r="B61" i="6"/>
  <c r="A61" i="6"/>
  <c r="G60" i="6"/>
  <c r="H60" i="6" s="1"/>
  <c r="I60" i="6" s="1"/>
  <c r="J60" i="6" s="1"/>
  <c r="B60" i="6"/>
  <c r="A60" i="6"/>
  <c r="G59" i="6"/>
  <c r="H59" i="6" s="1"/>
  <c r="I59" i="6" s="1"/>
  <c r="J59" i="6" s="1"/>
  <c r="B59" i="6"/>
  <c r="A59" i="6"/>
  <c r="G58" i="6"/>
  <c r="H58" i="6" s="1"/>
  <c r="I58" i="6" s="1"/>
  <c r="J58" i="6" s="1"/>
  <c r="B58" i="6"/>
  <c r="A58" i="6"/>
  <c r="G57" i="6"/>
  <c r="H57" i="6" s="1"/>
  <c r="I57" i="6" s="1"/>
  <c r="J57" i="6" s="1"/>
  <c r="B57" i="6"/>
  <c r="A57" i="6"/>
  <c r="G56" i="6"/>
  <c r="H56" i="6" s="1"/>
  <c r="I56" i="6" s="1"/>
  <c r="J56" i="6" s="1"/>
  <c r="B56" i="6"/>
  <c r="A56" i="6"/>
  <c r="G55" i="6"/>
  <c r="H55" i="6" s="1"/>
  <c r="I55" i="6" s="1"/>
  <c r="J55" i="6" s="1"/>
  <c r="B55" i="6"/>
  <c r="A55" i="6"/>
  <c r="G54" i="6"/>
  <c r="H54" i="6" s="1"/>
  <c r="I54" i="6" s="1"/>
  <c r="J54" i="6" s="1"/>
  <c r="B54" i="6"/>
  <c r="A54" i="6"/>
  <c r="G53" i="6"/>
  <c r="H53" i="6" s="1"/>
  <c r="I53" i="6" s="1"/>
  <c r="J53" i="6" s="1"/>
  <c r="B53" i="6"/>
  <c r="A53" i="6"/>
  <c r="G52" i="6"/>
  <c r="H52" i="6" s="1"/>
  <c r="I52" i="6" s="1"/>
  <c r="J52" i="6" s="1"/>
  <c r="B52" i="6"/>
  <c r="A52" i="6"/>
  <c r="G51" i="6"/>
  <c r="H51" i="6" s="1"/>
  <c r="I51" i="6" s="1"/>
  <c r="J51" i="6" s="1"/>
  <c r="B51" i="6"/>
  <c r="A51" i="6"/>
  <c r="G50" i="6"/>
  <c r="H50" i="6" s="1"/>
  <c r="I50" i="6" s="1"/>
  <c r="J50" i="6" s="1"/>
  <c r="B50" i="6"/>
  <c r="A50" i="6"/>
  <c r="G49" i="6"/>
  <c r="H49" i="6" s="1"/>
  <c r="I49" i="6" s="1"/>
  <c r="J49" i="6" s="1"/>
  <c r="B49" i="6"/>
  <c r="A49" i="6"/>
  <c r="G48" i="6"/>
  <c r="H48" i="6" s="1"/>
  <c r="I48" i="6" s="1"/>
  <c r="J48" i="6" s="1"/>
  <c r="B48" i="6"/>
  <c r="A48" i="6"/>
  <c r="G47" i="6"/>
  <c r="H47" i="6" s="1"/>
  <c r="I47" i="6" s="1"/>
  <c r="J47" i="6" s="1"/>
  <c r="B47" i="6"/>
  <c r="A47" i="6"/>
  <c r="G46" i="6"/>
  <c r="H46" i="6" s="1"/>
  <c r="I46" i="6" s="1"/>
  <c r="J46" i="6" s="1"/>
  <c r="B46" i="6"/>
  <c r="A46" i="6"/>
  <c r="G45" i="6"/>
  <c r="H45" i="6" s="1"/>
  <c r="I45" i="6" s="1"/>
  <c r="J45" i="6" s="1"/>
  <c r="B45" i="6"/>
  <c r="A45" i="6"/>
  <c r="G44" i="6"/>
  <c r="H44" i="6" s="1"/>
  <c r="I44" i="6" s="1"/>
  <c r="J44" i="6" s="1"/>
  <c r="B44" i="6"/>
  <c r="A44" i="6"/>
  <c r="G43" i="6"/>
  <c r="H43" i="6" s="1"/>
  <c r="I43" i="6" s="1"/>
  <c r="J43" i="6" s="1"/>
  <c r="B43" i="6"/>
  <c r="A43" i="6"/>
  <c r="G42" i="6"/>
  <c r="H42" i="6" s="1"/>
  <c r="I42" i="6" s="1"/>
  <c r="J42" i="6" s="1"/>
  <c r="B42" i="6"/>
  <c r="A42" i="6"/>
  <c r="G41" i="6"/>
  <c r="H41" i="6" s="1"/>
  <c r="I41" i="6" s="1"/>
  <c r="J41" i="6" s="1"/>
  <c r="B41" i="6"/>
  <c r="A41" i="6"/>
  <c r="G40" i="6"/>
  <c r="H40" i="6" s="1"/>
  <c r="I40" i="6" s="1"/>
  <c r="J40" i="6" s="1"/>
  <c r="B40" i="6"/>
  <c r="A40" i="6"/>
  <c r="G39" i="6"/>
  <c r="H39" i="6" s="1"/>
  <c r="I39" i="6" s="1"/>
  <c r="J39" i="6" s="1"/>
  <c r="B39" i="6"/>
  <c r="A39" i="6"/>
  <c r="G38" i="6"/>
  <c r="H38" i="6" s="1"/>
  <c r="I38" i="6" s="1"/>
  <c r="J38" i="6" s="1"/>
  <c r="B38" i="6"/>
  <c r="A38" i="6"/>
  <c r="G37" i="6"/>
  <c r="H37" i="6" s="1"/>
  <c r="I37" i="6" s="1"/>
  <c r="J37" i="6" s="1"/>
  <c r="B37" i="6"/>
  <c r="A37" i="6"/>
  <c r="G36" i="6"/>
  <c r="H36" i="6" s="1"/>
  <c r="I36" i="6" s="1"/>
  <c r="J36" i="6" s="1"/>
  <c r="B36" i="6"/>
  <c r="A36" i="6"/>
  <c r="G35" i="6"/>
  <c r="H35" i="6" s="1"/>
  <c r="I35" i="6" s="1"/>
  <c r="J35" i="6" s="1"/>
  <c r="B35" i="6"/>
  <c r="A35" i="6"/>
  <c r="G34" i="6"/>
  <c r="H34" i="6" s="1"/>
  <c r="I34" i="6" s="1"/>
  <c r="J34" i="6" s="1"/>
  <c r="B34" i="6"/>
  <c r="A34" i="6"/>
  <c r="G33" i="6"/>
  <c r="H33" i="6" s="1"/>
  <c r="I33" i="6" s="1"/>
  <c r="J33" i="6" s="1"/>
  <c r="B33" i="6"/>
  <c r="A33" i="6"/>
  <c r="G32" i="6"/>
  <c r="H32" i="6" s="1"/>
  <c r="I32" i="6" s="1"/>
  <c r="J32" i="6" s="1"/>
  <c r="B32" i="6"/>
  <c r="A32" i="6"/>
  <c r="G31" i="6"/>
  <c r="H31" i="6" s="1"/>
  <c r="I31" i="6" s="1"/>
  <c r="J31" i="6" s="1"/>
  <c r="B31" i="6"/>
  <c r="A31" i="6"/>
  <c r="G30" i="6"/>
  <c r="H30" i="6" s="1"/>
  <c r="I30" i="6" s="1"/>
  <c r="J30" i="6" s="1"/>
  <c r="B30" i="6"/>
  <c r="A30" i="6"/>
  <c r="G29" i="6"/>
  <c r="H29" i="6" s="1"/>
  <c r="I29" i="6" s="1"/>
  <c r="J29" i="6" s="1"/>
  <c r="B29" i="6"/>
  <c r="A29" i="6"/>
  <c r="G28" i="6"/>
  <c r="H28" i="6" s="1"/>
  <c r="I28" i="6" s="1"/>
  <c r="J28" i="6" s="1"/>
  <c r="B28" i="6"/>
  <c r="A28" i="6"/>
  <c r="G27" i="6"/>
  <c r="H27" i="6" s="1"/>
  <c r="I27" i="6" s="1"/>
  <c r="J27" i="6" s="1"/>
  <c r="B27" i="6"/>
  <c r="A27" i="6"/>
  <c r="G26" i="6"/>
  <c r="H26" i="6" s="1"/>
  <c r="I26" i="6" s="1"/>
  <c r="J26" i="6" s="1"/>
  <c r="B26" i="6"/>
  <c r="A26" i="6"/>
  <c r="G25" i="6"/>
  <c r="H25" i="6" s="1"/>
  <c r="I25" i="6" s="1"/>
  <c r="J25" i="6" s="1"/>
  <c r="B25" i="6"/>
  <c r="A25" i="6"/>
  <c r="G24" i="6"/>
  <c r="H24" i="6" s="1"/>
  <c r="I24" i="6" s="1"/>
  <c r="J24" i="6" s="1"/>
  <c r="B24" i="6"/>
  <c r="A24" i="6"/>
  <c r="G23" i="6"/>
  <c r="H23" i="6" s="1"/>
  <c r="I23" i="6" s="1"/>
  <c r="J23" i="6" s="1"/>
  <c r="B23" i="6"/>
  <c r="A23" i="6"/>
  <c r="G22" i="6"/>
  <c r="H22" i="6" s="1"/>
  <c r="I22" i="6" s="1"/>
  <c r="J22" i="6" s="1"/>
  <c r="B22" i="6"/>
  <c r="A22" i="6"/>
  <c r="G21" i="6"/>
  <c r="H21" i="6" s="1"/>
  <c r="I21" i="6" s="1"/>
  <c r="J21" i="6" s="1"/>
  <c r="B21" i="6"/>
  <c r="A21" i="6"/>
  <c r="G20" i="6"/>
  <c r="H20" i="6" s="1"/>
  <c r="I20" i="6" s="1"/>
  <c r="J20" i="6" s="1"/>
  <c r="B20" i="6"/>
  <c r="A20" i="6"/>
  <c r="G19" i="6"/>
  <c r="H19" i="6" s="1"/>
  <c r="I19" i="6" s="1"/>
  <c r="J19" i="6" s="1"/>
  <c r="B19" i="6"/>
  <c r="A19" i="6"/>
  <c r="G18" i="6"/>
  <c r="H18" i="6" s="1"/>
  <c r="I18" i="6" s="1"/>
  <c r="J18" i="6" s="1"/>
  <c r="B18" i="6"/>
  <c r="A18" i="6"/>
  <c r="G17" i="6"/>
  <c r="H17" i="6" s="1"/>
  <c r="I17" i="6" s="1"/>
  <c r="J17" i="6" s="1"/>
  <c r="B17" i="6"/>
  <c r="A17" i="6"/>
  <c r="G16" i="6"/>
  <c r="H16" i="6" s="1"/>
  <c r="I16" i="6" s="1"/>
  <c r="J16" i="6" s="1"/>
  <c r="B16" i="6"/>
  <c r="A16" i="6"/>
  <c r="G15" i="6"/>
  <c r="H15" i="6" s="1"/>
  <c r="I15" i="6" s="1"/>
  <c r="J15" i="6" s="1"/>
  <c r="B15" i="6"/>
  <c r="A15" i="6"/>
  <c r="G14" i="6"/>
  <c r="H14" i="6" s="1"/>
  <c r="I14" i="6" s="1"/>
  <c r="J14" i="6" s="1"/>
  <c r="B14" i="6"/>
  <c r="A14" i="6"/>
  <c r="G13" i="6"/>
  <c r="H13" i="6" s="1"/>
  <c r="I13" i="6" s="1"/>
  <c r="J13" i="6" s="1"/>
  <c r="B13" i="6"/>
  <c r="A13" i="6"/>
  <c r="G12" i="6"/>
  <c r="H12" i="6" s="1"/>
  <c r="I12" i="6" s="1"/>
  <c r="J12" i="6" s="1"/>
  <c r="B12" i="6"/>
  <c r="A12" i="6"/>
  <c r="G11" i="6"/>
  <c r="H11" i="6" s="1"/>
  <c r="I11" i="6" s="1"/>
  <c r="J11" i="6" s="1"/>
  <c r="B11" i="6"/>
  <c r="A11" i="6"/>
  <c r="G10" i="6"/>
  <c r="H10" i="6" s="1"/>
  <c r="I10" i="6" s="1"/>
  <c r="J10" i="6" s="1"/>
  <c r="B10" i="6"/>
  <c r="A10" i="6"/>
  <c r="G9" i="6"/>
  <c r="H9" i="6" s="1"/>
  <c r="I9" i="6" s="1"/>
  <c r="J9" i="6" s="1"/>
  <c r="A9" i="6"/>
  <c r="G8" i="6"/>
  <c r="H8" i="6" s="1"/>
  <c r="I8" i="6" s="1"/>
  <c r="J8" i="6" s="1"/>
  <c r="A8" i="6"/>
  <c r="G7" i="6"/>
  <c r="H7" i="6" s="1"/>
  <c r="I7" i="6" s="1"/>
  <c r="J7" i="6" s="1"/>
  <c r="A7" i="6"/>
  <c r="G6" i="6"/>
  <c r="H6" i="6" s="1"/>
  <c r="I6" i="6" s="1"/>
  <c r="J6" i="6" s="1"/>
  <c r="A6" i="6"/>
  <c r="G5" i="6"/>
  <c r="H5" i="6" s="1"/>
  <c r="I5" i="6" s="1"/>
  <c r="J5" i="6" s="1"/>
  <c r="A5" i="6"/>
  <c r="G4" i="6"/>
  <c r="H4" i="6" s="1"/>
  <c r="I4" i="6" s="1"/>
  <c r="J4" i="6" s="1"/>
  <c r="A4" i="6"/>
  <c r="G3" i="6"/>
  <c r="H3" i="6" s="1"/>
  <c r="I3" i="6" s="1"/>
  <c r="J3" i="6" s="1"/>
  <c r="A3" i="6"/>
  <c r="G2" i="6"/>
  <c r="B9" i="9" s="1"/>
  <c r="A2" i="6"/>
  <c r="J501" i="5"/>
  <c r="I501" i="5"/>
  <c r="J500" i="5"/>
  <c r="I500" i="5"/>
  <c r="J499" i="5"/>
  <c r="I499" i="5"/>
  <c r="J498" i="5"/>
  <c r="I498" i="5"/>
  <c r="J497" i="5"/>
  <c r="I497" i="5"/>
  <c r="J496" i="5"/>
  <c r="I496" i="5"/>
  <c r="J495" i="5"/>
  <c r="I495" i="5"/>
  <c r="J494" i="5"/>
  <c r="I494" i="5"/>
  <c r="J493" i="5"/>
  <c r="I493" i="5"/>
  <c r="J492" i="5"/>
  <c r="I492" i="5"/>
  <c r="J491" i="5"/>
  <c r="I491" i="5"/>
  <c r="J490" i="5"/>
  <c r="I490" i="5"/>
  <c r="J489" i="5"/>
  <c r="I489" i="5"/>
  <c r="J488" i="5"/>
  <c r="I488" i="5"/>
  <c r="J487" i="5"/>
  <c r="I487" i="5"/>
  <c r="J486" i="5"/>
  <c r="I486" i="5"/>
  <c r="J485" i="5"/>
  <c r="I485" i="5"/>
  <c r="J484" i="5"/>
  <c r="I484" i="5"/>
  <c r="J483" i="5"/>
  <c r="I483" i="5"/>
  <c r="J482" i="5"/>
  <c r="I482" i="5"/>
  <c r="J481" i="5"/>
  <c r="I481" i="5"/>
  <c r="J480" i="5"/>
  <c r="I480" i="5"/>
  <c r="J479" i="5"/>
  <c r="I479" i="5"/>
  <c r="J478" i="5"/>
  <c r="I478" i="5"/>
  <c r="J477" i="5"/>
  <c r="I477" i="5"/>
  <c r="J476" i="5"/>
  <c r="I476" i="5"/>
  <c r="J475" i="5"/>
  <c r="I475" i="5"/>
  <c r="J474" i="5"/>
  <c r="I474" i="5"/>
  <c r="J473" i="5"/>
  <c r="I473" i="5"/>
  <c r="J472" i="5"/>
  <c r="I472" i="5"/>
  <c r="J471" i="5"/>
  <c r="I471" i="5"/>
  <c r="J470" i="5"/>
  <c r="I470" i="5"/>
  <c r="J469" i="5"/>
  <c r="I469" i="5"/>
  <c r="J468" i="5"/>
  <c r="I468" i="5"/>
  <c r="J467" i="5"/>
  <c r="I467" i="5"/>
  <c r="J466" i="5"/>
  <c r="I466" i="5"/>
  <c r="J465" i="5"/>
  <c r="I465" i="5"/>
  <c r="J464" i="5"/>
  <c r="I464" i="5"/>
  <c r="J463" i="5"/>
  <c r="I463" i="5"/>
  <c r="J462" i="5"/>
  <c r="I462" i="5"/>
  <c r="J461" i="5"/>
  <c r="I461" i="5"/>
  <c r="J460" i="5"/>
  <c r="I460" i="5"/>
  <c r="J459" i="5"/>
  <c r="I459" i="5"/>
  <c r="J458" i="5"/>
  <c r="I458" i="5"/>
  <c r="J457" i="5"/>
  <c r="I457" i="5"/>
  <c r="J456" i="5"/>
  <c r="I456" i="5"/>
  <c r="J455" i="5"/>
  <c r="I455" i="5"/>
  <c r="J454" i="5"/>
  <c r="I454" i="5"/>
  <c r="J453" i="5"/>
  <c r="I453" i="5"/>
  <c r="J452" i="5"/>
  <c r="I452" i="5"/>
  <c r="J451" i="5"/>
  <c r="I451" i="5"/>
  <c r="J450" i="5"/>
  <c r="I450" i="5"/>
  <c r="J449" i="5"/>
  <c r="I449" i="5"/>
  <c r="J448" i="5"/>
  <c r="I448" i="5"/>
  <c r="J447" i="5"/>
  <c r="I447" i="5"/>
  <c r="J446" i="5"/>
  <c r="I446" i="5"/>
  <c r="J445" i="5"/>
  <c r="I445" i="5"/>
  <c r="J444" i="5"/>
  <c r="I444" i="5"/>
  <c r="J443" i="5"/>
  <c r="I443" i="5"/>
  <c r="J442" i="5"/>
  <c r="I442" i="5"/>
  <c r="J441" i="5"/>
  <c r="I441" i="5"/>
  <c r="J440" i="5"/>
  <c r="I440" i="5"/>
  <c r="J439" i="5"/>
  <c r="I439" i="5"/>
  <c r="J438" i="5"/>
  <c r="I438" i="5"/>
  <c r="J437" i="5"/>
  <c r="I437" i="5"/>
  <c r="J436" i="5"/>
  <c r="I436" i="5"/>
  <c r="J435" i="5"/>
  <c r="I435" i="5"/>
  <c r="J434" i="5"/>
  <c r="I434" i="5"/>
  <c r="J433" i="5"/>
  <c r="I433" i="5"/>
  <c r="J432" i="5"/>
  <c r="I432" i="5"/>
  <c r="J431" i="5"/>
  <c r="I431" i="5"/>
  <c r="J430" i="5"/>
  <c r="I430" i="5"/>
  <c r="J429" i="5"/>
  <c r="I429" i="5"/>
  <c r="J428" i="5"/>
  <c r="I428" i="5"/>
  <c r="J427" i="5"/>
  <c r="I427" i="5"/>
  <c r="J426" i="5"/>
  <c r="I426" i="5"/>
  <c r="J425" i="5"/>
  <c r="I425" i="5"/>
  <c r="J424" i="5"/>
  <c r="I424" i="5"/>
  <c r="J423" i="5"/>
  <c r="I423" i="5"/>
  <c r="J422" i="5"/>
  <c r="I422" i="5"/>
  <c r="J421" i="5"/>
  <c r="I421" i="5"/>
  <c r="J420" i="5"/>
  <c r="I420" i="5"/>
  <c r="J419" i="5"/>
  <c r="I419" i="5"/>
  <c r="J418" i="5"/>
  <c r="I418" i="5"/>
  <c r="J417" i="5"/>
  <c r="I417" i="5"/>
  <c r="J416" i="5"/>
  <c r="I416" i="5"/>
  <c r="J415" i="5"/>
  <c r="I415" i="5"/>
  <c r="J414" i="5"/>
  <c r="I414" i="5"/>
  <c r="J413" i="5"/>
  <c r="I413" i="5"/>
  <c r="J412" i="5"/>
  <c r="I412" i="5"/>
  <c r="J411" i="5"/>
  <c r="I411" i="5"/>
  <c r="J410" i="5"/>
  <c r="I410" i="5"/>
  <c r="J409" i="5"/>
  <c r="I409" i="5"/>
  <c r="J408" i="5"/>
  <c r="I408" i="5"/>
  <c r="J407" i="5"/>
  <c r="I407" i="5"/>
  <c r="J406" i="5"/>
  <c r="I406" i="5"/>
  <c r="J405" i="5"/>
  <c r="I405" i="5"/>
  <c r="J404" i="5"/>
  <c r="I404" i="5"/>
  <c r="J403" i="5"/>
  <c r="I403" i="5"/>
  <c r="J402" i="5"/>
  <c r="I402" i="5"/>
  <c r="J401" i="5"/>
  <c r="I401" i="5"/>
  <c r="J400" i="5"/>
  <c r="I400" i="5"/>
  <c r="J399" i="5"/>
  <c r="I399" i="5"/>
  <c r="J398" i="5"/>
  <c r="I398" i="5"/>
  <c r="J397" i="5"/>
  <c r="I397" i="5"/>
  <c r="J396" i="5"/>
  <c r="I396" i="5"/>
  <c r="J395" i="5"/>
  <c r="I395" i="5"/>
  <c r="J394" i="5"/>
  <c r="I394" i="5"/>
  <c r="J393" i="5"/>
  <c r="I393" i="5"/>
  <c r="J392" i="5"/>
  <c r="I392" i="5"/>
  <c r="J391" i="5"/>
  <c r="I391" i="5"/>
  <c r="J390" i="5"/>
  <c r="I390" i="5"/>
  <c r="J389" i="5"/>
  <c r="I389" i="5"/>
  <c r="J388" i="5"/>
  <c r="I388" i="5"/>
  <c r="J387" i="5"/>
  <c r="I387" i="5"/>
  <c r="J386" i="5"/>
  <c r="I386" i="5"/>
  <c r="J385" i="5"/>
  <c r="I385" i="5"/>
  <c r="J384" i="5"/>
  <c r="I384" i="5"/>
  <c r="J383" i="5"/>
  <c r="I383" i="5"/>
  <c r="J382" i="5"/>
  <c r="I382" i="5"/>
  <c r="J381" i="5"/>
  <c r="I381" i="5"/>
  <c r="J380" i="5"/>
  <c r="I380" i="5"/>
  <c r="J379" i="5"/>
  <c r="I379" i="5"/>
  <c r="J378" i="5"/>
  <c r="I378" i="5"/>
  <c r="J377" i="5"/>
  <c r="I377" i="5"/>
  <c r="J376" i="5"/>
  <c r="I376" i="5"/>
  <c r="J375" i="5"/>
  <c r="I375" i="5"/>
  <c r="J374" i="5"/>
  <c r="I374" i="5"/>
  <c r="J373" i="5"/>
  <c r="I373" i="5"/>
  <c r="J372" i="5"/>
  <c r="I372" i="5"/>
  <c r="J371" i="5"/>
  <c r="I371" i="5"/>
  <c r="J370" i="5"/>
  <c r="I370" i="5"/>
  <c r="J369" i="5"/>
  <c r="I369" i="5"/>
  <c r="J368" i="5"/>
  <c r="I368" i="5"/>
  <c r="J367" i="5"/>
  <c r="I367" i="5"/>
  <c r="J366" i="5"/>
  <c r="I366" i="5"/>
  <c r="J365" i="5"/>
  <c r="I365" i="5"/>
  <c r="J364" i="5"/>
  <c r="I364" i="5"/>
  <c r="J363" i="5"/>
  <c r="I363" i="5"/>
  <c r="J362" i="5"/>
  <c r="I362" i="5"/>
  <c r="J361" i="5"/>
  <c r="I361" i="5"/>
  <c r="J360" i="5"/>
  <c r="I360" i="5"/>
  <c r="J359" i="5"/>
  <c r="I359" i="5"/>
  <c r="J358" i="5"/>
  <c r="I358" i="5"/>
  <c r="J357" i="5"/>
  <c r="I357" i="5"/>
  <c r="J356" i="5"/>
  <c r="I356" i="5"/>
  <c r="J355" i="5"/>
  <c r="I355" i="5"/>
  <c r="J354" i="5"/>
  <c r="I354" i="5"/>
  <c r="J353" i="5"/>
  <c r="I353" i="5"/>
  <c r="J352" i="5"/>
  <c r="I352" i="5"/>
  <c r="J351" i="5"/>
  <c r="I351" i="5"/>
  <c r="J350" i="5"/>
  <c r="I350" i="5"/>
  <c r="J349" i="5"/>
  <c r="I349" i="5"/>
  <c r="J348" i="5"/>
  <c r="I348" i="5"/>
  <c r="J347" i="5"/>
  <c r="I347" i="5"/>
  <c r="J346" i="5"/>
  <c r="I346" i="5"/>
  <c r="J345" i="5"/>
  <c r="I345" i="5"/>
  <c r="J344" i="5"/>
  <c r="I344" i="5"/>
  <c r="J343" i="5"/>
  <c r="I343" i="5"/>
  <c r="J342" i="5"/>
  <c r="I342" i="5"/>
  <c r="J341" i="5"/>
  <c r="I341" i="5"/>
  <c r="J340" i="5"/>
  <c r="I340" i="5"/>
  <c r="J339" i="5"/>
  <c r="I339" i="5"/>
  <c r="J338" i="5"/>
  <c r="I338" i="5"/>
  <c r="J337" i="5"/>
  <c r="I337" i="5"/>
  <c r="J336" i="5"/>
  <c r="I336" i="5"/>
  <c r="J335" i="5"/>
  <c r="I335" i="5"/>
  <c r="J334" i="5"/>
  <c r="I334" i="5"/>
  <c r="J333" i="5"/>
  <c r="I333" i="5"/>
  <c r="J332" i="5"/>
  <c r="I332" i="5"/>
  <c r="J331" i="5"/>
  <c r="I331" i="5"/>
  <c r="J330" i="5"/>
  <c r="I330" i="5"/>
  <c r="J329" i="5"/>
  <c r="I329" i="5"/>
  <c r="J328" i="5"/>
  <c r="I328" i="5"/>
  <c r="J327" i="5"/>
  <c r="I327" i="5"/>
  <c r="J326" i="5"/>
  <c r="I326" i="5"/>
  <c r="J325" i="5"/>
  <c r="I325" i="5"/>
  <c r="J324" i="5"/>
  <c r="I324" i="5"/>
  <c r="J323" i="5"/>
  <c r="I323" i="5"/>
  <c r="J322" i="5"/>
  <c r="I322" i="5"/>
  <c r="J321" i="5"/>
  <c r="I321" i="5"/>
  <c r="J320" i="5"/>
  <c r="I320" i="5"/>
  <c r="J319" i="5"/>
  <c r="I319" i="5"/>
  <c r="J318" i="5"/>
  <c r="I318" i="5"/>
  <c r="J317" i="5"/>
  <c r="I317" i="5"/>
  <c r="J316" i="5"/>
  <c r="I316" i="5"/>
  <c r="J315" i="5"/>
  <c r="I315" i="5"/>
  <c r="J314" i="5"/>
  <c r="I314" i="5"/>
  <c r="J313" i="5"/>
  <c r="I313" i="5"/>
  <c r="J312" i="5"/>
  <c r="I312" i="5"/>
  <c r="J311" i="5"/>
  <c r="I311" i="5"/>
  <c r="J310" i="5"/>
  <c r="I310" i="5"/>
  <c r="J309" i="5"/>
  <c r="I309" i="5"/>
  <c r="J308" i="5"/>
  <c r="I308" i="5"/>
  <c r="J307" i="5"/>
  <c r="I307" i="5"/>
  <c r="J306" i="5"/>
  <c r="I306" i="5"/>
  <c r="J305" i="5"/>
  <c r="I305" i="5"/>
  <c r="J304" i="5"/>
  <c r="I304" i="5"/>
  <c r="J303" i="5"/>
  <c r="I303" i="5"/>
  <c r="J302" i="5"/>
  <c r="I302" i="5"/>
  <c r="J301" i="5"/>
  <c r="I301" i="5"/>
  <c r="J300" i="5"/>
  <c r="I300" i="5"/>
  <c r="J299" i="5"/>
  <c r="I299" i="5"/>
  <c r="J298" i="5"/>
  <c r="I298" i="5"/>
  <c r="J297" i="5"/>
  <c r="I297" i="5"/>
  <c r="J296" i="5"/>
  <c r="I296" i="5"/>
  <c r="J295" i="5"/>
  <c r="I295" i="5"/>
  <c r="J294" i="5"/>
  <c r="I294" i="5"/>
  <c r="J293" i="5"/>
  <c r="I293" i="5"/>
  <c r="J292" i="5"/>
  <c r="I292" i="5"/>
  <c r="J291" i="5"/>
  <c r="I291" i="5"/>
  <c r="J290" i="5"/>
  <c r="I290" i="5"/>
  <c r="J289" i="5"/>
  <c r="I289" i="5"/>
  <c r="J288" i="5"/>
  <c r="I288" i="5"/>
  <c r="J287" i="5"/>
  <c r="I287" i="5"/>
  <c r="J286" i="5"/>
  <c r="I286" i="5"/>
  <c r="J285" i="5"/>
  <c r="I285" i="5"/>
  <c r="J284" i="5"/>
  <c r="I284" i="5"/>
  <c r="J283" i="5"/>
  <c r="I283" i="5"/>
  <c r="J282" i="5"/>
  <c r="I282" i="5"/>
  <c r="J281" i="5"/>
  <c r="I281" i="5"/>
  <c r="J280" i="5"/>
  <c r="I280" i="5"/>
  <c r="J279" i="5"/>
  <c r="I279" i="5"/>
  <c r="J278" i="5"/>
  <c r="I278" i="5"/>
  <c r="J277" i="5"/>
  <c r="I277" i="5"/>
  <c r="J276" i="5"/>
  <c r="I276" i="5"/>
  <c r="J275" i="5"/>
  <c r="I275" i="5"/>
  <c r="J274" i="5"/>
  <c r="I274" i="5"/>
  <c r="J273" i="5"/>
  <c r="I273" i="5"/>
  <c r="J272" i="5"/>
  <c r="I272" i="5"/>
  <c r="J271" i="5"/>
  <c r="I271" i="5"/>
  <c r="J270" i="5"/>
  <c r="I270" i="5"/>
  <c r="J269" i="5"/>
  <c r="I269" i="5"/>
  <c r="J268" i="5"/>
  <c r="I268" i="5"/>
  <c r="J267" i="5"/>
  <c r="I267" i="5"/>
  <c r="J266" i="5"/>
  <c r="I266" i="5"/>
  <c r="J265" i="5"/>
  <c r="I265" i="5"/>
  <c r="J264" i="5"/>
  <c r="I264" i="5"/>
  <c r="J263" i="5"/>
  <c r="I263" i="5"/>
  <c r="J262" i="5"/>
  <c r="I262" i="5"/>
  <c r="J261" i="5"/>
  <c r="I261" i="5"/>
  <c r="J260" i="5"/>
  <c r="I260" i="5"/>
  <c r="J259" i="5"/>
  <c r="I259" i="5"/>
  <c r="J258" i="5"/>
  <c r="I258" i="5"/>
  <c r="J257" i="5"/>
  <c r="I257" i="5"/>
  <c r="J256" i="5"/>
  <c r="I256" i="5"/>
  <c r="J255" i="5"/>
  <c r="I255" i="5"/>
  <c r="J254" i="5"/>
  <c r="I254" i="5"/>
  <c r="J253" i="5"/>
  <c r="I253" i="5"/>
  <c r="J252" i="5"/>
  <c r="I252" i="5"/>
  <c r="J251" i="5"/>
  <c r="I251" i="5"/>
  <c r="J250" i="5"/>
  <c r="I250" i="5"/>
  <c r="J249" i="5"/>
  <c r="I249" i="5"/>
  <c r="J248" i="5"/>
  <c r="I248" i="5"/>
  <c r="J247" i="5"/>
  <c r="I247" i="5"/>
  <c r="J246" i="5"/>
  <c r="I246" i="5"/>
  <c r="J245" i="5"/>
  <c r="I245" i="5"/>
  <c r="J244" i="5"/>
  <c r="I244" i="5"/>
  <c r="J243" i="5"/>
  <c r="I243" i="5"/>
  <c r="J242" i="5"/>
  <c r="I242" i="5"/>
  <c r="J241" i="5"/>
  <c r="I241" i="5"/>
  <c r="J240" i="5"/>
  <c r="I240" i="5"/>
  <c r="J239" i="5"/>
  <c r="I239" i="5"/>
  <c r="J238" i="5"/>
  <c r="I238" i="5"/>
  <c r="J237" i="5"/>
  <c r="I237" i="5"/>
  <c r="J236" i="5"/>
  <c r="I236" i="5"/>
  <c r="J235" i="5"/>
  <c r="I235" i="5"/>
  <c r="J234" i="5"/>
  <c r="I234" i="5"/>
  <c r="J233" i="5"/>
  <c r="I233" i="5"/>
  <c r="J232" i="5"/>
  <c r="I232" i="5"/>
  <c r="J231" i="5"/>
  <c r="I231" i="5"/>
  <c r="J230" i="5"/>
  <c r="I230" i="5"/>
  <c r="J229" i="5"/>
  <c r="I229" i="5"/>
  <c r="J228" i="5"/>
  <c r="I228" i="5"/>
  <c r="J227" i="5"/>
  <c r="I227" i="5"/>
  <c r="J226" i="5"/>
  <c r="I226" i="5"/>
  <c r="J225" i="5"/>
  <c r="I225" i="5"/>
  <c r="J224" i="5"/>
  <c r="I224" i="5"/>
  <c r="J223" i="5"/>
  <c r="I223" i="5"/>
  <c r="J222" i="5"/>
  <c r="I222" i="5"/>
  <c r="J221" i="5"/>
  <c r="I221" i="5"/>
  <c r="J220" i="5"/>
  <c r="I220" i="5"/>
  <c r="J219" i="5"/>
  <c r="I219" i="5"/>
  <c r="J218" i="5"/>
  <c r="I218" i="5"/>
  <c r="J217" i="5"/>
  <c r="I217" i="5"/>
  <c r="J216" i="5"/>
  <c r="I216" i="5"/>
  <c r="J215" i="5"/>
  <c r="I215" i="5"/>
  <c r="J214" i="5"/>
  <c r="I214" i="5"/>
  <c r="J213" i="5"/>
  <c r="I213" i="5"/>
  <c r="J212" i="5"/>
  <c r="I212" i="5"/>
  <c r="J211" i="5"/>
  <c r="I211" i="5"/>
  <c r="J210" i="5"/>
  <c r="I210" i="5"/>
  <c r="J209" i="5"/>
  <c r="I209" i="5"/>
  <c r="J208" i="5"/>
  <c r="I208" i="5"/>
  <c r="J207" i="5"/>
  <c r="I207" i="5"/>
  <c r="J206" i="5"/>
  <c r="I206" i="5"/>
  <c r="J205" i="5"/>
  <c r="I205" i="5"/>
  <c r="J204" i="5"/>
  <c r="I204" i="5"/>
  <c r="J203" i="5"/>
  <c r="I203" i="5"/>
  <c r="J202" i="5"/>
  <c r="I202" i="5"/>
  <c r="J201" i="5"/>
  <c r="I201" i="5"/>
  <c r="A201" i="5"/>
  <c r="J200" i="5"/>
  <c r="I200" i="5"/>
  <c r="A200" i="5"/>
  <c r="J199" i="5"/>
  <c r="I199" i="5"/>
  <c r="A199" i="5"/>
  <c r="J198" i="5"/>
  <c r="I198" i="5"/>
  <c r="A198" i="5"/>
  <c r="J197" i="5"/>
  <c r="I197" i="5"/>
  <c r="A197" i="5"/>
  <c r="J196" i="5"/>
  <c r="I196" i="5"/>
  <c r="A196" i="5"/>
  <c r="J195" i="5"/>
  <c r="I195" i="5"/>
  <c r="A195" i="5"/>
  <c r="J194" i="5"/>
  <c r="I194" i="5"/>
  <c r="A194" i="5"/>
  <c r="J193" i="5"/>
  <c r="I193" i="5"/>
  <c r="A193" i="5"/>
  <c r="J192" i="5"/>
  <c r="I192" i="5"/>
  <c r="A192" i="5"/>
  <c r="J191" i="5"/>
  <c r="I191" i="5"/>
  <c r="A191" i="5"/>
  <c r="J190" i="5"/>
  <c r="I190" i="5"/>
  <c r="A190" i="5"/>
  <c r="J189" i="5"/>
  <c r="I189" i="5"/>
  <c r="A189" i="5"/>
  <c r="J188" i="5"/>
  <c r="I188" i="5"/>
  <c r="A188" i="5"/>
  <c r="J187" i="5"/>
  <c r="I187" i="5"/>
  <c r="A187" i="5"/>
  <c r="J186" i="5"/>
  <c r="I186" i="5"/>
  <c r="A186" i="5"/>
  <c r="J185" i="5"/>
  <c r="I185" i="5"/>
  <c r="A185" i="5"/>
  <c r="J184" i="5"/>
  <c r="I184" i="5"/>
  <c r="A184" i="5"/>
  <c r="J183" i="5"/>
  <c r="I183" i="5"/>
  <c r="A183" i="5"/>
  <c r="J182" i="5"/>
  <c r="I182" i="5"/>
  <c r="A182" i="5"/>
  <c r="J181" i="5"/>
  <c r="I181" i="5"/>
  <c r="A181" i="5"/>
  <c r="J180" i="5"/>
  <c r="I180" i="5"/>
  <c r="A180" i="5"/>
  <c r="J179" i="5"/>
  <c r="I179" i="5"/>
  <c r="A179" i="5"/>
  <c r="J178" i="5"/>
  <c r="I178" i="5"/>
  <c r="A178" i="5"/>
  <c r="J177" i="5"/>
  <c r="I177" i="5"/>
  <c r="A177" i="5"/>
  <c r="J176" i="5"/>
  <c r="I176" i="5"/>
  <c r="A176" i="5"/>
  <c r="J175" i="5"/>
  <c r="I175" i="5"/>
  <c r="A175" i="5"/>
  <c r="J174" i="5"/>
  <c r="I174" i="5"/>
  <c r="A174" i="5"/>
  <c r="J173" i="5"/>
  <c r="I173" i="5"/>
  <c r="A173" i="5"/>
  <c r="J172" i="5"/>
  <c r="I172" i="5"/>
  <c r="A172" i="5"/>
  <c r="J171" i="5"/>
  <c r="I171" i="5"/>
  <c r="A171" i="5"/>
  <c r="J170" i="5"/>
  <c r="I170" i="5"/>
  <c r="A170" i="5"/>
  <c r="J169" i="5"/>
  <c r="I169" i="5"/>
  <c r="A169" i="5"/>
  <c r="J168" i="5"/>
  <c r="I168" i="5"/>
  <c r="A168" i="5"/>
  <c r="J167" i="5"/>
  <c r="I167" i="5"/>
  <c r="A167" i="5"/>
  <c r="J166" i="5"/>
  <c r="I166" i="5"/>
  <c r="A166" i="5"/>
  <c r="J165" i="5"/>
  <c r="I165" i="5"/>
  <c r="A165" i="5"/>
  <c r="J164" i="5"/>
  <c r="I164" i="5"/>
  <c r="A164" i="5"/>
  <c r="J163" i="5"/>
  <c r="I163" i="5"/>
  <c r="A163" i="5"/>
  <c r="J162" i="5"/>
  <c r="I162" i="5"/>
  <c r="A162" i="5"/>
  <c r="J161" i="5"/>
  <c r="I161" i="5"/>
  <c r="A161" i="5"/>
  <c r="J160" i="5"/>
  <c r="I160" i="5"/>
  <c r="A160" i="5"/>
  <c r="J159" i="5"/>
  <c r="I159" i="5"/>
  <c r="A159" i="5"/>
  <c r="J158" i="5"/>
  <c r="I158" i="5"/>
  <c r="A158" i="5"/>
  <c r="J157" i="5"/>
  <c r="I157" i="5"/>
  <c r="A157" i="5"/>
  <c r="J156" i="5"/>
  <c r="I156" i="5"/>
  <c r="A156" i="5"/>
  <c r="J155" i="5"/>
  <c r="I155" i="5"/>
  <c r="A155" i="5"/>
  <c r="J154" i="5"/>
  <c r="I154" i="5"/>
  <c r="A154" i="5"/>
  <c r="J153" i="5"/>
  <c r="I153" i="5"/>
  <c r="A153" i="5"/>
  <c r="J152" i="5"/>
  <c r="I152" i="5"/>
  <c r="A152" i="5"/>
  <c r="J151" i="5"/>
  <c r="I151" i="5"/>
  <c r="A151" i="5"/>
  <c r="J150" i="5"/>
  <c r="I150" i="5"/>
  <c r="A150" i="5"/>
  <c r="J149" i="5"/>
  <c r="I149" i="5"/>
  <c r="A149" i="5"/>
  <c r="J148" i="5"/>
  <c r="I148" i="5"/>
  <c r="A148" i="5"/>
  <c r="J147" i="5"/>
  <c r="I147" i="5"/>
  <c r="A147" i="5"/>
  <c r="J146" i="5"/>
  <c r="I146" i="5"/>
  <c r="A146" i="5"/>
  <c r="J145" i="5"/>
  <c r="I145" i="5"/>
  <c r="A145" i="5"/>
  <c r="J144" i="5"/>
  <c r="I144" i="5"/>
  <c r="A144" i="5"/>
  <c r="J143" i="5"/>
  <c r="I143" i="5"/>
  <c r="A143" i="5"/>
  <c r="J142" i="5"/>
  <c r="I142" i="5"/>
  <c r="A142" i="5"/>
  <c r="J141" i="5"/>
  <c r="I141" i="5"/>
  <c r="A141" i="5"/>
  <c r="J140" i="5"/>
  <c r="I140" i="5"/>
  <c r="A140" i="5"/>
  <c r="J139" i="5"/>
  <c r="I139" i="5"/>
  <c r="A139" i="5"/>
  <c r="J138" i="5"/>
  <c r="I138" i="5"/>
  <c r="A138" i="5"/>
  <c r="J137" i="5"/>
  <c r="I137" i="5"/>
  <c r="A137" i="5"/>
  <c r="J136" i="5"/>
  <c r="I136" i="5"/>
  <c r="A136" i="5"/>
  <c r="J135" i="5"/>
  <c r="I135" i="5"/>
  <c r="A135" i="5"/>
  <c r="J134" i="5"/>
  <c r="I134" i="5"/>
  <c r="A134" i="5"/>
  <c r="J133" i="5"/>
  <c r="I133" i="5"/>
  <c r="A133" i="5"/>
  <c r="J132" i="5"/>
  <c r="I132" i="5"/>
  <c r="A132" i="5"/>
  <c r="J131" i="5"/>
  <c r="I131" i="5"/>
  <c r="A131" i="5"/>
  <c r="J130" i="5"/>
  <c r="I130" i="5"/>
  <c r="A130" i="5"/>
  <c r="J129" i="5"/>
  <c r="I129" i="5"/>
  <c r="A129" i="5"/>
  <c r="J128" i="5"/>
  <c r="I128" i="5"/>
  <c r="A128" i="5"/>
  <c r="J127" i="5"/>
  <c r="I127" i="5"/>
  <c r="A127" i="5"/>
  <c r="J126" i="5"/>
  <c r="I126" i="5"/>
  <c r="A126" i="5"/>
  <c r="J125" i="5"/>
  <c r="I125" i="5"/>
  <c r="A125" i="5"/>
  <c r="J124" i="5"/>
  <c r="I124" i="5"/>
  <c r="A124" i="5"/>
  <c r="J123" i="5"/>
  <c r="I123" i="5"/>
  <c r="A123" i="5"/>
  <c r="J122" i="5"/>
  <c r="I122" i="5"/>
  <c r="A122" i="5"/>
  <c r="J121" i="5"/>
  <c r="I121" i="5"/>
  <c r="A121" i="5"/>
  <c r="J120" i="5"/>
  <c r="I120" i="5"/>
  <c r="A120" i="5"/>
  <c r="J119" i="5"/>
  <c r="I119" i="5"/>
  <c r="A119" i="5"/>
  <c r="J118" i="5"/>
  <c r="I118" i="5"/>
  <c r="A118" i="5"/>
  <c r="J117" i="5"/>
  <c r="I117" i="5"/>
  <c r="A117" i="5"/>
  <c r="J116" i="5"/>
  <c r="I116" i="5"/>
  <c r="A116" i="5"/>
  <c r="J115" i="5"/>
  <c r="I115" i="5"/>
  <c r="A115" i="5"/>
  <c r="J114" i="5"/>
  <c r="I114" i="5"/>
  <c r="A114" i="5"/>
  <c r="J113" i="5"/>
  <c r="I113" i="5"/>
  <c r="A113" i="5"/>
  <c r="J112" i="5"/>
  <c r="I112" i="5"/>
  <c r="A112" i="5"/>
  <c r="J111" i="5"/>
  <c r="I111" i="5"/>
  <c r="A111" i="5"/>
  <c r="J110" i="5"/>
  <c r="I110" i="5"/>
  <c r="A110" i="5"/>
  <c r="J109" i="5"/>
  <c r="I109" i="5"/>
  <c r="A109" i="5"/>
  <c r="J108" i="5"/>
  <c r="I108" i="5"/>
  <c r="A108" i="5"/>
  <c r="J107" i="5"/>
  <c r="I107" i="5"/>
  <c r="A107" i="5"/>
  <c r="J106" i="5"/>
  <c r="I106" i="5"/>
  <c r="A106" i="5"/>
  <c r="J105" i="5"/>
  <c r="I105" i="5"/>
  <c r="A105" i="5"/>
  <c r="J104" i="5"/>
  <c r="I104" i="5"/>
  <c r="A104" i="5"/>
  <c r="J103" i="5"/>
  <c r="I103" i="5"/>
  <c r="A103" i="5"/>
  <c r="J102" i="5"/>
  <c r="I102" i="5"/>
  <c r="A102" i="5"/>
  <c r="J101" i="5"/>
  <c r="I101" i="5"/>
  <c r="A101" i="5"/>
  <c r="J100" i="5"/>
  <c r="I100" i="5"/>
  <c r="A100" i="5"/>
  <c r="J99" i="5"/>
  <c r="I99" i="5"/>
  <c r="A99" i="5"/>
  <c r="J98" i="5"/>
  <c r="I98" i="5"/>
  <c r="A98" i="5"/>
  <c r="J97" i="5"/>
  <c r="I97" i="5"/>
  <c r="A97" i="5"/>
  <c r="J96" i="5"/>
  <c r="I96" i="5"/>
  <c r="A96" i="5"/>
  <c r="J95" i="5"/>
  <c r="I95" i="5"/>
  <c r="A95" i="5"/>
  <c r="J94" i="5"/>
  <c r="I94" i="5"/>
  <c r="A94" i="5"/>
  <c r="J93" i="5"/>
  <c r="I93" i="5"/>
  <c r="A93" i="5"/>
  <c r="J92" i="5"/>
  <c r="I92" i="5"/>
  <c r="A92" i="5"/>
  <c r="J91" i="5"/>
  <c r="I91" i="5"/>
  <c r="A91" i="5"/>
  <c r="J90" i="5"/>
  <c r="I90" i="5"/>
  <c r="A90" i="5"/>
  <c r="J89" i="5"/>
  <c r="I89" i="5"/>
  <c r="A89" i="5"/>
  <c r="J88" i="5"/>
  <c r="I88" i="5"/>
  <c r="A88" i="5"/>
  <c r="J87" i="5"/>
  <c r="I87" i="5"/>
  <c r="A87" i="5"/>
  <c r="J86" i="5"/>
  <c r="I86" i="5"/>
  <c r="A86" i="5"/>
  <c r="J85" i="5"/>
  <c r="I85" i="5"/>
  <c r="A85" i="5"/>
  <c r="J84" i="5"/>
  <c r="I84" i="5"/>
  <c r="A84" i="5"/>
  <c r="J83" i="5"/>
  <c r="I83" i="5"/>
  <c r="A83" i="5"/>
  <c r="J82" i="5"/>
  <c r="I82" i="5"/>
  <c r="A82" i="5"/>
  <c r="J81" i="5"/>
  <c r="I81" i="5"/>
  <c r="A81" i="5"/>
  <c r="J80" i="5"/>
  <c r="I80" i="5"/>
  <c r="A80" i="5"/>
  <c r="J79" i="5"/>
  <c r="I79" i="5"/>
  <c r="A79" i="5"/>
  <c r="J78" i="5"/>
  <c r="I78" i="5"/>
  <c r="A78" i="5"/>
  <c r="J77" i="5"/>
  <c r="I77" i="5"/>
  <c r="A77" i="5"/>
  <c r="J76" i="5"/>
  <c r="I76" i="5"/>
  <c r="A76" i="5"/>
  <c r="J75" i="5"/>
  <c r="I75" i="5"/>
  <c r="A75" i="5"/>
  <c r="J74" i="5"/>
  <c r="I74" i="5"/>
  <c r="A74" i="5"/>
  <c r="J73" i="5"/>
  <c r="I73" i="5"/>
  <c r="A73" i="5"/>
  <c r="J72" i="5"/>
  <c r="I72" i="5"/>
  <c r="A72" i="5"/>
  <c r="J71" i="5"/>
  <c r="I71" i="5"/>
  <c r="A71" i="5"/>
  <c r="J70" i="5"/>
  <c r="I70" i="5"/>
  <c r="A70" i="5"/>
  <c r="J69" i="5"/>
  <c r="I69" i="5"/>
  <c r="A69" i="5"/>
  <c r="J68" i="5"/>
  <c r="I68" i="5"/>
  <c r="A68" i="5"/>
  <c r="J67" i="5"/>
  <c r="I67" i="5"/>
  <c r="A67" i="5"/>
  <c r="J66" i="5"/>
  <c r="I66" i="5"/>
  <c r="A66" i="5"/>
  <c r="J65" i="5"/>
  <c r="I65" i="5"/>
  <c r="A65" i="5"/>
  <c r="J64" i="5"/>
  <c r="I64" i="5"/>
  <c r="A64" i="5"/>
  <c r="J63" i="5"/>
  <c r="I63" i="5"/>
  <c r="A63" i="5"/>
  <c r="J62" i="5"/>
  <c r="I62" i="5"/>
  <c r="A62" i="5"/>
  <c r="J61" i="5"/>
  <c r="I61" i="5"/>
  <c r="A61" i="5"/>
  <c r="J60" i="5"/>
  <c r="I60" i="5"/>
  <c r="A60" i="5"/>
  <c r="J59" i="5"/>
  <c r="I59" i="5"/>
  <c r="A59" i="5"/>
  <c r="J58" i="5"/>
  <c r="I58" i="5"/>
  <c r="A58" i="5"/>
  <c r="J57" i="5"/>
  <c r="I57" i="5"/>
  <c r="A57" i="5"/>
  <c r="J56" i="5"/>
  <c r="I56" i="5"/>
  <c r="A56" i="5"/>
  <c r="J55" i="5"/>
  <c r="I55" i="5"/>
  <c r="A55" i="5"/>
  <c r="J54" i="5"/>
  <c r="I54" i="5"/>
  <c r="A54" i="5"/>
  <c r="J53" i="5"/>
  <c r="I53" i="5"/>
  <c r="A53" i="5"/>
  <c r="J52" i="5"/>
  <c r="I52" i="5"/>
  <c r="A52" i="5"/>
  <c r="J51" i="5"/>
  <c r="I51" i="5"/>
  <c r="A51" i="5"/>
  <c r="J50" i="5"/>
  <c r="I50" i="5"/>
  <c r="A50" i="5"/>
  <c r="J49" i="5"/>
  <c r="I49" i="5"/>
  <c r="A49" i="5"/>
  <c r="J48" i="5"/>
  <c r="I48" i="5"/>
  <c r="A48" i="5"/>
  <c r="J47" i="5"/>
  <c r="I47" i="5"/>
  <c r="A47" i="5"/>
  <c r="J46" i="5"/>
  <c r="I46" i="5"/>
  <c r="A46" i="5"/>
  <c r="J45" i="5"/>
  <c r="I45" i="5"/>
  <c r="A45" i="5"/>
  <c r="J44" i="5"/>
  <c r="I44" i="5"/>
  <c r="A44" i="5"/>
  <c r="J43" i="5"/>
  <c r="I43" i="5"/>
  <c r="A43" i="5"/>
  <c r="J42" i="5"/>
  <c r="I42" i="5"/>
  <c r="A42" i="5"/>
  <c r="J41" i="5"/>
  <c r="I41" i="5"/>
  <c r="A41" i="5"/>
  <c r="J40" i="5"/>
  <c r="I40" i="5"/>
  <c r="A40" i="5"/>
  <c r="J39" i="5"/>
  <c r="I39" i="5"/>
  <c r="A39" i="5"/>
  <c r="J38" i="5"/>
  <c r="I38" i="5"/>
  <c r="A38" i="5"/>
  <c r="J37" i="5"/>
  <c r="I37" i="5"/>
  <c r="A37" i="5"/>
  <c r="J36" i="5"/>
  <c r="I36" i="5"/>
  <c r="A36" i="5"/>
  <c r="J35" i="5"/>
  <c r="I35" i="5"/>
  <c r="A35" i="5"/>
  <c r="J34" i="5"/>
  <c r="I34" i="5"/>
  <c r="A34" i="5"/>
  <c r="J33" i="5"/>
  <c r="I33" i="5"/>
  <c r="A33" i="5"/>
  <c r="J32" i="5"/>
  <c r="I32" i="5"/>
  <c r="A32" i="5"/>
  <c r="J31" i="5"/>
  <c r="I31" i="5"/>
  <c r="A31" i="5"/>
  <c r="J30" i="5"/>
  <c r="I30" i="5"/>
  <c r="A30" i="5"/>
  <c r="J29" i="5"/>
  <c r="I29" i="5"/>
  <c r="A29" i="5"/>
  <c r="J28" i="5"/>
  <c r="I28" i="5"/>
  <c r="A28" i="5"/>
  <c r="J27" i="5"/>
  <c r="I27" i="5"/>
  <c r="A27" i="5"/>
  <c r="J26" i="5"/>
  <c r="I26" i="5"/>
  <c r="A26" i="5"/>
  <c r="J25" i="5"/>
  <c r="I25" i="5"/>
  <c r="A25" i="5"/>
  <c r="J24" i="5"/>
  <c r="I24" i="5"/>
  <c r="A24" i="5"/>
  <c r="J23" i="5"/>
  <c r="I23" i="5"/>
  <c r="A23" i="5"/>
  <c r="J22" i="5"/>
  <c r="I22" i="5"/>
  <c r="A22" i="5"/>
  <c r="J21" i="5"/>
  <c r="I21" i="5"/>
  <c r="A21" i="5"/>
  <c r="J20" i="5"/>
  <c r="I20" i="5"/>
  <c r="A20" i="5"/>
  <c r="J19" i="5"/>
  <c r="I19" i="5"/>
  <c r="A19" i="5"/>
  <c r="J18" i="5"/>
  <c r="I18" i="5"/>
  <c r="A18" i="5"/>
  <c r="J17" i="5"/>
  <c r="I17" i="5"/>
  <c r="A17" i="5"/>
  <c r="J16" i="5"/>
  <c r="I16" i="5"/>
  <c r="A16" i="5"/>
  <c r="J15" i="5"/>
  <c r="I15" i="5"/>
  <c r="A15" i="5"/>
  <c r="J14" i="5"/>
  <c r="I14" i="5"/>
  <c r="A14" i="5"/>
  <c r="J13" i="5"/>
  <c r="I13" i="5"/>
  <c r="A13" i="5"/>
  <c r="J12" i="5"/>
  <c r="I12" i="5"/>
  <c r="A12" i="5"/>
  <c r="J11" i="5"/>
  <c r="I11" i="5"/>
  <c r="A11" i="5"/>
  <c r="J10" i="5"/>
  <c r="I10" i="5"/>
  <c r="A10" i="5"/>
  <c r="J9" i="5"/>
  <c r="I9" i="5"/>
  <c r="A9" i="5"/>
  <c r="J8" i="5"/>
  <c r="I8" i="5"/>
  <c r="A8" i="5"/>
  <c r="J7" i="5"/>
  <c r="I7" i="5"/>
  <c r="A7" i="5"/>
  <c r="J6" i="5"/>
  <c r="I6" i="5"/>
  <c r="A6" i="5"/>
  <c r="J5" i="5"/>
  <c r="I5" i="5"/>
  <c r="A5" i="5"/>
  <c r="J4" i="5"/>
  <c r="I4" i="5"/>
  <c r="A4" i="5"/>
  <c r="J3" i="5"/>
  <c r="I3" i="5"/>
  <c r="A3" i="5"/>
  <c r="J2" i="5"/>
  <c r="I2" i="5"/>
  <c r="A2" i="5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H501" i="10"/>
  <c r="H500" i="10"/>
  <c r="H499" i="10"/>
  <c r="H498" i="10"/>
  <c r="H497" i="10"/>
  <c r="H496" i="10"/>
  <c r="H495" i="10"/>
  <c r="H494" i="10"/>
  <c r="H493" i="10"/>
  <c r="H492" i="10"/>
  <c r="H491" i="10"/>
  <c r="H490" i="10"/>
  <c r="H489" i="10"/>
  <c r="H488" i="10"/>
  <c r="H487" i="10"/>
  <c r="H486" i="10"/>
  <c r="H485" i="10"/>
  <c r="H484" i="10"/>
  <c r="H483" i="10"/>
  <c r="H482" i="10"/>
  <c r="H481" i="10"/>
  <c r="H480" i="10"/>
  <c r="H479" i="10"/>
  <c r="H478" i="10"/>
  <c r="H477" i="10"/>
  <c r="H476" i="10"/>
  <c r="H475" i="10"/>
  <c r="H474" i="10"/>
  <c r="H473" i="10"/>
  <c r="H472" i="10"/>
  <c r="H471" i="10"/>
  <c r="H470" i="10"/>
  <c r="H469" i="10"/>
  <c r="H468" i="10"/>
  <c r="H467" i="10"/>
  <c r="H466" i="10"/>
  <c r="H465" i="10"/>
  <c r="H464" i="10"/>
  <c r="H463" i="10"/>
  <c r="H462" i="10"/>
  <c r="H461" i="10"/>
  <c r="H460" i="10"/>
  <c r="H459" i="10"/>
  <c r="H458" i="10"/>
  <c r="H457" i="10"/>
  <c r="H456" i="10"/>
  <c r="H455" i="10"/>
  <c r="H454" i="10"/>
  <c r="H453" i="10"/>
  <c r="H452" i="10"/>
  <c r="H451" i="10"/>
  <c r="H450" i="10"/>
  <c r="H449" i="10"/>
  <c r="H448" i="10"/>
  <c r="H447" i="10"/>
  <c r="H446" i="10"/>
  <c r="H445" i="10"/>
  <c r="H444" i="10"/>
  <c r="H443" i="10"/>
  <c r="H442" i="10"/>
  <c r="H441" i="10"/>
  <c r="H440" i="10"/>
  <c r="H439" i="10"/>
  <c r="H438" i="10"/>
  <c r="H437" i="10"/>
  <c r="H436" i="10"/>
  <c r="H435" i="10"/>
  <c r="H434" i="10"/>
  <c r="H433" i="10"/>
  <c r="H432" i="10"/>
  <c r="H431" i="10"/>
  <c r="H430" i="10"/>
  <c r="H429" i="10"/>
  <c r="H428" i="10"/>
  <c r="H427" i="10"/>
  <c r="H426" i="10"/>
  <c r="H425" i="10"/>
  <c r="H424" i="10"/>
  <c r="H423" i="10"/>
  <c r="H422" i="10"/>
  <c r="H421" i="10"/>
  <c r="H420" i="10"/>
  <c r="H419" i="10"/>
  <c r="H418" i="10"/>
  <c r="H417" i="10"/>
  <c r="H416" i="10"/>
  <c r="H415" i="10"/>
  <c r="H414" i="10"/>
  <c r="H413" i="10"/>
  <c r="H412" i="10"/>
  <c r="H411" i="10"/>
  <c r="H410" i="10"/>
  <c r="H409" i="10"/>
  <c r="H408" i="10"/>
  <c r="H407" i="10"/>
  <c r="H406" i="10"/>
  <c r="H405" i="10"/>
  <c r="H404" i="10"/>
  <c r="H403" i="10"/>
  <c r="H402" i="10"/>
  <c r="H401" i="10"/>
  <c r="H400" i="10"/>
  <c r="H399" i="10"/>
  <c r="H398" i="10"/>
  <c r="H397" i="10"/>
  <c r="H396" i="10"/>
  <c r="H395" i="10"/>
  <c r="H394" i="10"/>
  <c r="H393" i="10"/>
  <c r="H392" i="10"/>
  <c r="H391" i="10"/>
  <c r="H390" i="10"/>
  <c r="H389" i="10"/>
  <c r="H388" i="10"/>
  <c r="H387" i="10"/>
  <c r="H386" i="10"/>
  <c r="H385" i="10"/>
  <c r="H384" i="10"/>
  <c r="H383" i="10"/>
  <c r="H382" i="10"/>
  <c r="H381" i="10"/>
  <c r="H380" i="10"/>
  <c r="H379" i="10"/>
  <c r="H378" i="10"/>
  <c r="H377" i="10"/>
  <c r="H376" i="10"/>
  <c r="H375" i="10"/>
  <c r="H374" i="10"/>
  <c r="H373" i="10"/>
  <c r="H372" i="10"/>
  <c r="H371" i="10"/>
  <c r="H370" i="10"/>
  <c r="H369" i="10"/>
  <c r="H368" i="10"/>
  <c r="H367" i="10"/>
  <c r="H366" i="10"/>
  <c r="H365" i="10"/>
  <c r="H364" i="10"/>
  <c r="H363" i="10"/>
  <c r="H362" i="10"/>
  <c r="H361" i="10"/>
  <c r="H360" i="10"/>
  <c r="H359" i="10"/>
  <c r="H358" i="10"/>
  <c r="H357" i="10"/>
  <c r="H356" i="10"/>
  <c r="H355" i="10"/>
  <c r="H354" i="10"/>
  <c r="H353" i="10"/>
  <c r="H352" i="10"/>
  <c r="H351" i="10"/>
  <c r="H350" i="10"/>
  <c r="H349" i="10"/>
  <c r="H348" i="10"/>
  <c r="H347" i="10"/>
  <c r="H346" i="10"/>
  <c r="H345" i="10"/>
  <c r="H344" i="10"/>
  <c r="H343" i="10"/>
  <c r="H342" i="10"/>
  <c r="H341" i="10"/>
  <c r="H340" i="10"/>
  <c r="H339" i="10"/>
  <c r="H338" i="10"/>
  <c r="H337" i="10"/>
  <c r="H336" i="10"/>
  <c r="H335" i="10"/>
  <c r="H334" i="10"/>
  <c r="H333" i="10"/>
  <c r="H332" i="10"/>
  <c r="H331" i="10"/>
  <c r="H330" i="10"/>
  <c r="H329" i="10"/>
  <c r="H328" i="10"/>
  <c r="H327" i="10"/>
  <c r="H326" i="10"/>
  <c r="H325" i="10"/>
  <c r="H324" i="10"/>
  <c r="H323" i="10"/>
  <c r="H322" i="10"/>
  <c r="H321" i="10"/>
  <c r="H320" i="10"/>
  <c r="H319" i="10"/>
  <c r="H318" i="10"/>
  <c r="H317" i="10"/>
  <c r="H316" i="10"/>
  <c r="H315" i="10"/>
  <c r="H314" i="10"/>
  <c r="H313" i="10"/>
  <c r="H312" i="10"/>
  <c r="H311" i="10"/>
  <c r="H310" i="10"/>
  <c r="H309" i="10"/>
  <c r="H308" i="10"/>
  <c r="H307" i="10"/>
  <c r="H306" i="10"/>
  <c r="H305" i="10"/>
  <c r="H304" i="10"/>
  <c r="H303" i="10"/>
  <c r="H302" i="10"/>
  <c r="H301" i="10"/>
  <c r="H300" i="10"/>
  <c r="H299" i="10"/>
  <c r="H298" i="10"/>
  <c r="H297" i="10"/>
  <c r="H296" i="10"/>
  <c r="H295" i="10"/>
  <c r="H294" i="10"/>
  <c r="H293" i="10"/>
  <c r="H292" i="10"/>
  <c r="H291" i="10"/>
  <c r="H290" i="10"/>
  <c r="H289" i="10"/>
  <c r="H288" i="10"/>
  <c r="H287" i="10"/>
  <c r="H286" i="10"/>
  <c r="H285" i="10"/>
  <c r="H284" i="10"/>
  <c r="H283" i="10"/>
  <c r="H282" i="10"/>
  <c r="H281" i="10"/>
  <c r="H280" i="10"/>
  <c r="H279" i="10"/>
  <c r="H278" i="10"/>
  <c r="H277" i="10"/>
  <c r="H276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6" i="10"/>
  <c r="H255" i="10"/>
  <c r="H254" i="10"/>
  <c r="H253" i="10"/>
  <c r="H252" i="10"/>
  <c r="H251" i="10"/>
  <c r="H250" i="10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H237" i="10"/>
  <c r="H236" i="10"/>
  <c r="H235" i="10"/>
  <c r="H234" i="10"/>
  <c r="H233" i="10"/>
  <c r="H232" i="10"/>
  <c r="H231" i="10"/>
  <c r="H230" i="10"/>
  <c r="H229" i="10"/>
  <c r="H228" i="10"/>
  <c r="H227" i="10"/>
  <c r="H226" i="10"/>
  <c r="H225" i="10"/>
  <c r="H224" i="10"/>
  <c r="H223" i="10"/>
  <c r="H222" i="10"/>
  <c r="H221" i="10"/>
  <c r="H220" i="10"/>
  <c r="H219" i="10"/>
  <c r="H218" i="10"/>
  <c r="H217" i="10"/>
  <c r="H216" i="10"/>
  <c r="H215" i="10"/>
  <c r="H214" i="10"/>
  <c r="H213" i="10"/>
  <c r="H212" i="10"/>
  <c r="H211" i="10"/>
  <c r="H210" i="10"/>
  <c r="H209" i="10"/>
  <c r="H208" i="10"/>
  <c r="H207" i="10"/>
  <c r="H206" i="10"/>
  <c r="H205" i="10"/>
  <c r="H204" i="10"/>
  <c r="H203" i="10"/>
  <c r="H202" i="10"/>
  <c r="H201" i="10"/>
  <c r="H200" i="10"/>
  <c r="H199" i="10"/>
  <c r="H198" i="10"/>
  <c r="H197" i="10"/>
  <c r="H196" i="10"/>
  <c r="H195" i="10"/>
  <c r="H194" i="10"/>
  <c r="H193" i="10"/>
  <c r="H192" i="10"/>
  <c r="H191" i="10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H170" i="10"/>
  <c r="H169" i="10"/>
  <c r="H168" i="10"/>
  <c r="H167" i="10"/>
  <c r="H166" i="10"/>
  <c r="H165" i="10"/>
  <c r="H164" i="10"/>
  <c r="H163" i="10"/>
  <c r="H162" i="10"/>
  <c r="H161" i="10"/>
  <c r="H160" i="10"/>
  <c r="H159" i="10"/>
  <c r="H158" i="10"/>
  <c r="H157" i="10"/>
  <c r="H156" i="10"/>
  <c r="H155" i="10"/>
  <c r="H154" i="10"/>
  <c r="H153" i="10"/>
  <c r="H152" i="10"/>
  <c r="H151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H2" i="6" l="1"/>
  <c r="I2" i="6" s="1"/>
  <c r="F13" i="8"/>
  <c r="F9" i="8"/>
  <c r="F6" i="8"/>
  <c r="F3" i="8"/>
  <c r="F12" i="8"/>
  <c r="F8" i="8"/>
  <c r="F5" i="8"/>
  <c r="F11" i="8"/>
  <c r="F7" i="8"/>
  <c r="B5" i="8"/>
  <c r="F14" i="8"/>
  <c r="F10" i="8"/>
  <c r="F4" i="8"/>
  <c r="J2" i="6"/>
  <c r="B3" i="8"/>
  <c r="B3" i="9"/>
  <c r="B10" i="9"/>
  <c r="E14" i="8"/>
  <c r="E10" i="8"/>
  <c r="E4" i="8"/>
  <c r="B4" i="8"/>
  <c r="E13" i="8"/>
  <c r="E9" i="8"/>
  <c r="E6" i="8"/>
  <c r="E3" i="8"/>
  <c r="E12" i="8"/>
  <c r="E8" i="8"/>
  <c r="E5" i="8"/>
  <c r="E11" i="8"/>
  <c r="E7" i="8"/>
  <c r="B8" i="8" l="1"/>
  <c r="B6" i="8"/>
</calcChain>
</file>

<file path=xl/sharedStrings.xml><?xml version="1.0" encoding="utf-8"?>
<sst xmlns="http://schemas.openxmlformats.org/spreadsheetml/2006/main" count="268" uniqueCount="192">
  <si>
    <t>PrecioID</t>
  </si>
  <si>
    <t>ProductoID</t>
  </si>
  <si>
    <t>ClienteID</t>
  </si>
  <si>
    <t>TipoPrecio</t>
  </si>
  <si>
    <t>PrecioKg</t>
  </si>
  <si>
    <t>FechaInicio</t>
  </si>
  <si>
    <t>FechaFin</t>
  </si>
  <si>
    <t>Prioridad</t>
  </si>
  <si>
    <t>Estado</t>
  </si>
  <si>
    <t>Motivo</t>
  </si>
  <si>
    <t>CARNE PREMIUM ERP</t>
  </si>
  <si>
    <t>Nueva Venta</t>
  </si>
  <si>
    <t>Clientes</t>
  </si>
  <si>
    <t>Productos</t>
  </si>
  <si>
    <t>Caja</t>
  </si>
  <si>
    <t>Stock</t>
  </si>
  <si>
    <t>Dashboard</t>
  </si>
  <si>
    <t>Configuración</t>
  </si>
  <si>
    <t>Parametro</t>
  </si>
  <si>
    <t>Valor</t>
  </si>
  <si>
    <t>TipoPrecioDefault</t>
  </si>
  <si>
    <t>Minorista</t>
  </si>
  <si>
    <t>Moneda</t>
  </si>
  <si>
    <t>ARS</t>
  </si>
  <si>
    <t>Empresa</t>
  </si>
  <si>
    <t>Carne Premium ERP</t>
  </si>
  <si>
    <t>Vendedor por defecto</t>
  </si>
  <si>
    <t>IVA</t>
  </si>
  <si>
    <t>Medio de pago</t>
  </si>
  <si>
    <t>Efectivo</t>
  </si>
  <si>
    <t>TiposPrecio</t>
  </si>
  <si>
    <t>Estados</t>
  </si>
  <si>
    <t>MediosPago</t>
  </si>
  <si>
    <t>Activo</t>
  </si>
  <si>
    <t>Mayorista</t>
  </si>
  <si>
    <t>Inactivo</t>
  </si>
  <si>
    <t>Transferencia</t>
  </si>
  <si>
    <t>Especial</t>
  </si>
  <si>
    <t>Cuenta Corriente</t>
  </si>
  <si>
    <t>Nombre</t>
  </si>
  <si>
    <t>Telefono</t>
  </si>
  <si>
    <t>Direccion</t>
  </si>
  <si>
    <t>FechaAlta</t>
  </si>
  <si>
    <t>Observaciones</t>
  </si>
  <si>
    <t>Adela Igarzabal</t>
  </si>
  <si>
    <t>54 911-3261-4129</t>
  </si>
  <si>
    <t>Ale Silveyra</t>
  </si>
  <si>
    <t>54 911-5720-1983</t>
  </si>
  <si>
    <t>Victoria Ocampo 738, Beccar</t>
  </si>
  <si>
    <t>Coordinar con Silvina</t>
  </si>
  <si>
    <t>Ana del Pino</t>
  </si>
  <si>
    <t>Annette</t>
  </si>
  <si>
    <t>54 911-6227-8629</t>
  </si>
  <si>
    <t>Suipacha 2365, Beccar</t>
  </si>
  <si>
    <t>Bettina Helvadjian</t>
  </si>
  <si>
    <t>54 911-4889-5676</t>
  </si>
  <si>
    <t>Diagonal Tucumán 671, Martinez</t>
  </si>
  <si>
    <t>Carlos Rivero</t>
  </si>
  <si>
    <t>Carola Alfonzo</t>
  </si>
  <si>
    <t>54 911-6369-0104</t>
  </si>
  <si>
    <t>Mamá Fran Rodillo</t>
  </si>
  <si>
    <t>Cristina Igarzabal</t>
  </si>
  <si>
    <t>54 911-3245-6070</t>
  </si>
  <si>
    <t>Delia</t>
  </si>
  <si>
    <t>Diego</t>
  </si>
  <si>
    <t>Diego Gonzalez Bonorino</t>
  </si>
  <si>
    <t>54 911-4041-3480</t>
  </si>
  <si>
    <t>Nicolás Avellaneda 2262, San Isidro</t>
  </si>
  <si>
    <t>Ezequiel</t>
  </si>
  <si>
    <t>54 911-6589-4002</t>
  </si>
  <si>
    <t>Barrio Sunny, Tigre</t>
  </si>
  <si>
    <t>Lote 24</t>
  </si>
  <si>
    <t>Fran Rodillo</t>
  </si>
  <si>
    <t>Gastón</t>
  </si>
  <si>
    <t>Gastón Uzin</t>
  </si>
  <si>
    <t>54 911-3245-7669</t>
  </si>
  <si>
    <t>Inés Igarzabal</t>
  </si>
  <si>
    <t>54 911-6494-8444</t>
  </si>
  <si>
    <t>Jacinto Diaz 2080, San Isidro</t>
  </si>
  <si>
    <t>Isabel Lopez Lacarrere</t>
  </si>
  <si>
    <t>54 911-4444-7034</t>
  </si>
  <si>
    <t>Lote 49</t>
  </si>
  <si>
    <t>Jaime Lorenzo</t>
  </si>
  <si>
    <t>Jime Gonzalez Mathys</t>
  </si>
  <si>
    <t>54 911-3090-2166</t>
  </si>
  <si>
    <t>Rosario de Santa Fe 649, Beccar</t>
  </si>
  <si>
    <t>Joaquin Reichart</t>
  </si>
  <si>
    <t>56 9 9851-6389</t>
  </si>
  <si>
    <t>Bolivar 290, Beccar</t>
  </si>
  <si>
    <t>Casa de los padres</t>
  </si>
  <si>
    <t>Juan Sw</t>
  </si>
  <si>
    <t>Juanito</t>
  </si>
  <si>
    <t>54 911-6655-1994</t>
  </si>
  <si>
    <t>Juan Martín Duclos</t>
  </si>
  <si>
    <t>54 911-3209-0844</t>
  </si>
  <si>
    <t>Laura Guidi</t>
  </si>
  <si>
    <t>54 911-3930-7437</t>
  </si>
  <si>
    <t>J. F. Kennedy, Victoria</t>
  </si>
  <si>
    <t>Costurera/Limpieza</t>
  </si>
  <si>
    <t>Laura Igarzabal</t>
  </si>
  <si>
    <t>Lourdes</t>
  </si>
  <si>
    <t>Maria Eizayaga</t>
  </si>
  <si>
    <t>Mariano</t>
  </si>
  <si>
    <t>Matias de Blasi</t>
  </si>
  <si>
    <t>54 911-6299-2667</t>
  </si>
  <si>
    <t>Matias Sonzini</t>
  </si>
  <si>
    <t>54 911-3593-2039</t>
  </si>
  <si>
    <t>Ohiggins 450, San Isidro</t>
  </si>
  <si>
    <t>1 "A"</t>
  </si>
  <si>
    <t>Matias Ureta</t>
  </si>
  <si>
    <t>Muncha</t>
  </si>
  <si>
    <t>54 911-4416-8375</t>
  </si>
  <si>
    <t>Murature 732, San Isidro</t>
  </si>
  <si>
    <t>Mamá de Nacho y Juan Ortega</t>
  </si>
  <si>
    <t>Pato O'Reilly</t>
  </si>
  <si>
    <t>Patricio Cabrini</t>
  </si>
  <si>
    <t>Peter</t>
  </si>
  <si>
    <t>54 911-5452-4573</t>
  </si>
  <si>
    <t>Vicente Fidel López 388, Martinez</t>
  </si>
  <si>
    <t>2 "A"</t>
  </si>
  <si>
    <t>Rochi Melazza</t>
  </si>
  <si>
    <t>Rodolfo Melazza</t>
  </si>
  <si>
    <t>Santi Breide</t>
  </si>
  <si>
    <t>54 911-3904-5214</t>
  </si>
  <si>
    <t>Sonia Haddad</t>
  </si>
  <si>
    <t>507 6354-0567</t>
  </si>
  <si>
    <t>Monseñor Alberti 474, San Isidro</t>
  </si>
  <si>
    <t>3 "A"</t>
  </si>
  <si>
    <t>Tomas Koch</t>
  </si>
  <si>
    <t>54 911-3004-1596</t>
  </si>
  <si>
    <t>Comandante Luis Piedrabuena 3311, Victoria</t>
  </si>
  <si>
    <t>Tomi Rivero</t>
  </si>
  <si>
    <t>Tomi Suarez</t>
  </si>
  <si>
    <t>Ezequiel Cardoni</t>
  </si>
  <si>
    <t>Nacho Gabancho</t>
  </si>
  <si>
    <t>Amapro Nogueira</t>
  </si>
  <si>
    <t>54 911-6959-1241</t>
  </si>
  <si>
    <t>Fernando Zambra</t>
  </si>
  <si>
    <t>Sole Ezcurra</t>
  </si>
  <si>
    <t>Santi Perrota</t>
  </si>
  <si>
    <t>Agustin Reichart</t>
  </si>
  <si>
    <t>Producto</t>
  </si>
  <si>
    <t>Categoria</t>
  </si>
  <si>
    <t>Costo</t>
  </si>
  <si>
    <t>Precio Minorista</t>
  </si>
  <si>
    <t>Precio Mayorista</t>
  </si>
  <si>
    <t>Precio Especial</t>
  </si>
  <si>
    <t>Oferta</t>
  </si>
  <si>
    <t>Ganancia$</t>
  </si>
  <si>
    <t>Ganancia%</t>
  </si>
  <si>
    <t>Bife de Chorizo</t>
  </si>
  <si>
    <t>Vacuno</t>
  </si>
  <si>
    <t>Coita de Cuadril</t>
  </si>
  <si>
    <t>Lomo</t>
  </si>
  <si>
    <t>Nalga Feteada</t>
  </si>
  <si>
    <t>Nalga sin Tapa</t>
  </si>
  <si>
    <t>Peceto</t>
  </si>
  <si>
    <t>Peceto Feteado</t>
  </si>
  <si>
    <t>Picada Especial</t>
  </si>
  <si>
    <t>Picaña</t>
  </si>
  <si>
    <t>Vacío</t>
  </si>
  <si>
    <t>Vacío Fraccionado</t>
  </si>
  <si>
    <t>Ojo de Bife</t>
  </si>
  <si>
    <t>VentaID</t>
  </si>
  <si>
    <t>Fecha</t>
  </si>
  <si>
    <t>Cliente</t>
  </si>
  <si>
    <t>Kg</t>
  </si>
  <si>
    <t>Importe</t>
  </si>
  <si>
    <t>Versión</t>
  </si>
  <si>
    <t>0.3.5</t>
  </si>
  <si>
    <t>Build</t>
  </si>
  <si>
    <t>Corrección e integración del motor de precios</t>
  </si>
  <si>
    <t>CARNE PREMIUM ERP — DASHBOARD</t>
  </si>
  <si>
    <t>Mes</t>
  </si>
  <si>
    <t>Facturación</t>
  </si>
  <si>
    <t>Ganancia</t>
  </si>
  <si>
    <t>Ventas registradas</t>
  </si>
  <si>
    <t>Margen</t>
  </si>
  <si>
    <t>Kg vendidos</t>
  </si>
  <si>
    <t>Ticket promedio</t>
  </si>
  <si>
    <t>CARNE PREMIUM — TICKET</t>
  </si>
  <si>
    <t>Corte</t>
  </si>
  <si>
    <t>Precio/Kg</t>
  </si>
  <si>
    <t>Total</t>
  </si>
  <si>
    <t>OfertaID</t>
  </si>
  <si>
    <t>NombreOferta</t>
  </si>
  <si>
    <t>PrecioOferta</t>
  </si>
  <si>
    <t>Descuento%</t>
  </si>
  <si>
    <t>MinKg</t>
  </si>
  <si>
    <t>PrecioAnterior</t>
  </si>
  <si>
    <t>PrecioNuevo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</si>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</sst>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_-[$$-2C0A]\ * #,##0.00_-;\-[$$-2C0A]\ * #,##0.00_-;_-[$$-2C0A]\ * &quot;-&quot;??_-;_-@_-"/>
  </numFmts>
  <fonts count="5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1" applyFon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9" fontId="3" fillId="0" borderId="0" xfId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AR"/>
              <a:t>Evolución mensual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'10_DASHBOARD'!$E$2</c:f>
              <c:strCache>
                <c:ptCount val="1"/>
                <c:pt idx="0">
                  <c:v>Facturación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'10_DASHBOARD'!$D$3:$D$14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'10_DASHBOARD'!$E$3:$E$14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A34-41E2-8999-548D7B3F8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Mes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Importe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3CLIENTES" displayName="T3CLIENTES" ref="A1:G201">
  <autoFilter ref="A1:G201" xr:uid="{00000000-0009-0000-0100-000001000000}"/>
  <tableColumns count="7">
    <tableColumn id="1" xr3:uid="{00000000-0010-0000-0000-000001000000}" name="ClienteID"/>
    <tableColumn id="2" xr3:uid="{00000000-0010-0000-0000-000002000000}" name="Nombre"/>
    <tableColumn id="3" xr3:uid="{00000000-0010-0000-0000-000003000000}" name="Telefono"/>
    <tableColumn id="4" xr3:uid="{00000000-0010-0000-0000-000004000000}" name="Direccion"/>
    <tableColumn id="5" xr3:uid="{00000000-0010-0000-0000-000005000000}" name="Estado"/>
    <tableColumn id="6" xr3:uid="{00000000-0010-0000-0000-000006000000}" name="FechaAlta"/>
    <tableColumn id="7" xr3:uid="{00000000-0010-0000-0000-000007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4PRODUCTOS" displayName="T4PRODUCTOS" ref="A1:G201">
  <autoFilter ref="A1:G201" xr:uid="{00000000-0009-0000-0100-000002000000}"/>
  <tableColumns count="7">
    <tableColumn id="1" xr3:uid="{00000000-0010-0000-0100-000001000000}" name="ProductoID"/>
    <tableColumn id="2" xr3:uid="{00000000-0010-0000-0100-000002000000}" name="Producto"/>
    <tableColumn id="3" xr3:uid="{00000000-0010-0000-0100-000003000000}" name="Categoria"/>
    <tableColumn id="4" xr3:uid="{00000000-0010-0000-0100-000004000000}" name="Unidad"/>
    <tableColumn id="5" xr3:uid="{00000000-0010-0000-0100-000005000000}" name="Precio"/>
    <tableColumn id="6" xr3:uid="{00000000-0010-0000-0100-000006000000}" name="Costo"/>
    <tableColumn id="7" xr3:uid="{00000000-0010-0000-0100-000007000000}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5VENTAS" displayName="T5VENTAS" ref="A1:G201">
  <autoFilter ref="A1:G201" xr:uid="{00000000-0009-0000-0100-000003000000}"/>
  <tableColumns count="7">
    <tableColumn id="1" xr3:uid="{00000000-0010-0000-0200-000001000000}" name="VentaID"/>
    <tableColumn id="2" xr3:uid="{00000000-0010-0000-0200-000002000000}" name="Fecha"/>
    <tableColumn id="3" xr3:uid="{00000000-0010-0000-0200-000003000000}" name="ClienteID"/>
    <tableColumn id="4" xr3:uid="{00000000-0010-0000-0200-000004000000}" name="ProductoID"/>
    <tableColumn id="5" xr3:uid="{00000000-0010-0000-0200-000005000000}" name="Kg"/>
    <tableColumn id="6" xr3:uid="{00000000-0010-0000-0200-000006000000}" name="PrecioKg"/>
    <tableColumn id="7" xr3:uid="{00000000-0010-0000-0200-000007000000}" name="Impor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A6" sqref="A6"/>
    </sheetView>
  </sheetViews>
  <sheetFormatPr baseColWidth="10" defaultRowHeight="15" x14ac:dyDescent="0.25"/>
  <sheetData>
    <row r="1" spans="1:1" ht="23.25" customHeight="1" x14ac:dyDescent="0.35">
      <c r="A1" s="1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5" x14ac:dyDescent="0.25"/>
  <cols>
    <col min="1" max="1" width="20.7109375" bestFit="1" customWidth="1"/>
    <col min="2" max="2" width="18.5703125" bestFit="1" customWidth="1"/>
  </cols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 t="s">
        <v>21</v>
      </c>
    </row>
    <row r="3" spans="1:2" x14ac:dyDescent="0.25">
      <c r="A3" t="s">
        <v>22</v>
      </c>
      <c r="B3" t="s">
        <v>23</v>
      </c>
    </row>
    <row r="4" spans="1:2" x14ac:dyDescent="0.25">
      <c r="A4" t="s">
        <v>24</v>
      </c>
      <c r="B4" t="s">
        <v>25</v>
      </c>
    </row>
    <row r="6" spans="1:2" x14ac:dyDescent="0.25">
      <c r="A6" t="s">
        <v>26</v>
      </c>
    </row>
    <row r="7" spans="1:2" x14ac:dyDescent="0.25">
      <c r="A7" t="s">
        <v>27</v>
      </c>
      <c r="B7">
        <v>21</v>
      </c>
    </row>
    <row r="8" spans="1:2" x14ac:dyDescent="0.25">
      <c r="A8" t="s">
        <v>28</v>
      </c>
      <c r="B8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baseColWidth="10" defaultColWidth="9.140625" defaultRowHeight="15" x14ac:dyDescent="0.25"/>
  <cols>
    <col min="1" max="1" width="11.28515625" bestFit="1" customWidth="1"/>
    <col min="2" max="2" width="8" bestFit="1" customWidth="1"/>
  </cols>
  <sheetData>
    <row r="1" spans="1:3" x14ac:dyDescent="0.25">
      <c r="A1" t="s">
        <v>30</v>
      </c>
      <c r="B1" t="s">
        <v>31</v>
      </c>
      <c r="C1" t="s">
        <v>32</v>
      </c>
    </row>
    <row r="2" spans="1:3" x14ac:dyDescent="0.25">
      <c r="A2" t="s">
        <v>21</v>
      </c>
      <c r="B2" t="s">
        <v>33</v>
      </c>
      <c r="C2" t="s">
        <v>29</v>
      </c>
    </row>
    <row r="3" spans="1:3" x14ac:dyDescent="0.25">
      <c r="A3" t="s">
        <v>34</v>
      </c>
      <c r="B3" t="s">
        <v>35</v>
      </c>
      <c r="C3" t="s">
        <v>36</v>
      </c>
    </row>
    <row r="4" spans="1:3" x14ac:dyDescent="0.25">
      <c r="A4" t="s">
        <v>37</v>
      </c>
      <c r="C4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1"/>
  <sheetViews>
    <sheetView topLeftCell="A28" workbookViewId="0">
      <selection activeCell="B39" sqref="B39"/>
    </sheetView>
  </sheetViews>
  <sheetFormatPr baseColWidth="10" defaultColWidth="9.140625" defaultRowHeight="15" x14ac:dyDescent="0.25"/>
  <cols>
    <col min="1" max="1" width="11.5703125" bestFit="1" customWidth="1"/>
    <col min="2" max="2" width="23.42578125" bestFit="1" customWidth="1"/>
    <col min="3" max="3" width="15.85546875" bestFit="1" customWidth="1"/>
    <col min="4" max="4" width="40.85546875" bestFit="1" customWidth="1"/>
    <col min="6" max="6" width="12" bestFit="1" customWidth="1"/>
    <col min="7" max="7" width="27.85546875" bestFit="1" customWidth="1"/>
  </cols>
  <sheetData>
    <row r="1" spans="1:7" x14ac:dyDescent="0.25">
      <c r="A1" s="2" t="s">
        <v>2</v>
      </c>
      <c r="B1" s="2" t="s">
        <v>39</v>
      </c>
      <c r="C1" s="2" t="s">
        <v>40</v>
      </c>
      <c r="D1" s="2" t="s">
        <v>41</v>
      </c>
      <c r="E1" s="2" t="s">
        <v>8</v>
      </c>
      <c r="F1" s="2" t="s">
        <v>42</v>
      </c>
      <c r="G1" s="2" t="s">
        <v>43</v>
      </c>
    </row>
    <row r="2" spans="1:7" x14ac:dyDescent="0.25">
      <c r="A2" t="str">
        <f t="shared" ref="A2:A33" si="0">IF(B2="","","CLI"&amp;TEXT(ROW()-1,"000000"))</f>
        <v>CLI000001</v>
      </c>
      <c r="B2" t="s">
        <v>44</v>
      </c>
      <c r="C2" t="s">
        <v>45</v>
      </c>
    </row>
    <row r="3" spans="1:7" x14ac:dyDescent="0.25">
      <c r="A3" t="str">
        <f t="shared" si="0"/>
        <v>CLI000002</v>
      </c>
      <c r="B3" t="s">
        <v>46</v>
      </c>
      <c r="C3" t="s">
        <v>47</v>
      </c>
      <c r="D3" t="s">
        <v>48</v>
      </c>
      <c r="G3" t="s">
        <v>49</v>
      </c>
    </row>
    <row r="4" spans="1:7" x14ac:dyDescent="0.25">
      <c r="A4" t="str">
        <f t="shared" si="0"/>
        <v>CLI000003</v>
      </c>
      <c r="B4" t="s">
        <v>50</v>
      </c>
    </row>
    <row r="5" spans="1:7" x14ac:dyDescent="0.25">
      <c r="A5" t="str">
        <f t="shared" si="0"/>
        <v>CLI000004</v>
      </c>
      <c r="B5" t="s">
        <v>51</v>
      </c>
      <c r="C5" t="s">
        <v>52</v>
      </c>
      <c r="D5" t="s">
        <v>53</v>
      </c>
    </row>
    <row r="6" spans="1:7" x14ac:dyDescent="0.25">
      <c r="A6" t="str">
        <f t="shared" si="0"/>
        <v>CLI000005</v>
      </c>
      <c r="B6" t="s">
        <v>54</v>
      </c>
      <c r="C6" t="s">
        <v>55</v>
      </c>
      <c r="D6" t="s">
        <v>56</v>
      </c>
    </row>
    <row r="7" spans="1:7" x14ac:dyDescent="0.25">
      <c r="A7" t="str">
        <f t="shared" si="0"/>
        <v>CLI000006</v>
      </c>
      <c r="B7" t="s">
        <v>57</v>
      </c>
    </row>
    <row r="8" spans="1:7" x14ac:dyDescent="0.25">
      <c r="A8" t="str">
        <f t="shared" si="0"/>
        <v>CLI000007</v>
      </c>
      <c r="B8" t="s">
        <v>58</v>
      </c>
      <c r="C8" t="s">
        <v>59</v>
      </c>
      <c r="G8" t="s">
        <v>60</v>
      </c>
    </row>
    <row r="9" spans="1:7" x14ac:dyDescent="0.25">
      <c r="A9" t="str">
        <f t="shared" si="0"/>
        <v>CLI000008</v>
      </c>
      <c r="B9" t="s">
        <v>61</v>
      </c>
      <c r="C9" t="s">
        <v>62</v>
      </c>
    </row>
    <row r="10" spans="1:7" x14ac:dyDescent="0.25">
      <c r="A10" t="str">
        <f t="shared" si="0"/>
        <v>CLI000009</v>
      </c>
      <c r="B10" t="s">
        <v>63</v>
      </c>
    </row>
    <row r="11" spans="1:7" x14ac:dyDescent="0.25">
      <c r="A11" t="str">
        <f t="shared" si="0"/>
        <v>CLI000010</v>
      </c>
      <c r="B11" t="s">
        <v>64</v>
      </c>
    </row>
    <row r="12" spans="1:7" x14ac:dyDescent="0.25">
      <c r="A12" t="str">
        <f t="shared" si="0"/>
        <v>CLI000011</v>
      </c>
      <c r="B12" t="s">
        <v>65</v>
      </c>
      <c r="C12" t="s">
        <v>66</v>
      </c>
      <c r="D12" t="s">
        <v>67</v>
      </c>
    </row>
    <row r="13" spans="1:7" x14ac:dyDescent="0.25">
      <c r="A13" t="str">
        <f t="shared" si="0"/>
        <v>CLI000012</v>
      </c>
      <c r="B13" t="s">
        <v>68</v>
      </c>
      <c r="C13" t="s">
        <v>69</v>
      </c>
      <c r="D13" t="s">
        <v>70</v>
      </c>
      <c r="G13" t="s">
        <v>71</v>
      </c>
    </row>
    <row r="14" spans="1:7" x14ac:dyDescent="0.25">
      <c r="A14" t="str">
        <f t="shared" si="0"/>
        <v>CLI000013</v>
      </c>
      <c r="B14" t="s">
        <v>72</v>
      </c>
    </row>
    <row r="15" spans="1:7" x14ac:dyDescent="0.25">
      <c r="A15" t="str">
        <f t="shared" si="0"/>
        <v>CLI000014</v>
      </c>
      <c r="B15" t="s">
        <v>73</v>
      </c>
    </row>
    <row r="16" spans="1:7" x14ac:dyDescent="0.25">
      <c r="A16" t="str">
        <f t="shared" si="0"/>
        <v>CLI000015</v>
      </c>
      <c r="B16" t="s">
        <v>74</v>
      </c>
      <c r="C16" t="s">
        <v>75</v>
      </c>
    </row>
    <row r="17" spans="1:7" x14ac:dyDescent="0.25">
      <c r="A17" t="str">
        <f t="shared" si="0"/>
        <v>CLI000016</v>
      </c>
      <c r="B17" t="s">
        <v>76</v>
      </c>
      <c r="C17" t="s">
        <v>77</v>
      </c>
      <c r="D17" t="s">
        <v>78</v>
      </c>
    </row>
    <row r="18" spans="1:7" x14ac:dyDescent="0.25">
      <c r="A18" t="str">
        <f t="shared" si="0"/>
        <v>CLI000017</v>
      </c>
      <c r="B18" t="s">
        <v>79</v>
      </c>
      <c r="C18" t="s">
        <v>80</v>
      </c>
      <c r="D18" t="s">
        <v>70</v>
      </c>
      <c r="G18" t="s">
        <v>81</v>
      </c>
    </row>
    <row r="19" spans="1:7" x14ac:dyDescent="0.25">
      <c r="A19" t="str">
        <f t="shared" si="0"/>
        <v>CLI000018</v>
      </c>
      <c r="B19" t="s">
        <v>82</v>
      </c>
    </row>
    <row r="20" spans="1:7" x14ac:dyDescent="0.25">
      <c r="A20" t="str">
        <f t="shared" si="0"/>
        <v>CLI000019</v>
      </c>
      <c r="B20" t="s">
        <v>83</v>
      </c>
      <c r="C20" t="s">
        <v>84</v>
      </c>
      <c r="D20" t="s">
        <v>85</v>
      </c>
    </row>
    <row r="21" spans="1:7" x14ac:dyDescent="0.25">
      <c r="A21" t="str">
        <f t="shared" si="0"/>
        <v>CLI000020</v>
      </c>
      <c r="B21" t="s">
        <v>86</v>
      </c>
      <c r="C21" t="s">
        <v>87</v>
      </c>
      <c r="D21" t="s">
        <v>88</v>
      </c>
      <c r="G21" t="s">
        <v>89</v>
      </c>
    </row>
    <row r="22" spans="1:7" x14ac:dyDescent="0.25">
      <c r="A22" t="str">
        <f t="shared" si="0"/>
        <v>CLI000021</v>
      </c>
      <c r="B22" t="s">
        <v>90</v>
      </c>
    </row>
    <row r="23" spans="1:7" x14ac:dyDescent="0.25">
      <c r="A23" t="str">
        <f t="shared" si="0"/>
        <v>CLI000022</v>
      </c>
      <c r="B23" t="s">
        <v>91</v>
      </c>
      <c r="C23" t="s">
        <v>92</v>
      </c>
    </row>
    <row r="24" spans="1:7" x14ac:dyDescent="0.25">
      <c r="A24" t="str">
        <f t="shared" si="0"/>
        <v>CLI000023</v>
      </c>
      <c r="B24" t="s">
        <v>93</v>
      </c>
      <c r="C24" t="s">
        <v>94</v>
      </c>
    </row>
    <row r="25" spans="1:7" x14ac:dyDescent="0.25">
      <c r="A25" t="str">
        <f t="shared" si="0"/>
        <v>CLI000024</v>
      </c>
      <c r="B25" t="s">
        <v>95</v>
      </c>
      <c r="C25" t="s">
        <v>96</v>
      </c>
      <c r="D25" t="s">
        <v>97</v>
      </c>
      <c r="G25" t="s">
        <v>98</v>
      </c>
    </row>
    <row r="26" spans="1:7" x14ac:dyDescent="0.25">
      <c r="A26" t="str">
        <f t="shared" si="0"/>
        <v>CLI000025</v>
      </c>
      <c r="B26" t="s">
        <v>99</v>
      </c>
    </row>
    <row r="27" spans="1:7" x14ac:dyDescent="0.25">
      <c r="A27" t="str">
        <f t="shared" si="0"/>
        <v>CLI000026</v>
      </c>
      <c r="B27" t="s">
        <v>100</v>
      </c>
    </row>
    <row r="28" spans="1:7" x14ac:dyDescent="0.25">
      <c r="A28" t="str">
        <f t="shared" si="0"/>
        <v>CLI000027</v>
      </c>
      <c r="B28" t="s">
        <v>101</v>
      </c>
    </row>
    <row r="29" spans="1:7" x14ac:dyDescent="0.25">
      <c r="A29" t="str">
        <f t="shared" si="0"/>
        <v>CLI000028</v>
      </c>
      <c r="B29" t="s">
        <v>102</v>
      </c>
    </row>
    <row r="30" spans="1:7" x14ac:dyDescent="0.25">
      <c r="A30" t="str">
        <f t="shared" si="0"/>
        <v>CLI000029</v>
      </c>
      <c r="B30" t="s">
        <v>103</v>
      </c>
      <c r="C30" t="s">
        <v>104</v>
      </c>
    </row>
    <row r="31" spans="1:7" x14ac:dyDescent="0.25">
      <c r="A31" t="str">
        <f t="shared" si="0"/>
        <v>CLI000030</v>
      </c>
      <c r="B31" t="s">
        <v>105</v>
      </c>
      <c r="C31" t="s">
        <v>106</v>
      </c>
      <c r="D31" t="s">
        <v>107</v>
      </c>
      <c r="G31" t="s">
        <v>108</v>
      </c>
    </row>
    <row r="32" spans="1:7" x14ac:dyDescent="0.25">
      <c r="A32" t="str">
        <f t="shared" si="0"/>
        <v>CLI000031</v>
      </c>
      <c r="B32" t="s">
        <v>109</v>
      </c>
    </row>
    <row r="33" spans="1:7" x14ac:dyDescent="0.25">
      <c r="A33" t="str">
        <f t="shared" si="0"/>
        <v>CLI000032</v>
      </c>
      <c r="B33" t="s">
        <v>110</v>
      </c>
      <c r="C33" t="s">
        <v>111</v>
      </c>
      <c r="D33" t="s">
        <v>112</v>
      </c>
      <c r="G33" t="s">
        <v>113</v>
      </c>
    </row>
    <row r="34" spans="1:7" x14ac:dyDescent="0.25">
      <c r="A34" t="str">
        <f t="shared" ref="A34:A65" si="1">IF(B34="","","CLI"&amp;TEXT(ROW()-1,"000000"))</f>
        <v>CLI000033</v>
      </c>
      <c r="B34" t="s">
        <v>114</v>
      </c>
    </row>
    <row r="35" spans="1:7" x14ac:dyDescent="0.25">
      <c r="A35" t="str">
        <f t="shared" si="1"/>
        <v>CLI000034</v>
      </c>
      <c r="B35" t="s">
        <v>115</v>
      </c>
    </row>
    <row r="36" spans="1:7" x14ac:dyDescent="0.25">
      <c r="A36" t="str">
        <f t="shared" si="1"/>
        <v>CLI000035</v>
      </c>
      <c r="B36" t="s">
        <v>116</v>
      </c>
      <c r="C36" t="s">
        <v>117</v>
      </c>
      <c r="D36" t="s">
        <v>118</v>
      </c>
      <c r="G36" t="s">
        <v>119</v>
      </c>
    </row>
    <row r="37" spans="1:7" x14ac:dyDescent="0.25">
      <c r="A37" t="str">
        <f t="shared" si="1"/>
        <v>CLI000036</v>
      </c>
      <c r="B37" t="s">
        <v>120</v>
      </c>
    </row>
    <row r="38" spans="1:7" x14ac:dyDescent="0.25">
      <c r="A38" t="str">
        <f t="shared" si="1"/>
        <v>CLI000037</v>
      </c>
      <c r="B38" t="s">
        <v>121</v>
      </c>
    </row>
    <row r="39" spans="1:7" x14ac:dyDescent="0.25">
      <c r="A39" t="str">
        <f t="shared" si="1"/>
        <v>CLI000038</v>
      </c>
      <c r="B39" t="s">
        <v>122</v>
      </c>
      <c r="C39" t="s">
        <v>123</v>
      </c>
    </row>
    <row r="40" spans="1:7" x14ac:dyDescent="0.25">
      <c r="A40" t="str">
        <f t="shared" si="1"/>
        <v>CLI000039</v>
      </c>
      <c r="B40" t="s">
        <v>124</v>
      </c>
      <c r="C40" t="s">
        <v>125</v>
      </c>
      <c r="D40" t="s">
        <v>126</v>
      </c>
      <c r="G40" t="s">
        <v>127</v>
      </c>
    </row>
    <row r="41" spans="1:7" x14ac:dyDescent="0.25">
      <c r="A41" t="str">
        <f t="shared" si="1"/>
        <v>CLI000040</v>
      </c>
      <c r="B41" t="s">
        <v>128</v>
      </c>
      <c r="C41" t="s">
        <v>129</v>
      </c>
      <c r="D41" t="s">
        <v>130</v>
      </c>
    </row>
    <row r="42" spans="1:7" x14ac:dyDescent="0.25">
      <c r="A42" t="str">
        <f t="shared" si="1"/>
        <v>CLI000041</v>
      </c>
      <c r="B42" t="s">
        <v>131</v>
      </c>
    </row>
    <row r="43" spans="1:7" x14ac:dyDescent="0.25">
      <c r="A43" t="str">
        <f t="shared" si="1"/>
        <v>CLI000042</v>
      </c>
      <c r="B43" t="s">
        <v>132</v>
      </c>
    </row>
    <row r="44" spans="1:7" x14ac:dyDescent="0.25">
      <c r="A44" t="str">
        <f t="shared" si="1"/>
        <v>CLI000043</v>
      </c>
      <c r="B44" t="s">
        <v>133</v>
      </c>
    </row>
    <row r="45" spans="1:7" x14ac:dyDescent="0.25">
      <c r="A45" t="str">
        <f t="shared" si="1"/>
        <v>CLI000044</v>
      </c>
      <c r="B45" t="s">
        <v>134</v>
      </c>
    </row>
    <row r="46" spans="1:7" x14ac:dyDescent="0.25">
      <c r="A46" t="str">
        <f t="shared" si="1"/>
        <v>CLI000045</v>
      </c>
      <c r="B46" t="s">
        <v>135</v>
      </c>
      <c r="C46" t="s">
        <v>136</v>
      </c>
      <c r="D46" t="s">
        <v>78</v>
      </c>
    </row>
    <row r="47" spans="1:7" x14ac:dyDescent="0.25">
      <c r="A47" t="str">
        <f t="shared" si="1"/>
        <v>CLI000046</v>
      </c>
      <c r="B47" t="s">
        <v>137</v>
      </c>
    </row>
    <row r="48" spans="1:7" x14ac:dyDescent="0.25">
      <c r="A48" t="str">
        <f t="shared" si="1"/>
        <v>CLI000047</v>
      </c>
      <c r="B48" t="s">
        <v>138</v>
      </c>
    </row>
    <row r="49" spans="1:2" x14ac:dyDescent="0.25">
      <c r="A49" t="str">
        <f t="shared" si="1"/>
        <v>CLI000048</v>
      </c>
      <c r="B49" t="s">
        <v>139</v>
      </c>
    </row>
    <row r="50" spans="1:2" x14ac:dyDescent="0.25">
      <c r="A50" t="str">
        <f t="shared" si="1"/>
        <v>CLI000049</v>
      </c>
      <c r="B50" t="s">
        <v>140</v>
      </c>
    </row>
    <row r="51" spans="1:2" x14ac:dyDescent="0.25">
      <c r="A51" t="str">
        <f t="shared" si="1"/>
        <v/>
      </c>
    </row>
    <row r="52" spans="1:2" x14ac:dyDescent="0.25">
      <c r="A52" t="str">
        <f t="shared" si="1"/>
        <v/>
      </c>
    </row>
    <row r="53" spans="1:2" x14ac:dyDescent="0.25">
      <c r="A53" t="str">
        <f t="shared" si="1"/>
        <v/>
      </c>
    </row>
    <row r="54" spans="1:2" x14ac:dyDescent="0.25">
      <c r="A54" t="str">
        <f t="shared" si="1"/>
        <v/>
      </c>
    </row>
    <row r="55" spans="1:2" x14ac:dyDescent="0.25">
      <c r="A55" t="str">
        <f t="shared" si="1"/>
        <v/>
      </c>
    </row>
    <row r="56" spans="1:2" x14ac:dyDescent="0.25">
      <c r="A56" t="str">
        <f t="shared" si="1"/>
        <v/>
      </c>
    </row>
    <row r="57" spans="1:2" x14ac:dyDescent="0.25">
      <c r="A57" t="str">
        <f t="shared" si="1"/>
        <v/>
      </c>
    </row>
    <row r="58" spans="1:2" x14ac:dyDescent="0.25">
      <c r="A58" t="str">
        <f t="shared" si="1"/>
        <v/>
      </c>
    </row>
    <row r="59" spans="1:2" x14ac:dyDescent="0.25">
      <c r="A59" t="str">
        <f t="shared" si="1"/>
        <v/>
      </c>
    </row>
    <row r="60" spans="1:2" x14ac:dyDescent="0.25">
      <c r="A60" t="str">
        <f t="shared" si="1"/>
        <v/>
      </c>
    </row>
    <row r="61" spans="1:2" x14ac:dyDescent="0.25">
      <c r="A61" t="str">
        <f t="shared" si="1"/>
        <v/>
      </c>
    </row>
    <row r="62" spans="1:2" x14ac:dyDescent="0.25">
      <c r="A62" t="str">
        <f t="shared" si="1"/>
        <v/>
      </c>
    </row>
    <row r="63" spans="1:2" x14ac:dyDescent="0.25">
      <c r="A63" t="str">
        <f t="shared" si="1"/>
        <v/>
      </c>
    </row>
    <row r="64" spans="1:2" x14ac:dyDescent="0.25">
      <c r="A64" t="str">
        <f t="shared" si="1"/>
        <v/>
      </c>
    </row>
    <row r="65" spans="1:1" x14ac:dyDescent="0.25">
      <c r="A65" t="str">
        <f t="shared" si="1"/>
        <v/>
      </c>
    </row>
    <row r="66" spans="1:1" x14ac:dyDescent="0.25">
      <c r="A66" t="str">
        <f t="shared" ref="A66:A97" si="2">IF(B66="","","CLI"&amp;TEXT(ROW()-1,"000000"))</f>
        <v/>
      </c>
    </row>
    <row r="67" spans="1:1" x14ac:dyDescent="0.25">
      <c r="A67" t="str">
        <f t="shared" si="2"/>
        <v/>
      </c>
    </row>
    <row r="68" spans="1:1" x14ac:dyDescent="0.25">
      <c r="A68" t="str">
        <f t="shared" si="2"/>
        <v/>
      </c>
    </row>
    <row r="69" spans="1:1" x14ac:dyDescent="0.25">
      <c r="A69" t="str">
        <f t="shared" si="2"/>
        <v/>
      </c>
    </row>
    <row r="70" spans="1:1" x14ac:dyDescent="0.25">
      <c r="A70" t="str">
        <f t="shared" si="2"/>
        <v/>
      </c>
    </row>
    <row r="71" spans="1:1" x14ac:dyDescent="0.25">
      <c r="A71" t="str">
        <f t="shared" si="2"/>
        <v/>
      </c>
    </row>
    <row r="72" spans="1:1" x14ac:dyDescent="0.25">
      <c r="A72" t="str">
        <f t="shared" si="2"/>
        <v/>
      </c>
    </row>
    <row r="73" spans="1:1" x14ac:dyDescent="0.25">
      <c r="A73" t="str">
        <f t="shared" si="2"/>
        <v/>
      </c>
    </row>
    <row r="74" spans="1:1" x14ac:dyDescent="0.25">
      <c r="A74" t="str">
        <f t="shared" si="2"/>
        <v/>
      </c>
    </row>
    <row r="75" spans="1:1" x14ac:dyDescent="0.25">
      <c r="A75" t="str">
        <f t="shared" si="2"/>
        <v/>
      </c>
    </row>
    <row r="76" spans="1:1" x14ac:dyDescent="0.25">
      <c r="A76" t="str">
        <f t="shared" si="2"/>
        <v/>
      </c>
    </row>
    <row r="77" spans="1:1" x14ac:dyDescent="0.25">
      <c r="A77" t="str">
        <f t="shared" si="2"/>
        <v/>
      </c>
    </row>
    <row r="78" spans="1:1" x14ac:dyDescent="0.25">
      <c r="A78" t="str">
        <f t="shared" si="2"/>
        <v/>
      </c>
    </row>
    <row r="79" spans="1:1" x14ac:dyDescent="0.25">
      <c r="A79" t="str">
        <f t="shared" si="2"/>
        <v/>
      </c>
    </row>
    <row r="80" spans="1:1" x14ac:dyDescent="0.25">
      <c r="A80" t="str">
        <f t="shared" si="2"/>
        <v/>
      </c>
    </row>
    <row r="81" spans="1:1" x14ac:dyDescent="0.25">
      <c r="A81" t="str">
        <f t="shared" si="2"/>
        <v/>
      </c>
    </row>
    <row r="82" spans="1:1" x14ac:dyDescent="0.25">
      <c r="A82" t="str">
        <f t="shared" si="2"/>
        <v/>
      </c>
    </row>
    <row r="83" spans="1:1" x14ac:dyDescent="0.25">
      <c r="A83" t="str">
        <f t="shared" si="2"/>
        <v/>
      </c>
    </row>
    <row r="84" spans="1:1" x14ac:dyDescent="0.25">
      <c r="A84" t="str">
        <f t="shared" si="2"/>
        <v/>
      </c>
    </row>
    <row r="85" spans="1:1" x14ac:dyDescent="0.25">
      <c r="A85" t="str">
        <f t="shared" si="2"/>
        <v/>
      </c>
    </row>
    <row r="86" spans="1:1" x14ac:dyDescent="0.25">
      <c r="A86" t="str">
        <f t="shared" si="2"/>
        <v/>
      </c>
    </row>
    <row r="87" spans="1:1" x14ac:dyDescent="0.25">
      <c r="A87" t="str">
        <f t="shared" si="2"/>
        <v/>
      </c>
    </row>
    <row r="88" spans="1:1" x14ac:dyDescent="0.25">
      <c r="A88" t="str">
        <f t="shared" si="2"/>
        <v/>
      </c>
    </row>
    <row r="89" spans="1:1" x14ac:dyDescent="0.25">
      <c r="A89" t="str">
        <f t="shared" si="2"/>
        <v/>
      </c>
    </row>
    <row r="90" spans="1:1" x14ac:dyDescent="0.25">
      <c r="A90" t="str">
        <f t="shared" si="2"/>
        <v/>
      </c>
    </row>
    <row r="91" spans="1:1" x14ac:dyDescent="0.25">
      <c r="A91" t="str">
        <f t="shared" si="2"/>
        <v/>
      </c>
    </row>
    <row r="92" spans="1:1" x14ac:dyDescent="0.25">
      <c r="A92" t="str">
        <f t="shared" si="2"/>
        <v/>
      </c>
    </row>
    <row r="93" spans="1:1" x14ac:dyDescent="0.25">
      <c r="A93" t="str">
        <f t="shared" si="2"/>
        <v/>
      </c>
    </row>
    <row r="94" spans="1:1" x14ac:dyDescent="0.25">
      <c r="A94" t="str">
        <f t="shared" si="2"/>
        <v/>
      </c>
    </row>
    <row r="95" spans="1:1" x14ac:dyDescent="0.25">
      <c r="A95" t="str">
        <f t="shared" si="2"/>
        <v/>
      </c>
    </row>
    <row r="96" spans="1:1" x14ac:dyDescent="0.25">
      <c r="A96" t="str">
        <f t="shared" si="2"/>
        <v/>
      </c>
    </row>
    <row r="97" spans="1:1" x14ac:dyDescent="0.25">
      <c r="A97" t="str">
        <f t="shared" si="2"/>
        <v/>
      </c>
    </row>
    <row r="98" spans="1:1" x14ac:dyDescent="0.25">
      <c r="A98" t="str">
        <f t="shared" ref="A98:A129" si="3">IF(B98="","","CLI"&amp;TEXT(ROW()-1,"000000"))</f>
        <v/>
      </c>
    </row>
    <row r="99" spans="1:1" x14ac:dyDescent="0.25">
      <c r="A99" t="str">
        <f t="shared" si="3"/>
        <v/>
      </c>
    </row>
    <row r="100" spans="1:1" x14ac:dyDescent="0.25">
      <c r="A100" t="str">
        <f t="shared" si="3"/>
        <v/>
      </c>
    </row>
    <row r="101" spans="1:1" x14ac:dyDescent="0.25">
      <c r="A101" t="str">
        <f t="shared" si="3"/>
        <v/>
      </c>
    </row>
    <row r="102" spans="1:1" x14ac:dyDescent="0.25">
      <c r="A102" t="str">
        <f t="shared" si="3"/>
        <v/>
      </c>
    </row>
    <row r="103" spans="1:1" x14ac:dyDescent="0.25">
      <c r="A103" t="str">
        <f t="shared" si="3"/>
        <v/>
      </c>
    </row>
    <row r="104" spans="1:1" x14ac:dyDescent="0.25">
      <c r="A104" t="str">
        <f t="shared" si="3"/>
        <v/>
      </c>
    </row>
    <row r="105" spans="1:1" x14ac:dyDescent="0.25">
      <c r="A105" t="str">
        <f t="shared" si="3"/>
        <v/>
      </c>
    </row>
    <row r="106" spans="1:1" x14ac:dyDescent="0.25">
      <c r="A106" t="str">
        <f t="shared" si="3"/>
        <v/>
      </c>
    </row>
    <row r="107" spans="1:1" x14ac:dyDescent="0.25">
      <c r="A107" t="str">
        <f t="shared" si="3"/>
        <v/>
      </c>
    </row>
    <row r="108" spans="1:1" x14ac:dyDescent="0.25">
      <c r="A108" t="str">
        <f t="shared" si="3"/>
        <v/>
      </c>
    </row>
    <row r="109" spans="1:1" x14ac:dyDescent="0.25">
      <c r="A109" t="str">
        <f t="shared" si="3"/>
        <v/>
      </c>
    </row>
    <row r="110" spans="1:1" x14ac:dyDescent="0.25">
      <c r="A110" t="str">
        <f t="shared" si="3"/>
        <v/>
      </c>
    </row>
    <row r="111" spans="1:1" x14ac:dyDescent="0.25">
      <c r="A111" t="str">
        <f t="shared" si="3"/>
        <v/>
      </c>
    </row>
    <row r="112" spans="1:1" x14ac:dyDescent="0.25">
      <c r="A112" t="str">
        <f t="shared" si="3"/>
        <v/>
      </c>
    </row>
    <row r="113" spans="1:1" x14ac:dyDescent="0.25">
      <c r="A113" t="str">
        <f t="shared" si="3"/>
        <v/>
      </c>
    </row>
    <row r="114" spans="1:1" x14ac:dyDescent="0.25">
      <c r="A114" t="str">
        <f t="shared" si="3"/>
        <v/>
      </c>
    </row>
    <row r="115" spans="1:1" x14ac:dyDescent="0.25">
      <c r="A115" t="str">
        <f t="shared" si="3"/>
        <v/>
      </c>
    </row>
    <row r="116" spans="1:1" x14ac:dyDescent="0.25">
      <c r="A116" t="str">
        <f t="shared" si="3"/>
        <v/>
      </c>
    </row>
    <row r="117" spans="1:1" x14ac:dyDescent="0.25">
      <c r="A117" t="str">
        <f t="shared" si="3"/>
        <v/>
      </c>
    </row>
    <row r="118" spans="1:1" x14ac:dyDescent="0.25">
      <c r="A118" t="str">
        <f t="shared" si="3"/>
        <v/>
      </c>
    </row>
    <row r="119" spans="1:1" x14ac:dyDescent="0.25">
      <c r="A119" t="str">
        <f t="shared" si="3"/>
        <v/>
      </c>
    </row>
    <row r="120" spans="1:1" x14ac:dyDescent="0.25">
      <c r="A120" t="str">
        <f t="shared" si="3"/>
        <v/>
      </c>
    </row>
    <row r="121" spans="1:1" x14ac:dyDescent="0.25">
      <c r="A121" t="str">
        <f t="shared" si="3"/>
        <v/>
      </c>
    </row>
    <row r="122" spans="1:1" x14ac:dyDescent="0.25">
      <c r="A122" t="str">
        <f t="shared" si="3"/>
        <v/>
      </c>
    </row>
    <row r="123" spans="1:1" x14ac:dyDescent="0.25">
      <c r="A123" t="str">
        <f t="shared" si="3"/>
        <v/>
      </c>
    </row>
    <row r="124" spans="1:1" x14ac:dyDescent="0.25">
      <c r="A124" t="str">
        <f t="shared" si="3"/>
        <v/>
      </c>
    </row>
    <row r="125" spans="1:1" x14ac:dyDescent="0.25">
      <c r="A125" t="str">
        <f t="shared" si="3"/>
        <v/>
      </c>
    </row>
    <row r="126" spans="1:1" x14ac:dyDescent="0.25">
      <c r="A126" t="str">
        <f t="shared" si="3"/>
        <v/>
      </c>
    </row>
    <row r="127" spans="1:1" x14ac:dyDescent="0.25">
      <c r="A127" t="str">
        <f t="shared" si="3"/>
        <v/>
      </c>
    </row>
    <row r="128" spans="1:1" x14ac:dyDescent="0.25">
      <c r="A128" t="str">
        <f t="shared" si="3"/>
        <v/>
      </c>
    </row>
    <row r="129" spans="1:1" x14ac:dyDescent="0.25">
      <c r="A129" t="str">
        <f t="shared" si="3"/>
        <v/>
      </c>
    </row>
    <row r="130" spans="1:1" x14ac:dyDescent="0.25">
      <c r="A130" t="str">
        <f t="shared" ref="A130:A161" si="4">IF(B130="","","CLI"&amp;TEXT(ROW()-1,"000000"))</f>
        <v/>
      </c>
    </row>
    <row r="131" spans="1:1" x14ac:dyDescent="0.25">
      <c r="A131" t="str">
        <f t="shared" si="4"/>
        <v/>
      </c>
    </row>
    <row r="132" spans="1:1" x14ac:dyDescent="0.25">
      <c r="A132" t="str">
        <f t="shared" si="4"/>
        <v/>
      </c>
    </row>
    <row r="133" spans="1:1" x14ac:dyDescent="0.25">
      <c r="A133" t="str">
        <f t="shared" si="4"/>
        <v/>
      </c>
    </row>
    <row r="134" spans="1:1" x14ac:dyDescent="0.25">
      <c r="A134" t="str">
        <f t="shared" si="4"/>
        <v/>
      </c>
    </row>
    <row r="135" spans="1:1" x14ac:dyDescent="0.25">
      <c r="A135" t="str">
        <f t="shared" si="4"/>
        <v/>
      </c>
    </row>
    <row r="136" spans="1:1" x14ac:dyDescent="0.25">
      <c r="A136" t="str">
        <f t="shared" si="4"/>
        <v/>
      </c>
    </row>
    <row r="137" spans="1:1" x14ac:dyDescent="0.25">
      <c r="A137" t="str">
        <f t="shared" si="4"/>
        <v/>
      </c>
    </row>
    <row r="138" spans="1:1" x14ac:dyDescent="0.25">
      <c r="A138" t="str">
        <f t="shared" si="4"/>
        <v/>
      </c>
    </row>
    <row r="139" spans="1:1" x14ac:dyDescent="0.25">
      <c r="A139" t="str">
        <f t="shared" si="4"/>
        <v/>
      </c>
    </row>
    <row r="140" spans="1:1" x14ac:dyDescent="0.25">
      <c r="A140" t="str">
        <f t="shared" si="4"/>
        <v/>
      </c>
    </row>
    <row r="141" spans="1:1" x14ac:dyDescent="0.25">
      <c r="A141" t="str">
        <f t="shared" si="4"/>
        <v/>
      </c>
    </row>
    <row r="142" spans="1:1" x14ac:dyDescent="0.25">
      <c r="A142" t="str">
        <f t="shared" si="4"/>
        <v/>
      </c>
    </row>
    <row r="143" spans="1:1" x14ac:dyDescent="0.25">
      <c r="A143" t="str">
        <f t="shared" si="4"/>
        <v/>
      </c>
    </row>
    <row r="144" spans="1:1" x14ac:dyDescent="0.25">
      <c r="A144" t="str">
        <f t="shared" si="4"/>
        <v/>
      </c>
    </row>
    <row r="145" spans="1:1" x14ac:dyDescent="0.25">
      <c r="A145" t="str">
        <f t="shared" si="4"/>
        <v/>
      </c>
    </row>
    <row r="146" spans="1:1" x14ac:dyDescent="0.25">
      <c r="A146" t="str">
        <f t="shared" si="4"/>
        <v/>
      </c>
    </row>
    <row r="147" spans="1:1" x14ac:dyDescent="0.25">
      <c r="A147" t="str">
        <f t="shared" si="4"/>
        <v/>
      </c>
    </row>
    <row r="148" spans="1:1" x14ac:dyDescent="0.25">
      <c r="A148" t="str">
        <f t="shared" si="4"/>
        <v/>
      </c>
    </row>
    <row r="149" spans="1:1" x14ac:dyDescent="0.25">
      <c r="A149" t="str">
        <f t="shared" si="4"/>
        <v/>
      </c>
    </row>
    <row r="150" spans="1:1" x14ac:dyDescent="0.25">
      <c r="A150" t="str">
        <f t="shared" si="4"/>
        <v/>
      </c>
    </row>
    <row r="151" spans="1:1" x14ac:dyDescent="0.25">
      <c r="A151" t="str">
        <f t="shared" si="4"/>
        <v/>
      </c>
    </row>
    <row r="152" spans="1:1" x14ac:dyDescent="0.25">
      <c r="A152" t="str">
        <f t="shared" si="4"/>
        <v/>
      </c>
    </row>
    <row r="153" spans="1:1" x14ac:dyDescent="0.25">
      <c r="A153" t="str">
        <f t="shared" si="4"/>
        <v/>
      </c>
    </row>
    <row r="154" spans="1:1" x14ac:dyDescent="0.25">
      <c r="A154" t="str">
        <f t="shared" si="4"/>
        <v/>
      </c>
    </row>
    <row r="155" spans="1:1" x14ac:dyDescent="0.25">
      <c r="A155" t="str">
        <f t="shared" si="4"/>
        <v/>
      </c>
    </row>
    <row r="156" spans="1:1" x14ac:dyDescent="0.25">
      <c r="A156" t="str">
        <f t="shared" si="4"/>
        <v/>
      </c>
    </row>
    <row r="157" spans="1:1" x14ac:dyDescent="0.25">
      <c r="A157" t="str">
        <f t="shared" si="4"/>
        <v/>
      </c>
    </row>
    <row r="158" spans="1:1" x14ac:dyDescent="0.25">
      <c r="A158" t="str">
        <f t="shared" si="4"/>
        <v/>
      </c>
    </row>
    <row r="159" spans="1:1" x14ac:dyDescent="0.25">
      <c r="A159" t="str">
        <f t="shared" si="4"/>
        <v/>
      </c>
    </row>
    <row r="160" spans="1:1" x14ac:dyDescent="0.25">
      <c r="A160" t="str">
        <f t="shared" si="4"/>
        <v/>
      </c>
    </row>
    <row r="161" spans="1:1" x14ac:dyDescent="0.25">
      <c r="A161" t="str">
        <f t="shared" si="4"/>
        <v/>
      </c>
    </row>
    <row r="162" spans="1:1" x14ac:dyDescent="0.25">
      <c r="A162" t="str">
        <f t="shared" ref="A162:A193" si="5">IF(B162="","","CLI"&amp;TEXT(ROW()-1,"000000"))</f>
        <v/>
      </c>
    </row>
    <row r="163" spans="1:1" x14ac:dyDescent="0.25">
      <c r="A163" t="str">
        <f t="shared" si="5"/>
        <v/>
      </c>
    </row>
    <row r="164" spans="1:1" x14ac:dyDescent="0.25">
      <c r="A164" t="str">
        <f t="shared" si="5"/>
        <v/>
      </c>
    </row>
    <row r="165" spans="1:1" x14ac:dyDescent="0.25">
      <c r="A165" t="str">
        <f t="shared" si="5"/>
        <v/>
      </c>
    </row>
    <row r="166" spans="1:1" x14ac:dyDescent="0.25">
      <c r="A166" t="str">
        <f t="shared" si="5"/>
        <v/>
      </c>
    </row>
    <row r="167" spans="1:1" x14ac:dyDescent="0.25">
      <c r="A167" t="str">
        <f t="shared" si="5"/>
        <v/>
      </c>
    </row>
    <row r="168" spans="1:1" x14ac:dyDescent="0.25">
      <c r="A168" t="str">
        <f t="shared" si="5"/>
        <v/>
      </c>
    </row>
    <row r="169" spans="1:1" x14ac:dyDescent="0.25">
      <c r="A169" t="str">
        <f t="shared" si="5"/>
        <v/>
      </c>
    </row>
    <row r="170" spans="1:1" x14ac:dyDescent="0.25">
      <c r="A170" t="str">
        <f t="shared" si="5"/>
        <v/>
      </c>
    </row>
    <row r="171" spans="1:1" x14ac:dyDescent="0.25">
      <c r="A171" t="str">
        <f t="shared" si="5"/>
        <v/>
      </c>
    </row>
    <row r="172" spans="1:1" x14ac:dyDescent="0.25">
      <c r="A172" t="str">
        <f t="shared" si="5"/>
        <v/>
      </c>
    </row>
    <row r="173" spans="1:1" x14ac:dyDescent="0.25">
      <c r="A173" t="str">
        <f t="shared" si="5"/>
        <v/>
      </c>
    </row>
    <row r="174" spans="1:1" x14ac:dyDescent="0.25">
      <c r="A174" t="str">
        <f t="shared" si="5"/>
        <v/>
      </c>
    </row>
    <row r="175" spans="1:1" x14ac:dyDescent="0.25">
      <c r="A175" t="str">
        <f t="shared" si="5"/>
        <v/>
      </c>
    </row>
    <row r="176" spans="1:1" x14ac:dyDescent="0.25">
      <c r="A176" t="str">
        <f t="shared" si="5"/>
        <v/>
      </c>
    </row>
    <row r="177" spans="1:1" x14ac:dyDescent="0.25">
      <c r="A177" t="str">
        <f t="shared" si="5"/>
        <v/>
      </c>
    </row>
    <row r="178" spans="1:1" x14ac:dyDescent="0.25">
      <c r="A178" t="str">
        <f t="shared" si="5"/>
        <v/>
      </c>
    </row>
    <row r="179" spans="1:1" x14ac:dyDescent="0.25">
      <c r="A179" t="str">
        <f t="shared" si="5"/>
        <v/>
      </c>
    </row>
    <row r="180" spans="1:1" x14ac:dyDescent="0.25">
      <c r="A180" t="str">
        <f t="shared" si="5"/>
        <v/>
      </c>
    </row>
    <row r="181" spans="1:1" x14ac:dyDescent="0.25">
      <c r="A181" t="str">
        <f t="shared" si="5"/>
        <v/>
      </c>
    </row>
    <row r="182" spans="1:1" x14ac:dyDescent="0.25">
      <c r="A182" t="str">
        <f t="shared" si="5"/>
        <v/>
      </c>
    </row>
    <row r="183" spans="1:1" x14ac:dyDescent="0.25">
      <c r="A183" t="str">
        <f t="shared" si="5"/>
        <v/>
      </c>
    </row>
    <row r="184" spans="1:1" x14ac:dyDescent="0.25">
      <c r="A184" t="str">
        <f t="shared" si="5"/>
        <v/>
      </c>
    </row>
    <row r="185" spans="1:1" x14ac:dyDescent="0.25">
      <c r="A185" t="str">
        <f t="shared" si="5"/>
        <v/>
      </c>
    </row>
    <row r="186" spans="1:1" x14ac:dyDescent="0.25">
      <c r="A186" t="str">
        <f t="shared" si="5"/>
        <v/>
      </c>
    </row>
    <row r="187" spans="1:1" x14ac:dyDescent="0.25">
      <c r="A187" t="str">
        <f t="shared" si="5"/>
        <v/>
      </c>
    </row>
    <row r="188" spans="1:1" x14ac:dyDescent="0.25">
      <c r="A188" t="str">
        <f t="shared" si="5"/>
        <v/>
      </c>
    </row>
    <row r="189" spans="1:1" x14ac:dyDescent="0.25">
      <c r="A189" t="str">
        <f t="shared" si="5"/>
        <v/>
      </c>
    </row>
    <row r="190" spans="1:1" x14ac:dyDescent="0.25">
      <c r="A190" t="str">
        <f t="shared" si="5"/>
        <v/>
      </c>
    </row>
    <row r="191" spans="1:1" x14ac:dyDescent="0.25">
      <c r="A191" t="str">
        <f t="shared" si="5"/>
        <v/>
      </c>
    </row>
    <row r="192" spans="1:1" x14ac:dyDescent="0.25">
      <c r="A192" t="str">
        <f t="shared" si="5"/>
        <v/>
      </c>
    </row>
    <row r="193" spans="1:1" x14ac:dyDescent="0.25">
      <c r="A193" t="str">
        <f t="shared" si="5"/>
        <v/>
      </c>
    </row>
    <row r="194" spans="1:1" x14ac:dyDescent="0.25">
      <c r="A194" t="str">
        <f t="shared" ref="A194:A201" si="6">IF(B194="","","CLI"&amp;TEXT(ROW()-1,"000000"))</f>
        <v/>
      </c>
    </row>
    <row r="195" spans="1:1" x14ac:dyDescent="0.25">
      <c r="A195" t="str">
        <f t="shared" si="6"/>
        <v/>
      </c>
    </row>
    <row r="196" spans="1:1" x14ac:dyDescent="0.25">
      <c r="A196" t="str">
        <f t="shared" si="6"/>
        <v/>
      </c>
    </row>
    <row r="197" spans="1:1" x14ac:dyDescent="0.25">
      <c r="A197" t="str">
        <f t="shared" si="6"/>
        <v/>
      </c>
    </row>
    <row r="198" spans="1:1" x14ac:dyDescent="0.25">
      <c r="A198" t="str">
        <f t="shared" si="6"/>
        <v/>
      </c>
    </row>
    <row r="199" spans="1:1" x14ac:dyDescent="0.25">
      <c r="A199" t="str">
        <f t="shared" si="6"/>
        <v/>
      </c>
    </row>
    <row r="200" spans="1:1" x14ac:dyDescent="0.25">
      <c r="A200" t="str">
        <f t="shared" si="6"/>
        <v/>
      </c>
    </row>
    <row r="201" spans="1:1" x14ac:dyDescent="0.25">
      <c r="A201" t="str">
        <f t="shared" si="6"/>
        <v/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1"/>
  <sheetViews>
    <sheetView workbookViewId="0">
      <selection activeCell="G2" sqref="G2"/>
    </sheetView>
  </sheetViews>
  <sheetFormatPr baseColWidth="10" defaultColWidth="9.140625" defaultRowHeight="15" x14ac:dyDescent="0.25"/>
  <cols>
    <col min="1" max="1" width="13.140625" bestFit="1" customWidth="1"/>
    <col min="2" max="2" width="16.85546875" bestFit="1" customWidth="1"/>
    <col min="3" max="3" width="11.7109375" bestFit="1" customWidth="1"/>
    <col min="4" max="4" width="8.28515625" bestFit="1" customWidth="1"/>
    <col min="5" max="5" width="17.85546875" bestFit="1" customWidth="1"/>
    <col min="6" max="6" width="18.140625" bestFit="1" customWidth="1"/>
    <col min="7" max="7" width="16.42578125" bestFit="1" customWidth="1"/>
    <col min="8" max="8" width="6.7109375" bestFit="1" customWidth="1"/>
    <col min="9" max="9" width="10.140625" bestFit="1" customWidth="1"/>
    <col min="10" max="10" width="10.7109375" bestFit="1" customWidth="1"/>
    <col min="11" max="11" width="6.85546875" bestFit="1" customWidth="1"/>
  </cols>
  <sheetData>
    <row r="1" spans="1:11" x14ac:dyDescent="0.25">
      <c r="A1" s="7" t="s">
        <v>1</v>
      </c>
      <c r="B1" s="7" t="s">
        <v>141</v>
      </c>
      <c r="C1" s="7" t="s">
        <v>142</v>
      </c>
      <c r="D1" s="7" t="s">
        <v>143</v>
      </c>
      <c r="E1" s="7" t="s">
        <v>144</v>
      </c>
      <c r="F1" s="7" t="s">
        <v>145</v>
      </c>
      <c r="G1" s="7" t="s">
        <v>146</v>
      </c>
      <c r="H1" s="7" t="s">
        <v>147</v>
      </c>
      <c r="I1" s="7" t="s">
        <v>148</v>
      </c>
      <c r="J1" s="7" t="s">
        <v>149</v>
      </c>
      <c r="K1" s="7" t="s">
        <v>8</v>
      </c>
    </row>
    <row r="2" spans="1:11" x14ac:dyDescent="0.25">
      <c r="A2" t="str">
        <f t="shared" ref="A2:A33" si="0">IF(B2="","","PRO"&amp;TEXT(ROW()-1,"000000"))</f>
        <v>PRO000001</v>
      </c>
      <c r="B2" t="s">
        <v>150</v>
      </c>
      <c r="C2" t="s">
        <v>151</v>
      </c>
      <c r="D2">
        <v>20000</v>
      </c>
      <c r="E2">
        <v>22000</v>
      </c>
      <c r="I2">
        <f t="shared" ref="I2:I65" si="1">IF(AND(D2&lt;&gt;"",E2&lt;&gt;""),E2-D2,"")</f>
        <v>2000</v>
      </c>
      <c r="J2" s="3">
        <f t="shared" ref="J2:J65" si="2">IFERROR((E2-D2)/E2,"")</f>
        <v>9.0909090909090912E-2</v>
      </c>
      <c r="K2" t="s">
        <v>33</v>
      </c>
    </row>
    <row r="3" spans="1:11" x14ac:dyDescent="0.25">
      <c r="A3" t="str">
        <f t="shared" si="0"/>
        <v>PRO000002</v>
      </c>
      <c r="B3" t="s">
        <v>152</v>
      </c>
      <c r="C3" t="s">
        <v>151</v>
      </c>
      <c r="D3">
        <v>21000</v>
      </c>
      <c r="E3">
        <v>23000</v>
      </c>
      <c r="I3">
        <f t="shared" si="1"/>
        <v>2000</v>
      </c>
      <c r="J3" s="3">
        <f t="shared" si="2"/>
        <v>8.6956521739130432E-2</v>
      </c>
      <c r="K3" t="s">
        <v>33</v>
      </c>
    </row>
    <row r="4" spans="1:11" x14ac:dyDescent="0.25">
      <c r="A4" t="str">
        <f t="shared" si="0"/>
        <v>PRO000003</v>
      </c>
      <c r="B4" t="s">
        <v>153</v>
      </c>
      <c r="C4" t="s">
        <v>151</v>
      </c>
      <c r="D4">
        <v>27000</v>
      </c>
      <c r="E4">
        <v>29000</v>
      </c>
      <c r="I4">
        <f t="shared" si="1"/>
        <v>2000</v>
      </c>
      <c r="J4" s="3">
        <f t="shared" si="2"/>
        <v>6.8965517241379309E-2</v>
      </c>
      <c r="K4" t="s">
        <v>33</v>
      </c>
    </row>
    <row r="5" spans="1:11" x14ac:dyDescent="0.25">
      <c r="A5" t="str">
        <f t="shared" si="0"/>
        <v>PRO000004</v>
      </c>
      <c r="B5" t="s">
        <v>154</v>
      </c>
      <c r="C5" t="s">
        <v>151</v>
      </c>
      <c r="D5">
        <v>19000</v>
      </c>
      <c r="E5">
        <v>22000</v>
      </c>
      <c r="I5">
        <f t="shared" si="1"/>
        <v>3000</v>
      </c>
      <c r="J5" s="3">
        <f t="shared" si="2"/>
        <v>0.13636363636363635</v>
      </c>
      <c r="K5" t="s">
        <v>33</v>
      </c>
    </row>
    <row r="6" spans="1:11" x14ac:dyDescent="0.25">
      <c r="A6" t="str">
        <f t="shared" si="0"/>
        <v>PRO000005</v>
      </c>
      <c r="B6" t="s">
        <v>155</v>
      </c>
      <c r="C6" t="s">
        <v>151</v>
      </c>
      <c r="D6">
        <v>17500</v>
      </c>
      <c r="E6">
        <v>19500</v>
      </c>
      <c r="I6">
        <f t="shared" si="1"/>
        <v>2000</v>
      </c>
      <c r="J6" s="3">
        <f t="shared" si="2"/>
        <v>0.10256410256410256</v>
      </c>
      <c r="K6" t="s">
        <v>33</v>
      </c>
    </row>
    <row r="7" spans="1:11" x14ac:dyDescent="0.25">
      <c r="A7" t="str">
        <f t="shared" si="0"/>
        <v>PRO000006</v>
      </c>
      <c r="B7" t="s">
        <v>156</v>
      </c>
      <c r="C7" t="s">
        <v>151</v>
      </c>
      <c r="D7">
        <v>19000</v>
      </c>
      <c r="E7">
        <v>21000</v>
      </c>
      <c r="I7">
        <f t="shared" si="1"/>
        <v>2000</v>
      </c>
      <c r="J7" s="3">
        <f t="shared" si="2"/>
        <v>9.5238095238095233E-2</v>
      </c>
      <c r="K7" t="s">
        <v>33</v>
      </c>
    </row>
    <row r="8" spans="1:11" x14ac:dyDescent="0.25">
      <c r="A8" t="str">
        <f t="shared" si="0"/>
        <v>PRO000007</v>
      </c>
      <c r="B8" t="s">
        <v>157</v>
      </c>
      <c r="C8" t="s">
        <v>151</v>
      </c>
      <c r="D8">
        <v>19000</v>
      </c>
      <c r="E8">
        <v>22000</v>
      </c>
      <c r="I8">
        <f t="shared" si="1"/>
        <v>3000</v>
      </c>
      <c r="J8" s="3">
        <f t="shared" si="2"/>
        <v>0.13636363636363635</v>
      </c>
      <c r="K8" t="s">
        <v>33</v>
      </c>
    </row>
    <row r="9" spans="1:11" x14ac:dyDescent="0.25">
      <c r="A9" t="str">
        <f t="shared" si="0"/>
        <v>PRO000008</v>
      </c>
      <c r="B9" t="s">
        <v>158</v>
      </c>
      <c r="C9" t="s">
        <v>151</v>
      </c>
      <c r="D9">
        <v>14000</v>
      </c>
      <c r="E9">
        <v>16000</v>
      </c>
      <c r="I9">
        <f t="shared" si="1"/>
        <v>2000</v>
      </c>
      <c r="J9" s="3">
        <f t="shared" si="2"/>
        <v>0.125</v>
      </c>
      <c r="K9" t="s">
        <v>33</v>
      </c>
    </row>
    <row r="10" spans="1:11" x14ac:dyDescent="0.25">
      <c r="A10" t="str">
        <f t="shared" si="0"/>
        <v>PRO000009</v>
      </c>
      <c r="B10" t="s">
        <v>159</v>
      </c>
      <c r="C10" t="s">
        <v>151</v>
      </c>
      <c r="D10">
        <v>19000</v>
      </c>
      <c r="E10">
        <v>23000</v>
      </c>
      <c r="I10">
        <f t="shared" si="1"/>
        <v>4000</v>
      </c>
      <c r="J10" s="3">
        <f t="shared" si="2"/>
        <v>0.17391304347826086</v>
      </c>
      <c r="K10" t="s">
        <v>33</v>
      </c>
    </row>
    <row r="11" spans="1:11" x14ac:dyDescent="0.25">
      <c r="A11" t="str">
        <f t="shared" si="0"/>
        <v>PRO000010</v>
      </c>
      <c r="B11" t="s">
        <v>160</v>
      </c>
      <c r="C11" t="s">
        <v>151</v>
      </c>
      <c r="D11">
        <v>17000</v>
      </c>
      <c r="E11">
        <v>20000</v>
      </c>
      <c r="I11">
        <f t="shared" si="1"/>
        <v>3000</v>
      </c>
      <c r="J11" s="3">
        <f t="shared" si="2"/>
        <v>0.15</v>
      </c>
      <c r="K11" t="s">
        <v>33</v>
      </c>
    </row>
    <row r="12" spans="1:11" x14ac:dyDescent="0.25">
      <c r="A12" t="str">
        <f t="shared" si="0"/>
        <v>PRO000011</v>
      </c>
      <c r="B12" t="s">
        <v>161</v>
      </c>
      <c r="C12" t="s">
        <v>151</v>
      </c>
      <c r="D12">
        <v>17000</v>
      </c>
      <c r="E12">
        <v>22000</v>
      </c>
      <c r="I12">
        <f t="shared" si="1"/>
        <v>5000</v>
      </c>
      <c r="J12" s="3">
        <f t="shared" si="2"/>
        <v>0.22727272727272727</v>
      </c>
      <c r="K12" t="s">
        <v>33</v>
      </c>
    </row>
    <row r="13" spans="1:11" x14ac:dyDescent="0.25">
      <c r="A13" t="str">
        <f t="shared" si="0"/>
        <v>PRO000012</v>
      </c>
      <c r="B13" t="s">
        <v>162</v>
      </c>
      <c r="C13" t="s">
        <v>151</v>
      </c>
      <c r="E13">
        <v>29000</v>
      </c>
      <c r="I13" t="str">
        <f t="shared" si="1"/>
        <v/>
      </c>
      <c r="J13" s="3">
        <f t="shared" si="2"/>
        <v>1</v>
      </c>
      <c r="K13" t="s">
        <v>33</v>
      </c>
    </row>
    <row r="14" spans="1:11" x14ac:dyDescent="0.25">
      <c r="A14" t="str">
        <f t="shared" si="0"/>
        <v/>
      </c>
      <c r="I14" t="str">
        <f t="shared" si="1"/>
        <v/>
      </c>
      <c r="J14" t="str">
        <f t="shared" si="2"/>
        <v/>
      </c>
    </row>
    <row r="15" spans="1:11" x14ac:dyDescent="0.25">
      <c r="A15" t="str">
        <f t="shared" si="0"/>
        <v/>
      </c>
      <c r="I15" t="str">
        <f t="shared" si="1"/>
        <v/>
      </c>
      <c r="J15" t="str">
        <f t="shared" si="2"/>
        <v/>
      </c>
    </row>
    <row r="16" spans="1:11" x14ac:dyDescent="0.25">
      <c r="A16" t="str">
        <f t="shared" si="0"/>
        <v/>
      </c>
      <c r="I16" t="str">
        <f t="shared" si="1"/>
        <v/>
      </c>
      <c r="J16" t="str">
        <f t="shared" si="2"/>
        <v/>
      </c>
    </row>
    <row r="17" spans="1:10" x14ac:dyDescent="0.25">
      <c r="A17" t="str">
        <f t="shared" si="0"/>
        <v/>
      </c>
      <c r="I17" t="str">
        <f t="shared" si="1"/>
        <v/>
      </c>
      <c r="J17" t="str">
        <f t="shared" si="2"/>
        <v/>
      </c>
    </row>
    <row r="18" spans="1:10" x14ac:dyDescent="0.25">
      <c r="A18" t="str">
        <f t="shared" si="0"/>
        <v/>
      </c>
      <c r="I18" t="str">
        <f t="shared" si="1"/>
        <v/>
      </c>
      <c r="J18" t="str">
        <f t="shared" si="2"/>
        <v/>
      </c>
    </row>
    <row r="19" spans="1:10" x14ac:dyDescent="0.25">
      <c r="A19" t="str">
        <f t="shared" si="0"/>
        <v/>
      </c>
      <c r="I19" t="str">
        <f t="shared" si="1"/>
        <v/>
      </c>
      <c r="J19" t="str">
        <f t="shared" si="2"/>
        <v/>
      </c>
    </row>
    <row r="20" spans="1:10" x14ac:dyDescent="0.25">
      <c r="A20" t="str">
        <f t="shared" si="0"/>
        <v/>
      </c>
      <c r="I20" t="str">
        <f t="shared" si="1"/>
        <v/>
      </c>
      <c r="J20" t="str">
        <f t="shared" si="2"/>
        <v/>
      </c>
    </row>
    <row r="21" spans="1:10" x14ac:dyDescent="0.25">
      <c r="A21" t="str">
        <f t="shared" si="0"/>
        <v/>
      </c>
      <c r="I21" t="str">
        <f t="shared" si="1"/>
        <v/>
      </c>
      <c r="J21" t="str">
        <f t="shared" si="2"/>
        <v/>
      </c>
    </row>
    <row r="22" spans="1:10" x14ac:dyDescent="0.25">
      <c r="A22" t="str">
        <f t="shared" si="0"/>
        <v/>
      </c>
      <c r="I22" t="str">
        <f t="shared" si="1"/>
        <v/>
      </c>
      <c r="J22" t="str">
        <f t="shared" si="2"/>
        <v/>
      </c>
    </row>
    <row r="23" spans="1:10" x14ac:dyDescent="0.25">
      <c r="A23" t="str">
        <f t="shared" si="0"/>
        <v/>
      </c>
      <c r="I23" t="str">
        <f t="shared" si="1"/>
        <v/>
      </c>
      <c r="J23" t="str">
        <f t="shared" si="2"/>
        <v/>
      </c>
    </row>
    <row r="24" spans="1:10" x14ac:dyDescent="0.25">
      <c r="A24" t="str">
        <f t="shared" si="0"/>
        <v/>
      </c>
      <c r="I24" t="str">
        <f t="shared" si="1"/>
        <v/>
      </c>
      <c r="J24" t="str">
        <f t="shared" si="2"/>
        <v/>
      </c>
    </row>
    <row r="25" spans="1:10" x14ac:dyDescent="0.25">
      <c r="A25" t="str">
        <f t="shared" si="0"/>
        <v/>
      </c>
      <c r="I25" t="str">
        <f t="shared" si="1"/>
        <v/>
      </c>
      <c r="J25" t="str">
        <f t="shared" si="2"/>
        <v/>
      </c>
    </row>
    <row r="26" spans="1:10" x14ac:dyDescent="0.25">
      <c r="A26" t="str">
        <f t="shared" si="0"/>
        <v/>
      </c>
      <c r="I26" t="str">
        <f t="shared" si="1"/>
        <v/>
      </c>
      <c r="J26" t="str">
        <f t="shared" si="2"/>
        <v/>
      </c>
    </row>
    <row r="27" spans="1:10" x14ac:dyDescent="0.25">
      <c r="A27" t="str">
        <f t="shared" si="0"/>
        <v/>
      </c>
      <c r="I27" t="str">
        <f t="shared" si="1"/>
        <v/>
      </c>
      <c r="J27" t="str">
        <f t="shared" si="2"/>
        <v/>
      </c>
    </row>
    <row r="28" spans="1:10" x14ac:dyDescent="0.25">
      <c r="A28" t="str">
        <f t="shared" si="0"/>
        <v/>
      </c>
      <c r="I28" t="str">
        <f t="shared" si="1"/>
        <v/>
      </c>
      <c r="J28" t="str">
        <f t="shared" si="2"/>
        <v/>
      </c>
    </row>
    <row r="29" spans="1:10" x14ac:dyDescent="0.25">
      <c r="A29" t="str">
        <f t="shared" si="0"/>
        <v/>
      </c>
      <c r="I29" t="str">
        <f t="shared" si="1"/>
        <v/>
      </c>
      <c r="J29" t="str">
        <f t="shared" si="2"/>
        <v/>
      </c>
    </row>
    <row r="30" spans="1:10" x14ac:dyDescent="0.25">
      <c r="A30" t="str">
        <f t="shared" si="0"/>
        <v/>
      </c>
      <c r="I30" t="str">
        <f t="shared" si="1"/>
        <v/>
      </c>
      <c r="J30" t="str">
        <f t="shared" si="2"/>
        <v/>
      </c>
    </row>
    <row r="31" spans="1:10" x14ac:dyDescent="0.25">
      <c r="A31" t="str">
        <f t="shared" si="0"/>
        <v/>
      </c>
      <c r="I31" t="str">
        <f t="shared" si="1"/>
        <v/>
      </c>
      <c r="J31" t="str">
        <f t="shared" si="2"/>
        <v/>
      </c>
    </row>
    <row r="32" spans="1:10" x14ac:dyDescent="0.25">
      <c r="A32" t="str">
        <f t="shared" si="0"/>
        <v/>
      </c>
      <c r="I32" t="str">
        <f t="shared" si="1"/>
        <v/>
      </c>
      <c r="J32" t="str">
        <f t="shared" si="2"/>
        <v/>
      </c>
    </row>
    <row r="33" spans="1:10" x14ac:dyDescent="0.25">
      <c r="A33" t="str">
        <f t="shared" si="0"/>
        <v/>
      </c>
      <c r="I33" t="str">
        <f t="shared" si="1"/>
        <v/>
      </c>
      <c r="J33" t="str">
        <f t="shared" si="2"/>
        <v/>
      </c>
    </row>
    <row r="34" spans="1:10" x14ac:dyDescent="0.25">
      <c r="A34" t="str">
        <f t="shared" ref="A34:A65" si="3">IF(B34="","","PRO"&amp;TEXT(ROW()-1,"000000"))</f>
        <v/>
      </c>
      <c r="I34" t="str">
        <f t="shared" si="1"/>
        <v/>
      </c>
      <c r="J34" t="str">
        <f t="shared" si="2"/>
        <v/>
      </c>
    </row>
    <row r="35" spans="1:10" x14ac:dyDescent="0.25">
      <c r="A35" t="str">
        <f t="shared" si="3"/>
        <v/>
      </c>
      <c r="I35" t="str">
        <f t="shared" si="1"/>
        <v/>
      </c>
      <c r="J35" t="str">
        <f t="shared" si="2"/>
        <v/>
      </c>
    </row>
    <row r="36" spans="1:10" x14ac:dyDescent="0.25">
      <c r="A36" t="str">
        <f t="shared" si="3"/>
        <v/>
      </c>
      <c r="I36" t="str">
        <f t="shared" si="1"/>
        <v/>
      </c>
      <c r="J36" t="str">
        <f t="shared" si="2"/>
        <v/>
      </c>
    </row>
    <row r="37" spans="1:10" x14ac:dyDescent="0.25">
      <c r="A37" t="str">
        <f t="shared" si="3"/>
        <v/>
      </c>
      <c r="I37" t="str">
        <f t="shared" si="1"/>
        <v/>
      </c>
      <c r="J37" t="str">
        <f t="shared" si="2"/>
        <v/>
      </c>
    </row>
    <row r="38" spans="1:10" x14ac:dyDescent="0.25">
      <c r="A38" t="str">
        <f t="shared" si="3"/>
        <v/>
      </c>
      <c r="I38" t="str">
        <f t="shared" si="1"/>
        <v/>
      </c>
      <c r="J38" t="str">
        <f t="shared" si="2"/>
        <v/>
      </c>
    </row>
    <row r="39" spans="1:10" x14ac:dyDescent="0.25">
      <c r="A39" t="str">
        <f t="shared" si="3"/>
        <v/>
      </c>
      <c r="I39" t="str">
        <f t="shared" si="1"/>
        <v/>
      </c>
      <c r="J39" t="str">
        <f t="shared" si="2"/>
        <v/>
      </c>
    </row>
    <row r="40" spans="1:10" x14ac:dyDescent="0.25">
      <c r="A40" t="str">
        <f t="shared" si="3"/>
        <v/>
      </c>
      <c r="I40" t="str">
        <f t="shared" si="1"/>
        <v/>
      </c>
      <c r="J40" t="str">
        <f t="shared" si="2"/>
        <v/>
      </c>
    </row>
    <row r="41" spans="1:10" x14ac:dyDescent="0.25">
      <c r="A41" t="str">
        <f t="shared" si="3"/>
        <v/>
      </c>
      <c r="I41" t="str">
        <f t="shared" si="1"/>
        <v/>
      </c>
      <c r="J41" t="str">
        <f t="shared" si="2"/>
        <v/>
      </c>
    </row>
    <row r="42" spans="1:10" x14ac:dyDescent="0.25">
      <c r="A42" t="str">
        <f t="shared" si="3"/>
        <v/>
      </c>
      <c r="I42" t="str">
        <f t="shared" si="1"/>
        <v/>
      </c>
      <c r="J42" t="str">
        <f t="shared" si="2"/>
        <v/>
      </c>
    </row>
    <row r="43" spans="1:10" x14ac:dyDescent="0.25">
      <c r="A43" t="str">
        <f t="shared" si="3"/>
        <v/>
      </c>
      <c r="I43" t="str">
        <f t="shared" si="1"/>
        <v/>
      </c>
      <c r="J43" t="str">
        <f t="shared" si="2"/>
        <v/>
      </c>
    </row>
    <row r="44" spans="1:10" x14ac:dyDescent="0.25">
      <c r="A44" t="str">
        <f t="shared" si="3"/>
        <v/>
      </c>
      <c r="I44" t="str">
        <f t="shared" si="1"/>
        <v/>
      </c>
      <c r="J44" t="str">
        <f t="shared" si="2"/>
        <v/>
      </c>
    </row>
    <row r="45" spans="1:10" x14ac:dyDescent="0.25">
      <c r="A45" t="str">
        <f t="shared" si="3"/>
        <v/>
      </c>
      <c r="I45" t="str">
        <f t="shared" si="1"/>
        <v/>
      </c>
      <c r="J45" t="str">
        <f t="shared" si="2"/>
        <v/>
      </c>
    </row>
    <row r="46" spans="1:10" x14ac:dyDescent="0.25">
      <c r="A46" t="str">
        <f t="shared" si="3"/>
        <v/>
      </c>
      <c r="I46" t="str">
        <f t="shared" si="1"/>
        <v/>
      </c>
      <c r="J46" t="str">
        <f t="shared" si="2"/>
        <v/>
      </c>
    </row>
    <row r="47" spans="1:10" x14ac:dyDescent="0.25">
      <c r="A47" t="str">
        <f t="shared" si="3"/>
        <v/>
      </c>
      <c r="I47" t="str">
        <f t="shared" si="1"/>
        <v/>
      </c>
      <c r="J47" t="str">
        <f t="shared" si="2"/>
        <v/>
      </c>
    </row>
    <row r="48" spans="1:10" x14ac:dyDescent="0.25">
      <c r="A48" t="str">
        <f t="shared" si="3"/>
        <v/>
      </c>
      <c r="I48" t="str">
        <f t="shared" si="1"/>
        <v/>
      </c>
      <c r="J48" t="str">
        <f t="shared" si="2"/>
        <v/>
      </c>
    </row>
    <row r="49" spans="1:10" x14ac:dyDescent="0.25">
      <c r="A49" t="str">
        <f t="shared" si="3"/>
        <v/>
      </c>
      <c r="I49" t="str">
        <f t="shared" si="1"/>
        <v/>
      </c>
      <c r="J49" t="str">
        <f t="shared" si="2"/>
        <v/>
      </c>
    </row>
    <row r="50" spans="1:10" x14ac:dyDescent="0.25">
      <c r="A50" t="str">
        <f t="shared" si="3"/>
        <v/>
      </c>
      <c r="I50" t="str">
        <f t="shared" si="1"/>
        <v/>
      </c>
      <c r="J50" t="str">
        <f t="shared" si="2"/>
        <v/>
      </c>
    </row>
    <row r="51" spans="1:10" x14ac:dyDescent="0.25">
      <c r="A51" t="str">
        <f t="shared" si="3"/>
        <v/>
      </c>
      <c r="I51" t="str">
        <f t="shared" si="1"/>
        <v/>
      </c>
      <c r="J51" t="str">
        <f t="shared" si="2"/>
        <v/>
      </c>
    </row>
    <row r="52" spans="1:10" x14ac:dyDescent="0.25">
      <c r="A52" t="str">
        <f t="shared" si="3"/>
        <v/>
      </c>
      <c r="I52" t="str">
        <f t="shared" si="1"/>
        <v/>
      </c>
      <c r="J52" t="str">
        <f t="shared" si="2"/>
        <v/>
      </c>
    </row>
    <row r="53" spans="1:10" x14ac:dyDescent="0.25">
      <c r="A53" t="str">
        <f t="shared" si="3"/>
        <v/>
      </c>
      <c r="I53" t="str">
        <f t="shared" si="1"/>
        <v/>
      </c>
      <c r="J53" t="str">
        <f t="shared" si="2"/>
        <v/>
      </c>
    </row>
    <row r="54" spans="1:10" x14ac:dyDescent="0.25">
      <c r="A54" t="str">
        <f t="shared" si="3"/>
        <v/>
      </c>
      <c r="I54" t="str">
        <f t="shared" si="1"/>
        <v/>
      </c>
      <c r="J54" t="str">
        <f t="shared" si="2"/>
        <v/>
      </c>
    </row>
    <row r="55" spans="1:10" x14ac:dyDescent="0.25">
      <c r="A55" t="str">
        <f t="shared" si="3"/>
        <v/>
      </c>
      <c r="I55" t="str">
        <f t="shared" si="1"/>
        <v/>
      </c>
      <c r="J55" t="str">
        <f t="shared" si="2"/>
        <v/>
      </c>
    </row>
    <row r="56" spans="1:10" x14ac:dyDescent="0.25">
      <c r="A56" t="str">
        <f t="shared" si="3"/>
        <v/>
      </c>
      <c r="I56" t="str">
        <f t="shared" si="1"/>
        <v/>
      </c>
      <c r="J56" t="str">
        <f t="shared" si="2"/>
        <v/>
      </c>
    </row>
    <row r="57" spans="1:10" x14ac:dyDescent="0.25">
      <c r="A57" t="str">
        <f t="shared" si="3"/>
        <v/>
      </c>
      <c r="I57" t="str">
        <f t="shared" si="1"/>
        <v/>
      </c>
      <c r="J57" t="str">
        <f t="shared" si="2"/>
        <v/>
      </c>
    </row>
    <row r="58" spans="1:10" x14ac:dyDescent="0.25">
      <c r="A58" t="str">
        <f t="shared" si="3"/>
        <v/>
      </c>
      <c r="I58" t="str">
        <f t="shared" si="1"/>
        <v/>
      </c>
      <c r="J58" t="str">
        <f t="shared" si="2"/>
        <v/>
      </c>
    </row>
    <row r="59" spans="1:10" x14ac:dyDescent="0.25">
      <c r="A59" t="str">
        <f t="shared" si="3"/>
        <v/>
      </c>
      <c r="I59" t="str">
        <f t="shared" si="1"/>
        <v/>
      </c>
      <c r="J59" t="str">
        <f t="shared" si="2"/>
        <v/>
      </c>
    </row>
    <row r="60" spans="1:10" x14ac:dyDescent="0.25">
      <c r="A60" t="str">
        <f t="shared" si="3"/>
        <v/>
      </c>
      <c r="I60" t="str">
        <f t="shared" si="1"/>
        <v/>
      </c>
      <c r="J60" t="str">
        <f t="shared" si="2"/>
        <v/>
      </c>
    </row>
    <row r="61" spans="1:10" x14ac:dyDescent="0.25">
      <c r="A61" t="str">
        <f t="shared" si="3"/>
        <v/>
      </c>
      <c r="I61" t="str">
        <f t="shared" si="1"/>
        <v/>
      </c>
      <c r="J61" t="str">
        <f t="shared" si="2"/>
        <v/>
      </c>
    </row>
    <row r="62" spans="1:10" x14ac:dyDescent="0.25">
      <c r="A62" t="str">
        <f t="shared" si="3"/>
        <v/>
      </c>
      <c r="I62" t="str">
        <f t="shared" si="1"/>
        <v/>
      </c>
      <c r="J62" t="str">
        <f t="shared" si="2"/>
        <v/>
      </c>
    </row>
    <row r="63" spans="1:10" x14ac:dyDescent="0.25">
      <c r="A63" t="str">
        <f t="shared" si="3"/>
        <v/>
      </c>
      <c r="I63" t="str">
        <f t="shared" si="1"/>
        <v/>
      </c>
      <c r="J63" t="str">
        <f t="shared" si="2"/>
        <v/>
      </c>
    </row>
    <row r="64" spans="1:10" x14ac:dyDescent="0.25">
      <c r="A64" t="str">
        <f t="shared" si="3"/>
        <v/>
      </c>
      <c r="I64" t="str">
        <f t="shared" si="1"/>
        <v/>
      </c>
      <c r="J64" t="str">
        <f t="shared" si="2"/>
        <v/>
      </c>
    </row>
    <row r="65" spans="1:10" x14ac:dyDescent="0.25">
      <c r="A65" t="str">
        <f t="shared" si="3"/>
        <v/>
      </c>
      <c r="I65" t="str">
        <f t="shared" si="1"/>
        <v/>
      </c>
      <c r="J65" t="str">
        <f t="shared" si="2"/>
        <v/>
      </c>
    </row>
    <row r="66" spans="1:10" x14ac:dyDescent="0.25">
      <c r="A66" t="str">
        <f t="shared" ref="A66:A97" si="4">IF(B66="","","PRO"&amp;TEXT(ROW()-1,"000000"))</f>
        <v/>
      </c>
      <c r="I66" t="str">
        <f t="shared" ref="I66:I129" si="5">IF(AND(D66&lt;&gt;"",E66&lt;&gt;""),E66-D66,"")</f>
        <v/>
      </c>
      <c r="J66" t="str">
        <f t="shared" ref="J66:J129" si="6">IFERROR((E66-D66)/E66,"")</f>
        <v/>
      </c>
    </row>
    <row r="67" spans="1:10" x14ac:dyDescent="0.25">
      <c r="A67" t="str">
        <f t="shared" si="4"/>
        <v/>
      </c>
      <c r="I67" t="str">
        <f t="shared" si="5"/>
        <v/>
      </c>
      <c r="J67" t="str">
        <f t="shared" si="6"/>
        <v/>
      </c>
    </row>
    <row r="68" spans="1:10" x14ac:dyDescent="0.25">
      <c r="A68" t="str">
        <f t="shared" si="4"/>
        <v/>
      </c>
      <c r="I68" t="str">
        <f t="shared" si="5"/>
        <v/>
      </c>
      <c r="J68" t="str">
        <f t="shared" si="6"/>
        <v/>
      </c>
    </row>
    <row r="69" spans="1:10" x14ac:dyDescent="0.25">
      <c r="A69" t="str">
        <f t="shared" si="4"/>
        <v/>
      </c>
      <c r="I69" t="str">
        <f t="shared" si="5"/>
        <v/>
      </c>
      <c r="J69" t="str">
        <f t="shared" si="6"/>
        <v/>
      </c>
    </row>
    <row r="70" spans="1:10" x14ac:dyDescent="0.25">
      <c r="A70" t="str">
        <f t="shared" si="4"/>
        <v/>
      </c>
      <c r="I70" t="str">
        <f t="shared" si="5"/>
        <v/>
      </c>
      <c r="J70" t="str">
        <f t="shared" si="6"/>
        <v/>
      </c>
    </row>
    <row r="71" spans="1:10" x14ac:dyDescent="0.25">
      <c r="A71" t="str">
        <f t="shared" si="4"/>
        <v/>
      </c>
      <c r="I71" t="str">
        <f t="shared" si="5"/>
        <v/>
      </c>
      <c r="J71" t="str">
        <f t="shared" si="6"/>
        <v/>
      </c>
    </row>
    <row r="72" spans="1:10" x14ac:dyDescent="0.25">
      <c r="A72" t="str">
        <f t="shared" si="4"/>
        <v/>
      </c>
      <c r="I72" t="str">
        <f t="shared" si="5"/>
        <v/>
      </c>
      <c r="J72" t="str">
        <f t="shared" si="6"/>
        <v/>
      </c>
    </row>
    <row r="73" spans="1:10" x14ac:dyDescent="0.25">
      <c r="A73" t="str">
        <f t="shared" si="4"/>
        <v/>
      </c>
      <c r="I73" t="str">
        <f t="shared" si="5"/>
        <v/>
      </c>
      <c r="J73" t="str">
        <f t="shared" si="6"/>
        <v/>
      </c>
    </row>
    <row r="74" spans="1:10" x14ac:dyDescent="0.25">
      <c r="A74" t="str">
        <f t="shared" si="4"/>
        <v/>
      </c>
      <c r="I74" t="str">
        <f t="shared" si="5"/>
        <v/>
      </c>
      <c r="J74" t="str">
        <f t="shared" si="6"/>
        <v/>
      </c>
    </row>
    <row r="75" spans="1:10" x14ac:dyDescent="0.25">
      <c r="A75" t="str">
        <f t="shared" si="4"/>
        <v/>
      </c>
      <c r="I75" t="str">
        <f t="shared" si="5"/>
        <v/>
      </c>
      <c r="J75" t="str">
        <f t="shared" si="6"/>
        <v/>
      </c>
    </row>
    <row r="76" spans="1:10" x14ac:dyDescent="0.25">
      <c r="A76" t="str">
        <f t="shared" si="4"/>
        <v/>
      </c>
      <c r="I76" t="str">
        <f t="shared" si="5"/>
        <v/>
      </c>
      <c r="J76" t="str">
        <f t="shared" si="6"/>
        <v/>
      </c>
    </row>
    <row r="77" spans="1:10" x14ac:dyDescent="0.25">
      <c r="A77" t="str">
        <f t="shared" si="4"/>
        <v/>
      </c>
      <c r="I77" t="str">
        <f t="shared" si="5"/>
        <v/>
      </c>
      <c r="J77" t="str">
        <f t="shared" si="6"/>
        <v/>
      </c>
    </row>
    <row r="78" spans="1:10" x14ac:dyDescent="0.25">
      <c r="A78" t="str">
        <f t="shared" si="4"/>
        <v/>
      </c>
      <c r="I78" t="str">
        <f t="shared" si="5"/>
        <v/>
      </c>
      <c r="J78" t="str">
        <f t="shared" si="6"/>
        <v/>
      </c>
    </row>
    <row r="79" spans="1:10" x14ac:dyDescent="0.25">
      <c r="A79" t="str">
        <f t="shared" si="4"/>
        <v/>
      </c>
      <c r="I79" t="str">
        <f t="shared" si="5"/>
        <v/>
      </c>
      <c r="J79" t="str">
        <f t="shared" si="6"/>
        <v/>
      </c>
    </row>
    <row r="80" spans="1:10" x14ac:dyDescent="0.25">
      <c r="A80" t="str">
        <f t="shared" si="4"/>
        <v/>
      </c>
      <c r="I80" t="str">
        <f t="shared" si="5"/>
        <v/>
      </c>
      <c r="J80" t="str">
        <f t="shared" si="6"/>
        <v/>
      </c>
    </row>
    <row r="81" spans="1:10" x14ac:dyDescent="0.25">
      <c r="A81" t="str">
        <f t="shared" si="4"/>
        <v/>
      </c>
      <c r="I81" t="str">
        <f t="shared" si="5"/>
        <v/>
      </c>
      <c r="J81" t="str">
        <f t="shared" si="6"/>
        <v/>
      </c>
    </row>
    <row r="82" spans="1:10" x14ac:dyDescent="0.25">
      <c r="A82" t="str">
        <f t="shared" si="4"/>
        <v/>
      </c>
      <c r="I82" t="str">
        <f t="shared" si="5"/>
        <v/>
      </c>
      <c r="J82" t="str">
        <f t="shared" si="6"/>
        <v/>
      </c>
    </row>
    <row r="83" spans="1:10" x14ac:dyDescent="0.25">
      <c r="A83" t="str">
        <f t="shared" si="4"/>
        <v/>
      </c>
      <c r="I83" t="str">
        <f t="shared" si="5"/>
        <v/>
      </c>
      <c r="J83" t="str">
        <f t="shared" si="6"/>
        <v/>
      </c>
    </row>
    <row r="84" spans="1:10" x14ac:dyDescent="0.25">
      <c r="A84" t="str">
        <f t="shared" si="4"/>
        <v/>
      </c>
      <c r="I84" t="str">
        <f t="shared" si="5"/>
        <v/>
      </c>
      <c r="J84" t="str">
        <f t="shared" si="6"/>
        <v/>
      </c>
    </row>
    <row r="85" spans="1:10" x14ac:dyDescent="0.25">
      <c r="A85" t="str">
        <f t="shared" si="4"/>
        <v/>
      </c>
      <c r="I85" t="str">
        <f t="shared" si="5"/>
        <v/>
      </c>
      <c r="J85" t="str">
        <f t="shared" si="6"/>
        <v/>
      </c>
    </row>
    <row r="86" spans="1:10" x14ac:dyDescent="0.25">
      <c r="A86" t="str">
        <f t="shared" si="4"/>
        <v/>
      </c>
      <c r="I86" t="str">
        <f t="shared" si="5"/>
        <v/>
      </c>
      <c r="J86" t="str">
        <f t="shared" si="6"/>
        <v/>
      </c>
    </row>
    <row r="87" spans="1:10" x14ac:dyDescent="0.25">
      <c r="A87" t="str">
        <f t="shared" si="4"/>
        <v/>
      </c>
      <c r="I87" t="str">
        <f t="shared" si="5"/>
        <v/>
      </c>
      <c r="J87" t="str">
        <f t="shared" si="6"/>
        <v/>
      </c>
    </row>
    <row r="88" spans="1:10" x14ac:dyDescent="0.25">
      <c r="A88" t="str">
        <f t="shared" si="4"/>
        <v/>
      </c>
      <c r="I88" t="str">
        <f t="shared" si="5"/>
        <v/>
      </c>
      <c r="J88" t="str">
        <f t="shared" si="6"/>
        <v/>
      </c>
    </row>
    <row r="89" spans="1:10" x14ac:dyDescent="0.25">
      <c r="A89" t="str">
        <f t="shared" si="4"/>
        <v/>
      </c>
      <c r="I89" t="str">
        <f t="shared" si="5"/>
        <v/>
      </c>
      <c r="J89" t="str">
        <f t="shared" si="6"/>
        <v/>
      </c>
    </row>
    <row r="90" spans="1:10" x14ac:dyDescent="0.25">
      <c r="A90" t="str">
        <f t="shared" si="4"/>
        <v/>
      </c>
      <c r="I90" t="str">
        <f t="shared" si="5"/>
        <v/>
      </c>
      <c r="J90" t="str">
        <f t="shared" si="6"/>
        <v/>
      </c>
    </row>
    <row r="91" spans="1:10" x14ac:dyDescent="0.25">
      <c r="A91" t="str">
        <f t="shared" si="4"/>
        <v/>
      </c>
      <c r="I91" t="str">
        <f t="shared" si="5"/>
        <v/>
      </c>
      <c r="J91" t="str">
        <f t="shared" si="6"/>
        <v/>
      </c>
    </row>
    <row r="92" spans="1:10" x14ac:dyDescent="0.25">
      <c r="A92" t="str">
        <f t="shared" si="4"/>
        <v/>
      </c>
      <c r="I92" t="str">
        <f t="shared" si="5"/>
        <v/>
      </c>
      <c r="J92" t="str">
        <f t="shared" si="6"/>
        <v/>
      </c>
    </row>
    <row r="93" spans="1:10" x14ac:dyDescent="0.25">
      <c r="A93" t="str">
        <f t="shared" si="4"/>
        <v/>
      </c>
      <c r="I93" t="str">
        <f t="shared" si="5"/>
        <v/>
      </c>
      <c r="J93" t="str">
        <f t="shared" si="6"/>
        <v/>
      </c>
    </row>
    <row r="94" spans="1:10" x14ac:dyDescent="0.25">
      <c r="A94" t="str">
        <f t="shared" si="4"/>
        <v/>
      </c>
      <c r="I94" t="str">
        <f t="shared" si="5"/>
        <v/>
      </c>
      <c r="J94" t="str">
        <f t="shared" si="6"/>
        <v/>
      </c>
    </row>
    <row r="95" spans="1:10" x14ac:dyDescent="0.25">
      <c r="A95" t="str">
        <f t="shared" si="4"/>
        <v/>
      </c>
      <c r="I95" t="str">
        <f t="shared" si="5"/>
        <v/>
      </c>
      <c r="J95" t="str">
        <f t="shared" si="6"/>
        <v/>
      </c>
    </row>
    <row r="96" spans="1:10" x14ac:dyDescent="0.25">
      <c r="A96" t="str">
        <f t="shared" si="4"/>
        <v/>
      </c>
      <c r="I96" t="str">
        <f t="shared" si="5"/>
        <v/>
      </c>
      <c r="J96" t="str">
        <f t="shared" si="6"/>
        <v/>
      </c>
    </row>
    <row r="97" spans="1:10" x14ac:dyDescent="0.25">
      <c r="A97" t="str">
        <f t="shared" si="4"/>
        <v/>
      </c>
      <c r="I97" t="str">
        <f t="shared" si="5"/>
        <v/>
      </c>
      <c r="J97" t="str">
        <f t="shared" si="6"/>
        <v/>
      </c>
    </row>
    <row r="98" spans="1:10" x14ac:dyDescent="0.25">
      <c r="A98" t="str">
        <f t="shared" ref="A98:A129" si="7">IF(B98="","","PRO"&amp;TEXT(ROW()-1,"000000"))</f>
        <v/>
      </c>
      <c r="I98" t="str">
        <f t="shared" si="5"/>
        <v/>
      </c>
      <c r="J98" t="str">
        <f t="shared" si="6"/>
        <v/>
      </c>
    </row>
    <row r="99" spans="1:10" x14ac:dyDescent="0.25">
      <c r="A99" t="str">
        <f t="shared" si="7"/>
        <v/>
      </c>
      <c r="I99" t="str">
        <f t="shared" si="5"/>
        <v/>
      </c>
      <c r="J99" t="str">
        <f t="shared" si="6"/>
        <v/>
      </c>
    </row>
    <row r="100" spans="1:10" x14ac:dyDescent="0.25">
      <c r="A100" t="str">
        <f t="shared" si="7"/>
        <v/>
      </c>
      <c r="I100" t="str">
        <f t="shared" si="5"/>
        <v/>
      </c>
      <c r="J100" t="str">
        <f t="shared" si="6"/>
        <v/>
      </c>
    </row>
    <row r="101" spans="1:10" x14ac:dyDescent="0.25">
      <c r="A101" t="str">
        <f t="shared" si="7"/>
        <v/>
      </c>
      <c r="I101" t="str">
        <f t="shared" si="5"/>
        <v/>
      </c>
      <c r="J101" t="str">
        <f t="shared" si="6"/>
        <v/>
      </c>
    </row>
    <row r="102" spans="1:10" x14ac:dyDescent="0.25">
      <c r="A102" t="str">
        <f t="shared" si="7"/>
        <v/>
      </c>
      <c r="I102" t="str">
        <f t="shared" si="5"/>
        <v/>
      </c>
      <c r="J102" t="str">
        <f t="shared" si="6"/>
        <v/>
      </c>
    </row>
    <row r="103" spans="1:10" x14ac:dyDescent="0.25">
      <c r="A103" t="str">
        <f t="shared" si="7"/>
        <v/>
      </c>
      <c r="I103" t="str">
        <f t="shared" si="5"/>
        <v/>
      </c>
      <c r="J103" t="str">
        <f t="shared" si="6"/>
        <v/>
      </c>
    </row>
    <row r="104" spans="1:10" x14ac:dyDescent="0.25">
      <c r="A104" t="str">
        <f t="shared" si="7"/>
        <v/>
      </c>
      <c r="I104" t="str">
        <f t="shared" si="5"/>
        <v/>
      </c>
      <c r="J104" t="str">
        <f t="shared" si="6"/>
        <v/>
      </c>
    </row>
    <row r="105" spans="1:10" x14ac:dyDescent="0.25">
      <c r="A105" t="str">
        <f t="shared" si="7"/>
        <v/>
      </c>
      <c r="I105" t="str">
        <f t="shared" si="5"/>
        <v/>
      </c>
      <c r="J105" t="str">
        <f t="shared" si="6"/>
        <v/>
      </c>
    </row>
    <row r="106" spans="1:10" x14ac:dyDescent="0.25">
      <c r="A106" t="str">
        <f t="shared" si="7"/>
        <v/>
      </c>
      <c r="I106" t="str">
        <f t="shared" si="5"/>
        <v/>
      </c>
      <c r="J106" t="str">
        <f t="shared" si="6"/>
        <v/>
      </c>
    </row>
    <row r="107" spans="1:10" x14ac:dyDescent="0.25">
      <c r="A107" t="str">
        <f t="shared" si="7"/>
        <v/>
      </c>
      <c r="I107" t="str">
        <f t="shared" si="5"/>
        <v/>
      </c>
      <c r="J107" t="str">
        <f t="shared" si="6"/>
        <v/>
      </c>
    </row>
    <row r="108" spans="1:10" x14ac:dyDescent="0.25">
      <c r="A108" t="str">
        <f t="shared" si="7"/>
        <v/>
      </c>
      <c r="I108" t="str">
        <f t="shared" si="5"/>
        <v/>
      </c>
      <c r="J108" t="str">
        <f t="shared" si="6"/>
        <v/>
      </c>
    </row>
    <row r="109" spans="1:10" x14ac:dyDescent="0.25">
      <c r="A109" t="str">
        <f t="shared" si="7"/>
        <v/>
      </c>
      <c r="I109" t="str">
        <f t="shared" si="5"/>
        <v/>
      </c>
      <c r="J109" t="str">
        <f t="shared" si="6"/>
        <v/>
      </c>
    </row>
    <row r="110" spans="1:10" x14ac:dyDescent="0.25">
      <c r="A110" t="str">
        <f t="shared" si="7"/>
        <v/>
      </c>
      <c r="I110" t="str">
        <f t="shared" si="5"/>
        <v/>
      </c>
      <c r="J110" t="str">
        <f t="shared" si="6"/>
        <v/>
      </c>
    </row>
    <row r="111" spans="1:10" x14ac:dyDescent="0.25">
      <c r="A111" t="str">
        <f t="shared" si="7"/>
        <v/>
      </c>
      <c r="I111" t="str">
        <f t="shared" si="5"/>
        <v/>
      </c>
      <c r="J111" t="str">
        <f t="shared" si="6"/>
        <v/>
      </c>
    </row>
    <row r="112" spans="1:10" x14ac:dyDescent="0.25">
      <c r="A112" t="str">
        <f t="shared" si="7"/>
        <v/>
      </c>
      <c r="I112" t="str">
        <f t="shared" si="5"/>
        <v/>
      </c>
      <c r="J112" t="str">
        <f t="shared" si="6"/>
        <v/>
      </c>
    </row>
    <row r="113" spans="1:10" x14ac:dyDescent="0.25">
      <c r="A113" t="str">
        <f t="shared" si="7"/>
        <v/>
      </c>
      <c r="I113" t="str">
        <f t="shared" si="5"/>
        <v/>
      </c>
      <c r="J113" t="str">
        <f t="shared" si="6"/>
        <v/>
      </c>
    </row>
    <row r="114" spans="1:10" x14ac:dyDescent="0.25">
      <c r="A114" t="str">
        <f t="shared" si="7"/>
        <v/>
      </c>
      <c r="I114" t="str">
        <f t="shared" si="5"/>
        <v/>
      </c>
      <c r="J114" t="str">
        <f t="shared" si="6"/>
        <v/>
      </c>
    </row>
    <row r="115" spans="1:10" x14ac:dyDescent="0.25">
      <c r="A115" t="str">
        <f t="shared" si="7"/>
        <v/>
      </c>
      <c r="I115" t="str">
        <f t="shared" si="5"/>
        <v/>
      </c>
      <c r="J115" t="str">
        <f t="shared" si="6"/>
        <v/>
      </c>
    </row>
    <row r="116" spans="1:10" x14ac:dyDescent="0.25">
      <c r="A116" t="str">
        <f t="shared" si="7"/>
        <v/>
      </c>
      <c r="I116" t="str">
        <f t="shared" si="5"/>
        <v/>
      </c>
      <c r="J116" t="str">
        <f t="shared" si="6"/>
        <v/>
      </c>
    </row>
    <row r="117" spans="1:10" x14ac:dyDescent="0.25">
      <c r="A117" t="str">
        <f t="shared" si="7"/>
        <v/>
      </c>
      <c r="I117" t="str">
        <f t="shared" si="5"/>
        <v/>
      </c>
      <c r="J117" t="str">
        <f t="shared" si="6"/>
        <v/>
      </c>
    </row>
    <row r="118" spans="1:10" x14ac:dyDescent="0.25">
      <c r="A118" t="str">
        <f t="shared" si="7"/>
        <v/>
      </c>
      <c r="I118" t="str">
        <f t="shared" si="5"/>
        <v/>
      </c>
      <c r="J118" t="str">
        <f t="shared" si="6"/>
        <v/>
      </c>
    </row>
    <row r="119" spans="1:10" x14ac:dyDescent="0.25">
      <c r="A119" t="str">
        <f t="shared" si="7"/>
        <v/>
      </c>
      <c r="I119" t="str">
        <f t="shared" si="5"/>
        <v/>
      </c>
      <c r="J119" t="str">
        <f t="shared" si="6"/>
        <v/>
      </c>
    </row>
    <row r="120" spans="1:10" x14ac:dyDescent="0.25">
      <c r="A120" t="str">
        <f t="shared" si="7"/>
        <v/>
      </c>
      <c r="I120" t="str">
        <f t="shared" si="5"/>
        <v/>
      </c>
      <c r="J120" t="str">
        <f t="shared" si="6"/>
        <v/>
      </c>
    </row>
    <row r="121" spans="1:10" x14ac:dyDescent="0.25">
      <c r="A121" t="str">
        <f t="shared" si="7"/>
        <v/>
      </c>
      <c r="I121" t="str">
        <f t="shared" si="5"/>
        <v/>
      </c>
      <c r="J121" t="str">
        <f t="shared" si="6"/>
        <v/>
      </c>
    </row>
    <row r="122" spans="1:10" x14ac:dyDescent="0.25">
      <c r="A122" t="str">
        <f t="shared" si="7"/>
        <v/>
      </c>
      <c r="I122" t="str">
        <f t="shared" si="5"/>
        <v/>
      </c>
      <c r="J122" t="str">
        <f t="shared" si="6"/>
        <v/>
      </c>
    </row>
    <row r="123" spans="1:10" x14ac:dyDescent="0.25">
      <c r="A123" t="str">
        <f t="shared" si="7"/>
        <v/>
      </c>
      <c r="I123" t="str">
        <f t="shared" si="5"/>
        <v/>
      </c>
      <c r="J123" t="str">
        <f t="shared" si="6"/>
        <v/>
      </c>
    </row>
    <row r="124" spans="1:10" x14ac:dyDescent="0.25">
      <c r="A124" t="str">
        <f t="shared" si="7"/>
        <v/>
      </c>
      <c r="I124" t="str">
        <f t="shared" si="5"/>
        <v/>
      </c>
      <c r="J124" t="str">
        <f t="shared" si="6"/>
        <v/>
      </c>
    </row>
    <row r="125" spans="1:10" x14ac:dyDescent="0.25">
      <c r="A125" t="str">
        <f t="shared" si="7"/>
        <v/>
      </c>
      <c r="I125" t="str">
        <f t="shared" si="5"/>
        <v/>
      </c>
      <c r="J125" t="str">
        <f t="shared" si="6"/>
        <v/>
      </c>
    </row>
    <row r="126" spans="1:10" x14ac:dyDescent="0.25">
      <c r="A126" t="str">
        <f t="shared" si="7"/>
        <v/>
      </c>
      <c r="I126" t="str">
        <f t="shared" si="5"/>
        <v/>
      </c>
      <c r="J126" t="str">
        <f t="shared" si="6"/>
        <v/>
      </c>
    </row>
    <row r="127" spans="1:10" x14ac:dyDescent="0.25">
      <c r="A127" t="str">
        <f t="shared" si="7"/>
        <v/>
      </c>
      <c r="I127" t="str">
        <f t="shared" si="5"/>
        <v/>
      </c>
      <c r="J127" t="str">
        <f t="shared" si="6"/>
        <v/>
      </c>
    </row>
    <row r="128" spans="1:10" x14ac:dyDescent="0.25">
      <c r="A128" t="str">
        <f t="shared" si="7"/>
        <v/>
      </c>
      <c r="I128" t="str">
        <f t="shared" si="5"/>
        <v/>
      </c>
      <c r="J128" t="str">
        <f t="shared" si="6"/>
        <v/>
      </c>
    </row>
    <row r="129" spans="1:10" x14ac:dyDescent="0.25">
      <c r="A129" t="str">
        <f t="shared" si="7"/>
        <v/>
      </c>
      <c r="I129" t="str">
        <f t="shared" si="5"/>
        <v/>
      </c>
      <c r="J129" t="str">
        <f t="shared" si="6"/>
        <v/>
      </c>
    </row>
    <row r="130" spans="1:10" x14ac:dyDescent="0.25">
      <c r="A130" t="str">
        <f t="shared" ref="A130:A161" si="8">IF(B130="","","PRO"&amp;TEXT(ROW()-1,"000000"))</f>
        <v/>
      </c>
      <c r="I130" t="str">
        <f t="shared" ref="I130:I193" si="9">IF(AND(D130&lt;&gt;"",E130&lt;&gt;""),E130-D130,"")</f>
        <v/>
      </c>
      <c r="J130" t="str">
        <f t="shared" ref="J130:J193" si="10">IFERROR((E130-D130)/E130,"")</f>
        <v/>
      </c>
    </row>
    <row r="131" spans="1:10" x14ac:dyDescent="0.25">
      <c r="A131" t="str">
        <f t="shared" si="8"/>
        <v/>
      </c>
      <c r="I131" t="str">
        <f t="shared" si="9"/>
        <v/>
      </c>
      <c r="J131" t="str">
        <f t="shared" si="10"/>
        <v/>
      </c>
    </row>
    <row r="132" spans="1:10" x14ac:dyDescent="0.25">
      <c r="A132" t="str">
        <f t="shared" si="8"/>
        <v/>
      </c>
      <c r="I132" t="str">
        <f t="shared" si="9"/>
        <v/>
      </c>
      <c r="J132" t="str">
        <f t="shared" si="10"/>
        <v/>
      </c>
    </row>
    <row r="133" spans="1:10" x14ac:dyDescent="0.25">
      <c r="A133" t="str">
        <f t="shared" si="8"/>
        <v/>
      </c>
      <c r="I133" t="str">
        <f t="shared" si="9"/>
        <v/>
      </c>
      <c r="J133" t="str">
        <f t="shared" si="10"/>
        <v/>
      </c>
    </row>
    <row r="134" spans="1:10" x14ac:dyDescent="0.25">
      <c r="A134" t="str">
        <f t="shared" si="8"/>
        <v/>
      </c>
      <c r="I134" t="str">
        <f t="shared" si="9"/>
        <v/>
      </c>
      <c r="J134" t="str">
        <f t="shared" si="10"/>
        <v/>
      </c>
    </row>
    <row r="135" spans="1:10" x14ac:dyDescent="0.25">
      <c r="A135" t="str">
        <f t="shared" si="8"/>
        <v/>
      </c>
      <c r="I135" t="str">
        <f t="shared" si="9"/>
        <v/>
      </c>
      <c r="J135" t="str">
        <f t="shared" si="10"/>
        <v/>
      </c>
    </row>
    <row r="136" spans="1:10" x14ac:dyDescent="0.25">
      <c r="A136" t="str">
        <f t="shared" si="8"/>
        <v/>
      </c>
      <c r="I136" t="str">
        <f t="shared" si="9"/>
        <v/>
      </c>
      <c r="J136" t="str">
        <f t="shared" si="10"/>
        <v/>
      </c>
    </row>
    <row r="137" spans="1:10" x14ac:dyDescent="0.25">
      <c r="A137" t="str">
        <f t="shared" si="8"/>
        <v/>
      </c>
      <c r="I137" t="str">
        <f t="shared" si="9"/>
        <v/>
      </c>
      <c r="J137" t="str">
        <f t="shared" si="10"/>
        <v/>
      </c>
    </row>
    <row r="138" spans="1:10" x14ac:dyDescent="0.25">
      <c r="A138" t="str">
        <f t="shared" si="8"/>
        <v/>
      </c>
      <c r="I138" t="str">
        <f t="shared" si="9"/>
        <v/>
      </c>
      <c r="J138" t="str">
        <f t="shared" si="10"/>
        <v/>
      </c>
    </row>
    <row r="139" spans="1:10" x14ac:dyDescent="0.25">
      <c r="A139" t="str">
        <f t="shared" si="8"/>
        <v/>
      </c>
      <c r="I139" t="str">
        <f t="shared" si="9"/>
        <v/>
      </c>
      <c r="J139" t="str">
        <f t="shared" si="10"/>
        <v/>
      </c>
    </row>
    <row r="140" spans="1:10" x14ac:dyDescent="0.25">
      <c r="A140" t="str">
        <f t="shared" si="8"/>
        <v/>
      </c>
      <c r="I140" t="str">
        <f t="shared" si="9"/>
        <v/>
      </c>
      <c r="J140" t="str">
        <f t="shared" si="10"/>
        <v/>
      </c>
    </row>
    <row r="141" spans="1:10" x14ac:dyDescent="0.25">
      <c r="A141" t="str">
        <f t="shared" si="8"/>
        <v/>
      </c>
      <c r="I141" t="str">
        <f t="shared" si="9"/>
        <v/>
      </c>
      <c r="J141" t="str">
        <f t="shared" si="10"/>
        <v/>
      </c>
    </row>
    <row r="142" spans="1:10" x14ac:dyDescent="0.25">
      <c r="A142" t="str">
        <f t="shared" si="8"/>
        <v/>
      </c>
      <c r="I142" t="str">
        <f t="shared" si="9"/>
        <v/>
      </c>
      <c r="J142" t="str">
        <f t="shared" si="10"/>
        <v/>
      </c>
    </row>
    <row r="143" spans="1:10" x14ac:dyDescent="0.25">
      <c r="A143" t="str">
        <f t="shared" si="8"/>
        <v/>
      </c>
      <c r="I143" t="str">
        <f t="shared" si="9"/>
        <v/>
      </c>
      <c r="J143" t="str">
        <f t="shared" si="10"/>
        <v/>
      </c>
    </row>
    <row r="144" spans="1:10" x14ac:dyDescent="0.25">
      <c r="A144" t="str">
        <f t="shared" si="8"/>
        <v/>
      </c>
      <c r="I144" t="str">
        <f t="shared" si="9"/>
        <v/>
      </c>
      <c r="J144" t="str">
        <f t="shared" si="10"/>
        <v/>
      </c>
    </row>
    <row r="145" spans="1:10" x14ac:dyDescent="0.25">
      <c r="A145" t="str">
        <f t="shared" si="8"/>
        <v/>
      </c>
      <c r="I145" t="str">
        <f t="shared" si="9"/>
        <v/>
      </c>
      <c r="J145" t="str">
        <f t="shared" si="10"/>
        <v/>
      </c>
    </row>
    <row r="146" spans="1:10" x14ac:dyDescent="0.25">
      <c r="A146" t="str">
        <f t="shared" si="8"/>
        <v/>
      </c>
      <c r="I146" t="str">
        <f t="shared" si="9"/>
        <v/>
      </c>
      <c r="J146" t="str">
        <f t="shared" si="10"/>
        <v/>
      </c>
    </row>
    <row r="147" spans="1:10" x14ac:dyDescent="0.25">
      <c r="A147" t="str">
        <f t="shared" si="8"/>
        <v/>
      </c>
      <c r="I147" t="str">
        <f t="shared" si="9"/>
        <v/>
      </c>
      <c r="J147" t="str">
        <f t="shared" si="10"/>
        <v/>
      </c>
    </row>
    <row r="148" spans="1:10" x14ac:dyDescent="0.25">
      <c r="A148" t="str">
        <f t="shared" si="8"/>
        <v/>
      </c>
      <c r="I148" t="str">
        <f t="shared" si="9"/>
        <v/>
      </c>
      <c r="J148" t="str">
        <f t="shared" si="10"/>
        <v/>
      </c>
    </row>
    <row r="149" spans="1:10" x14ac:dyDescent="0.25">
      <c r="A149" t="str">
        <f t="shared" si="8"/>
        <v/>
      </c>
      <c r="I149" t="str">
        <f t="shared" si="9"/>
        <v/>
      </c>
      <c r="J149" t="str">
        <f t="shared" si="10"/>
        <v/>
      </c>
    </row>
    <row r="150" spans="1:10" x14ac:dyDescent="0.25">
      <c r="A150" t="str">
        <f t="shared" si="8"/>
        <v/>
      </c>
      <c r="I150" t="str">
        <f t="shared" si="9"/>
        <v/>
      </c>
      <c r="J150" t="str">
        <f t="shared" si="10"/>
        <v/>
      </c>
    </row>
    <row r="151" spans="1:10" x14ac:dyDescent="0.25">
      <c r="A151" t="str">
        <f t="shared" si="8"/>
        <v/>
      </c>
      <c r="I151" t="str">
        <f t="shared" si="9"/>
        <v/>
      </c>
      <c r="J151" t="str">
        <f t="shared" si="10"/>
        <v/>
      </c>
    </row>
    <row r="152" spans="1:10" x14ac:dyDescent="0.25">
      <c r="A152" t="str">
        <f t="shared" si="8"/>
        <v/>
      </c>
      <c r="I152" t="str">
        <f t="shared" si="9"/>
        <v/>
      </c>
      <c r="J152" t="str">
        <f t="shared" si="10"/>
        <v/>
      </c>
    </row>
    <row r="153" spans="1:10" x14ac:dyDescent="0.25">
      <c r="A153" t="str">
        <f t="shared" si="8"/>
        <v/>
      </c>
      <c r="I153" t="str">
        <f t="shared" si="9"/>
        <v/>
      </c>
      <c r="J153" t="str">
        <f t="shared" si="10"/>
        <v/>
      </c>
    </row>
    <row r="154" spans="1:10" x14ac:dyDescent="0.25">
      <c r="A154" t="str">
        <f t="shared" si="8"/>
        <v/>
      </c>
      <c r="I154" t="str">
        <f t="shared" si="9"/>
        <v/>
      </c>
      <c r="J154" t="str">
        <f t="shared" si="10"/>
        <v/>
      </c>
    </row>
    <row r="155" spans="1:10" x14ac:dyDescent="0.25">
      <c r="A155" t="str">
        <f t="shared" si="8"/>
        <v/>
      </c>
      <c r="I155" t="str">
        <f t="shared" si="9"/>
        <v/>
      </c>
      <c r="J155" t="str">
        <f t="shared" si="10"/>
        <v/>
      </c>
    </row>
    <row r="156" spans="1:10" x14ac:dyDescent="0.25">
      <c r="A156" t="str">
        <f t="shared" si="8"/>
        <v/>
      </c>
      <c r="I156" t="str">
        <f t="shared" si="9"/>
        <v/>
      </c>
      <c r="J156" t="str">
        <f t="shared" si="10"/>
        <v/>
      </c>
    </row>
    <row r="157" spans="1:10" x14ac:dyDescent="0.25">
      <c r="A157" t="str">
        <f t="shared" si="8"/>
        <v/>
      </c>
      <c r="I157" t="str">
        <f t="shared" si="9"/>
        <v/>
      </c>
      <c r="J157" t="str">
        <f t="shared" si="10"/>
        <v/>
      </c>
    </row>
    <row r="158" spans="1:10" x14ac:dyDescent="0.25">
      <c r="A158" t="str">
        <f t="shared" si="8"/>
        <v/>
      </c>
      <c r="I158" t="str">
        <f t="shared" si="9"/>
        <v/>
      </c>
      <c r="J158" t="str">
        <f t="shared" si="10"/>
        <v/>
      </c>
    </row>
    <row r="159" spans="1:10" x14ac:dyDescent="0.25">
      <c r="A159" t="str">
        <f t="shared" si="8"/>
        <v/>
      </c>
      <c r="I159" t="str">
        <f t="shared" si="9"/>
        <v/>
      </c>
      <c r="J159" t="str">
        <f t="shared" si="10"/>
        <v/>
      </c>
    </row>
    <row r="160" spans="1:10" x14ac:dyDescent="0.25">
      <c r="A160" t="str">
        <f t="shared" si="8"/>
        <v/>
      </c>
      <c r="I160" t="str">
        <f t="shared" si="9"/>
        <v/>
      </c>
      <c r="J160" t="str">
        <f t="shared" si="10"/>
        <v/>
      </c>
    </row>
    <row r="161" spans="1:10" x14ac:dyDescent="0.25">
      <c r="A161" t="str">
        <f t="shared" si="8"/>
        <v/>
      </c>
      <c r="I161" t="str">
        <f t="shared" si="9"/>
        <v/>
      </c>
      <c r="J161" t="str">
        <f t="shared" si="10"/>
        <v/>
      </c>
    </row>
    <row r="162" spans="1:10" x14ac:dyDescent="0.25">
      <c r="A162" t="str">
        <f t="shared" ref="A162:A193" si="11">IF(B162="","","PRO"&amp;TEXT(ROW()-1,"000000"))</f>
        <v/>
      </c>
      <c r="I162" t="str">
        <f t="shared" si="9"/>
        <v/>
      </c>
      <c r="J162" t="str">
        <f t="shared" si="10"/>
        <v/>
      </c>
    </row>
    <row r="163" spans="1:10" x14ac:dyDescent="0.25">
      <c r="A163" t="str">
        <f t="shared" si="11"/>
        <v/>
      </c>
      <c r="I163" t="str">
        <f t="shared" si="9"/>
        <v/>
      </c>
      <c r="J163" t="str">
        <f t="shared" si="10"/>
        <v/>
      </c>
    </row>
    <row r="164" spans="1:10" x14ac:dyDescent="0.25">
      <c r="A164" t="str">
        <f t="shared" si="11"/>
        <v/>
      </c>
      <c r="I164" t="str">
        <f t="shared" si="9"/>
        <v/>
      </c>
      <c r="J164" t="str">
        <f t="shared" si="10"/>
        <v/>
      </c>
    </row>
    <row r="165" spans="1:10" x14ac:dyDescent="0.25">
      <c r="A165" t="str">
        <f t="shared" si="11"/>
        <v/>
      </c>
      <c r="I165" t="str">
        <f t="shared" si="9"/>
        <v/>
      </c>
      <c r="J165" t="str">
        <f t="shared" si="10"/>
        <v/>
      </c>
    </row>
    <row r="166" spans="1:10" x14ac:dyDescent="0.25">
      <c r="A166" t="str">
        <f t="shared" si="11"/>
        <v/>
      </c>
      <c r="I166" t="str">
        <f t="shared" si="9"/>
        <v/>
      </c>
      <c r="J166" t="str">
        <f t="shared" si="10"/>
        <v/>
      </c>
    </row>
    <row r="167" spans="1:10" x14ac:dyDescent="0.25">
      <c r="A167" t="str">
        <f t="shared" si="11"/>
        <v/>
      </c>
      <c r="I167" t="str">
        <f t="shared" si="9"/>
        <v/>
      </c>
      <c r="J167" t="str">
        <f t="shared" si="10"/>
        <v/>
      </c>
    </row>
    <row r="168" spans="1:10" x14ac:dyDescent="0.25">
      <c r="A168" t="str">
        <f t="shared" si="11"/>
        <v/>
      </c>
      <c r="I168" t="str">
        <f t="shared" si="9"/>
        <v/>
      </c>
      <c r="J168" t="str">
        <f t="shared" si="10"/>
        <v/>
      </c>
    </row>
    <row r="169" spans="1:10" x14ac:dyDescent="0.25">
      <c r="A169" t="str">
        <f t="shared" si="11"/>
        <v/>
      </c>
      <c r="I169" t="str">
        <f t="shared" si="9"/>
        <v/>
      </c>
      <c r="J169" t="str">
        <f t="shared" si="10"/>
        <v/>
      </c>
    </row>
    <row r="170" spans="1:10" x14ac:dyDescent="0.25">
      <c r="A170" t="str">
        <f t="shared" si="11"/>
        <v/>
      </c>
      <c r="I170" t="str">
        <f t="shared" si="9"/>
        <v/>
      </c>
      <c r="J170" t="str">
        <f t="shared" si="10"/>
        <v/>
      </c>
    </row>
    <row r="171" spans="1:10" x14ac:dyDescent="0.25">
      <c r="A171" t="str">
        <f t="shared" si="11"/>
        <v/>
      </c>
      <c r="I171" t="str">
        <f t="shared" si="9"/>
        <v/>
      </c>
      <c r="J171" t="str">
        <f t="shared" si="10"/>
        <v/>
      </c>
    </row>
    <row r="172" spans="1:10" x14ac:dyDescent="0.25">
      <c r="A172" t="str">
        <f t="shared" si="11"/>
        <v/>
      </c>
      <c r="I172" t="str">
        <f t="shared" si="9"/>
        <v/>
      </c>
      <c r="J172" t="str">
        <f t="shared" si="10"/>
        <v/>
      </c>
    </row>
    <row r="173" spans="1:10" x14ac:dyDescent="0.25">
      <c r="A173" t="str">
        <f t="shared" si="11"/>
        <v/>
      </c>
      <c r="I173" t="str">
        <f t="shared" si="9"/>
        <v/>
      </c>
      <c r="J173" t="str">
        <f t="shared" si="10"/>
        <v/>
      </c>
    </row>
    <row r="174" spans="1:10" x14ac:dyDescent="0.25">
      <c r="A174" t="str">
        <f t="shared" si="11"/>
        <v/>
      </c>
      <c r="I174" t="str">
        <f t="shared" si="9"/>
        <v/>
      </c>
      <c r="J174" t="str">
        <f t="shared" si="10"/>
        <v/>
      </c>
    </row>
    <row r="175" spans="1:10" x14ac:dyDescent="0.25">
      <c r="A175" t="str">
        <f t="shared" si="11"/>
        <v/>
      </c>
      <c r="I175" t="str">
        <f t="shared" si="9"/>
        <v/>
      </c>
      <c r="J175" t="str">
        <f t="shared" si="10"/>
        <v/>
      </c>
    </row>
    <row r="176" spans="1:10" x14ac:dyDescent="0.25">
      <c r="A176" t="str">
        <f t="shared" si="11"/>
        <v/>
      </c>
      <c r="I176" t="str">
        <f t="shared" si="9"/>
        <v/>
      </c>
      <c r="J176" t="str">
        <f t="shared" si="10"/>
        <v/>
      </c>
    </row>
    <row r="177" spans="1:10" x14ac:dyDescent="0.25">
      <c r="A177" t="str">
        <f t="shared" si="11"/>
        <v/>
      </c>
      <c r="I177" t="str">
        <f t="shared" si="9"/>
        <v/>
      </c>
      <c r="J177" t="str">
        <f t="shared" si="10"/>
        <v/>
      </c>
    </row>
    <row r="178" spans="1:10" x14ac:dyDescent="0.25">
      <c r="A178" t="str">
        <f t="shared" si="11"/>
        <v/>
      </c>
      <c r="I178" t="str">
        <f t="shared" si="9"/>
        <v/>
      </c>
      <c r="J178" t="str">
        <f t="shared" si="10"/>
        <v/>
      </c>
    </row>
    <row r="179" spans="1:10" x14ac:dyDescent="0.25">
      <c r="A179" t="str">
        <f t="shared" si="11"/>
        <v/>
      </c>
      <c r="I179" t="str">
        <f t="shared" si="9"/>
        <v/>
      </c>
      <c r="J179" t="str">
        <f t="shared" si="10"/>
        <v/>
      </c>
    </row>
    <row r="180" spans="1:10" x14ac:dyDescent="0.25">
      <c r="A180" t="str">
        <f t="shared" si="11"/>
        <v/>
      </c>
      <c r="I180" t="str">
        <f t="shared" si="9"/>
        <v/>
      </c>
      <c r="J180" t="str">
        <f t="shared" si="10"/>
        <v/>
      </c>
    </row>
    <row r="181" spans="1:10" x14ac:dyDescent="0.25">
      <c r="A181" t="str">
        <f t="shared" si="11"/>
        <v/>
      </c>
      <c r="I181" t="str">
        <f t="shared" si="9"/>
        <v/>
      </c>
      <c r="J181" t="str">
        <f t="shared" si="10"/>
        <v/>
      </c>
    </row>
    <row r="182" spans="1:10" x14ac:dyDescent="0.25">
      <c r="A182" t="str">
        <f t="shared" si="11"/>
        <v/>
      </c>
      <c r="I182" t="str">
        <f t="shared" si="9"/>
        <v/>
      </c>
      <c r="J182" t="str">
        <f t="shared" si="10"/>
        <v/>
      </c>
    </row>
    <row r="183" spans="1:10" x14ac:dyDescent="0.25">
      <c r="A183" t="str">
        <f t="shared" si="11"/>
        <v/>
      </c>
      <c r="I183" t="str">
        <f t="shared" si="9"/>
        <v/>
      </c>
      <c r="J183" t="str">
        <f t="shared" si="10"/>
        <v/>
      </c>
    </row>
    <row r="184" spans="1:10" x14ac:dyDescent="0.25">
      <c r="A184" t="str">
        <f t="shared" si="11"/>
        <v/>
      </c>
      <c r="I184" t="str">
        <f t="shared" si="9"/>
        <v/>
      </c>
      <c r="J184" t="str">
        <f t="shared" si="10"/>
        <v/>
      </c>
    </row>
    <row r="185" spans="1:10" x14ac:dyDescent="0.25">
      <c r="A185" t="str">
        <f t="shared" si="11"/>
        <v/>
      </c>
      <c r="I185" t="str">
        <f t="shared" si="9"/>
        <v/>
      </c>
      <c r="J185" t="str">
        <f t="shared" si="10"/>
        <v/>
      </c>
    </row>
    <row r="186" spans="1:10" x14ac:dyDescent="0.25">
      <c r="A186" t="str">
        <f t="shared" si="11"/>
        <v/>
      </c>
      <c r="I186" t="str">
        <f t="shared" si="9"/>
        <v/>
      </c>
      <c r="J186" t="str">
        <f t="shared" si="10"/>
        <v/>
      </c>
    </row>
    <row r="187" spans="1:10" x14ac:dyDescent="0.25">
      <c r="A187" t="str">
        <f t="shared" si="11"/>
        <v/>
      </c>
      <c r="I187" t="str">
        <f t="shared" si="9"/>
        <v/>
      </c>
      <c r="J187" t="str">
        <f t="shared" si="10"/>
        <v/>
      </c>
    </row>
    <row r="188" spans="1:10" x14ac:dyDescent="0.25">
      <c r="A188" t="str">
        <f t="shared" si="11"/>
        <v/>
      </c>
      <c r="I188" t="str">
        <f t="shared" si="9"/>
        <v/>
      </c>
      <c r="J188" t="str">
        <f t="shared" si="10"/>
        <v/>
      </c>
    </row>
    <row r="189" spans="1:10" x14ac:dyDescent="0.25">
      <c r="A189" t="str">
        <f t="shared" si="11"/>
        <v/>
      </c>
      <c r="I189" t="str">
        <f t="shared" si="9"/>
        <v/>
      </c>
      <c r="J189" t="str">
        <f t="shared" si="10"/>
        <v/>
      </c>
    </row>
    <row r="190" spans="1:10" x14ac:dyDescent="0.25">
      <c r="A190" t="str">
        <f t="shared" si="11"/>
        <v/>
      </c>
      <c r="I190" t="str">
        <f t="shared" si="9"/>
        <v/>
      </c>
      <c r="J190" t="str">
        <f t="shared" si="10"/>
        <v/>
      </c>
    </row>
    <row r="191" spans="1:10" x14ac:dyDescent="0.25">
      <c r="A191" t="str">
        <f t="shared" si="11"/>
        <v/>
      </c>
      <c r="I191" t="str">
        <f t="shared" si="9"/>
        <v/>
      </c>
      <c r="J191" t="str">
        <f t="shared" si="10"/>
        <v/>
      </c>
    </row>
    <row r="192" spans="1:10" x14ac:dyDescent="0.25">
      <c r="A192" t="str">
        <f t="shared" si="11"/>
        <v/>
      </c>
      <c r="I192" t="str">
        <f t="shared" si="9"/>
        <v/>
      </c>
      <c r="J192" t="str">
        <f t="shared" si="10"/>
        <v/>
      </c>
    </row>
    <row r="193" spans="1:10" x14ac:dyDescent="0.25">
      <c r="A193" t="str">
        <f t="shared" si="11"/>
        <v/>
      </c>
      <c r="I193" t="str">
        <f t="shared" si="9"/>
        <v/>
      </c>
      <c r="J193" t="str">
        <f t="shared" si="10"/>
        <v/>
      </c>
    </row>
    <row r="194" spans="1:10" x14ac:dyDescent="0.25">
      <c r="A194" t="str">
        <f t="shared" ref="A194:A201" si="12">IF(B194="","","PRO"&amp;TEXT(ROW()-1,"000000"))</f>
        <v/>
      </c>
      <c r="I194" t="str">
        <f t="shared" ref="I194:I257" si="13">IF(AND(D194&lt;&gt;"",E194&lt;&gt;""),E194-D194,"")</f>
        <v/>
      </c>
      <c r="J194" t="str">
        <f t="shared" ref="J194:J257" si="14">IFERROR((E194-D194)/E194,"")</f>
        <v/>
      </c>
    </row>
    <row r="195" spans="1:10" x14ac:dyDescent="0.25">
      <c r="A195" t="str">
        <f t="shared" si="12"/>
        <v/>
      </c>
      <c r="I195" t="str">
        <f t="shared" si="13"/>
        <v/>
      </c>
      <c r="J195" t="str">
        <f t="shared" si="14"/>
        <v/>
      </c>
    </row>
    <row r="196" spans="1:10" x14ac:dyDescent="0.25">
      <c r="A196" t="str">
        <f t="shared" si="12"/>
        <v/>
      </c>
      <c r="I196" t="str">
        <f t="shared" si="13"/>
        <v/>
      </c>
      <c r="J196" t="str">
        <f t="shared" si="14"/>
        <v/>
      </c>
    </row>
    <row r="197" spans="1:10" x14ac:dyDescent="0.25">
      <c r="A197" t="str">
        <f t="shared" si="12"/>
        <v/>
      </c>
      <c r="I197" t="str">
        <f t="shared" si="13"/>
        <v/>
      </c>
      <c r="J197" t="str">
        <f t="shared" si="14"/>
        <v/>
      </c>
    </row>
    <row r="198" spans="1:10" x14ac:dyDescent="0.25">
      <c r="A198" t="str">
        <f t="shared" si="12"/>
        <v/>
      </c>
      <c r="I198" t="str">
        <f t="shared" si="13"/>
        <v/>
      </c>
      <c r="J198" t="str">
        <f t="shared" si="14"/>
        <v/>
      </c>
    </row>
    <row r="199" spans="1:10" x14ac:dyDescent="0.25">
      <c r="A199" t="str">
        <f t="shared" si="12"/>
        <v/>
      </c>
      <c r="I199" t="str">
        <f t="shared" si="13"/>
        <v/>
      </c>
      <c r="J199" t="str">
        <f t="shared" si="14"/>
        <v/>
      </c>
    </row>
    <row r="200" spans="1:10" x14ac:dyDescent="0.25">
      <c r="A200" t="str">
        <f t="shared" si="12"/>
        <v/>
      </c>
      <c r="I200" t="str">
        <f t="shared" si="13"/>
        <v/>
      </c>
      <c r="J200" t="str">
        <f t="shared" si="14"/>
        <v/>
      </c>
    </row>
    <row r="201" spans="1:10" x14ac:dyDescent="0.25">
      <c r="A201" t="str">
        <f t="shared" si="12"/>
        <v/>
      </c>
      <c r="I201" t="str">
        <f t="shared" si="13"/>
        <v/>
      </c>
      <c r="J201" t="str">
        <f t="shared" si="14"/>
        <v/>
      </c>
    </row>
    <row r="202" spans="1:10" x14ac:dyDescent="0.25">
      <c r="I202" t="str">
        <f t="shared" si="13"/>
        <v/>
      </c>
      <c r="J202" t="str">
        <f t="shared" si="14"/>
        <v/>
      </c>
    </row>
    <row r="203" spans="1:10" x14ac:dyDescent="0.25">
      <c r="I203" t="str">
        <f t="shared" si="13"/>
        <v/>
      </c>
      <c r="J203" t="str">
        <f t="shared" si="14"/>
        <v/>
      </c>
    </row>
    <row r="204" spans="1:10" x14ac:dyDescent="0.25">
      <c r="I204" t="str">
        <f t="shared" si="13"/>
        <v/>
      </c>
      <c r="J204" t="str">
        <f t="shared" si="14"/>
        <v/>
      </c>
    </row>
    <row r="205" spans="1:10" x14ac:dyDescent="0.25">
      <c r="I205" t="str">
        <f t="shared" si="13"/>
        <v/>
      </c>
      <c r="J205" t="str">
        <f t="shared" si="14"/>
        <v/>
      </c>
    </row>
    <row r="206" spans="1:10" x14ac:dyDescent="0.25">
      <c r="I206" t="str">
        <f t="shared" si="13"/>
        <v/>
      </c>
      <c r="J206" t="str">
        <f t="shared" si="14"/>
        <v/>
      </c>
    </row>
    <row r="207" spans="1:10" x14ac:dyDescent="0.25">
      <c r="I207" t="str">
        <f t="shared" si="13"/>
        <v/>
      </c>
      <c r="J207" t="str">
        <f t="shared" si="14"/>
        <v/>
      </c>
    </row>
    <row r="208" spans="1:10" x14ac:dyDescent="0.25">
      <c r="I208" t="str">
        <f t="shared" si="13"/>
        <v/>
      </c>
      <c r="J208" t="str">
        <f t="shared" si="14"/>
        <v/>
      </c>
    </row>
    <row r="209" spans="9:10" x14ac:dyDescent="0.25">
      <c r="I209" t="str">
        <f t="shared" si="13"/>
        <v/>
      </c>
      <c r="J209" t="str">
        <f t="shared" si="14"/>
        <v/>
      </c>
    </row>
    <row r="210" spans="9:10" x14ac:dyDescent="0.25">
      <c r="I210" t="str">
        <f t="shared" si="13"/>
        <v/>
      </c>
      <c r="J210" t="str">
        <f t="shared" si="14"/>
        <v/>
      </c>
    </row>
    <row r="211" spans="9:10" x14ac:dyDescent="0.25">
      <c r="I211" t="str">
        <f t="shared" si="13"/>
        <v/>
      </c>
      <c r="J211" t="str">
        <f t="shared" si="14"/>
        <v/>
      </c>
    </row>
    <row r="212" spans="9:10" x14ac:dyDescent="0.25">
      <c r="I212" t="str">
        <f t="shared" si="13"/>
        <v/>
      </c>
      <c r="J212" t="str">
        <f t="shared" si="14"/>
        <v/>
      </c>
    </row>
    <row r="213" spans="9:10" x14ac:dyDescent="0.25">
      <c r="I213" t="str">
        <f t="shared" si="13"/>
        <v/>
      </c>
      <c r="J213" t="str">
        <f t="shared" si="14"/>
        <v/>
      </c>
    </row>
    <row r="214" spans="9:10" x14ac:dyDescent="0.25">
      <c r="I214" t="str">
        <f t="shared" si="13"/>
        <v/>
      </c>
      <c r="J214" t="str">
        <f t="shared" si="14"/>
        <v/>
      </c>
    </row>
    <row r="215" spans="9:10" x14ac:dyDescent="0.25">
      <c r="I215" t="str">
        <f t="shared" si="13"/>
        <v/>
      </c>
      <c r="J215" t="str">
        <f t="shared" si="14"/>
        <v/>
      </c>
    </row>
    <row r="216" spans="9:10" x14ac:dyDescent="0.25">
      <c r="I216" t="str">
        <f t="shared" si="13"/>
        <v/>
      </c>
      <c r="J216" t="str">
        <f t="shared" si="14"/>
        <v/>
      </c>
    </row>
    <row r="217" spans="9:10" x14ac:dyDescent="0.25">
      <c r="I217" t="str">
        <f t="shared" si="13"/>
        <v/>
      </c>
      <c r="J217" t="str">
        <f t="shared" si="14"/>
        <v/>
      </c>
    </row>
    <row r="218" spans="9:10" x14ac:dyDescent="0.25">
      <c r="I218" t="str">
        <f t="shared" si="13"/>
        <v/>
      </c>
      <c r="J218" t="str">
        <f t="shared" si="14"/>
        <v/>
      </c>
    </row>
    <row r="219" spans="9:10" x14ac:dyDescent="0.25">
      <c r="I219" t="str">
        <f t="shared" si="13"/>
        <v/>
      </c>
      <c r="J219" t="str">
        <f t="shared" si="14"/>
        <v/>
      </c>
    </row>
    <row r="220" spans="9:10" x14ac:dyDescent="0.25">
      <c r="I220" t="str">
        <f t="shared" si="13"/>
        <v/>
      </c>
      <c r="J220" t="str">
        <f t="shared" si="14"/>
        <v/>
      </c>
    </row>
    <row r="221" spans="9:10" x14ac:dyDescent="0.25">
      <c r="I221" t="str">
        <f t="shared" si="13"/>
        <v/>
      </c>
      <c r="J221" t="str">
        <f t="shared" si="14"/>
        <v/>
      </c>
    </row>
    <row r="222" spans="9:10" x14ac:dyDescent="0.25">
      <c r="I222" t="str">
        <f t="shared" si="13"/>
        <v/>
      </c>
      <c r="J222" t="str">
        <f t="shared" si="14"/>
        <v/>
      </c>
    </row>
    <row r="223" spans="9:10" x14ac:dyDescent="0.25">
      <c r="I223" t="str">
        <f t="shared" si="13"/>
        <v/>
      </c>
      <c r="J223" t="str">
        <f t="shared" si="14"/>
        <v/>
      </c>
    </row>
    <row r="224" spans="9:10" x14ac:dyDescent="0.25">
      <c r="I224" t="str">
        <f t="shared" si="13"/>
        <v/>
      </c>
      <c r="J224" t="str">
        <f t="shared" si="14"/>
        <v/>
      </c>
    </row>
    <row r="225" spans="9:10" x14ac:dyDescent="0.25">
      <c r="I225" t="str">
        <f t="shared" si="13"/>
        <v/>
      </c>
      <c r="J225" t="str">
        <f t="shared" si="14"/>
        <v/>
      </c>
    </row>
    <row r="226" spans="9:10" x14ac:dyDescent="0.25">
      <c r="I226" t="str">
        <f t="shared" si="13"/>
        <v/>
      </c>
      <c r="J226" t="str">
        <f t="shared" si="14"/>
        <v/>
      </c>
    </row>
    <row r="227" spans="9:10" x14ac:dyDescent="0.25">
      <c r="I227" t="str">
        <f t="shared" si="13"/>
        <v/>
      </c>
      <c r="J227" t="str">
        <f t="shared" si="14"/>
        <v/>
      </c>
    </row>
    <row r="228" spans="9:10" x14ac:dyDescent="0.25">
      <c r="I228" t="str">
        <f t="shared" si="13"/>
        <v/>
      </c>
      <c r="J228" t="str">
        <f t="shared" si="14"/>
        <v/>
      </c>
    </row>
    <row r="229" spans="9:10" x14ac:dyDescent="0.25">
      <c r="I229" t="str">
        <f t="shared" si="13"/>
        <v/>
      </c>
      <c r="J229" t="str">
        <f t="shared" si="14"/>
        <v/>
      </c>
    </row>
    <row r="230" spans="9:10" x14ac:dyDescent="0.25">
      <c r="I230" t="str">
        <f t="shared" si="13"/>
        <v/>
      </c>
      <c r="J230" t="str">
        <f t="shared" si="14"/>
        <v/>
      </c>
    </row>
    <row r="231" spans="9:10" x14ac:dyDescent="0.25">
      <c r="I231" t="str">
        <f t="shared" si="13"/>
        <v/>
      </c>
      <c r="J231" t="str">
        <f t="shared" si="14"/>
        <v/>
      </c>
    </row>
    <row r="232" spans="9:10" x14ac:dyDescent="0.25">
      <c r="I232" t="str">
        <f t="shared" si="13"/>
        <v/>
      </c>
      <c r="J232" t="str">
        <f t="shared" si="14"/>
        <v/>
      </c>
    </row>
    <row r="233" spans="9:10" x14ac:dyDescent="0.25">
      <c r="I233" t="str">
        <f t="shared" si="13"/>
        <v/>
      </c>
      <c r="J233" t="str">
        <f t="shared" si="14"/>
        <v/>
      </c>
    </row>
    <row r="234" spans="9:10" x14ac:dyDescent="0.25">
      <c r="I234" t="str">
        <f t="shared" si="13"/>
        <v/>
      </c>
      <c r="J234" t="str">
        <f t="shared" si="14"/>
        <v/>
      </c>
    </row>
    <row r="235" spans="9:10" x14ac:dyDescent="0.25">
      <c r="I235" t="str">
        <f t="shared" si="13"/>
        <v/>
      </c>
      <c r="J235" t="str">
        <f t="shared" si="14"/>
        <v/>
      </c>
    </row>
    <row r="236" spans="9:10" x14ac:dyDescent="0.25">
      <c r="I236" t="str">
        <f t="shared" si="13"/>
        <v/>
      </c>
      <c r="J236" t="str">
        <f t="shared" si="14"/>
        <v/>
      </c>
    </row>
    <row r="237" spans="9:10" x14ac:dyDescent="0.25">
      <c r="I237" t="str">
        <f t="shared" si="13"/>
        <v/>
      </c>
      <c r="J237" t="str">
        <f t="shared" si="14"/>
        <v/>
      </c>
    </row>
    <row r="238" spans="9:10" x14ac:dyDescent="0.25">
      <c r="I238" t="str">
        <f t="shared" si="13"/>
        <v/>
      </c>
      <c r="J238" t="str">
        <f t="shared" si="14"/>
        <v/>
      </c>
    </row>
    <row r="239" spans="9:10" x14ac:dyDescent="0.25">
      <c r="I239" t="str">
        <f t="shared" si="13"/>
        <v/>
      </c>
      <c r="J239" t="str">
        <f t="shared" si="14"/>
        <v/>
      </c>
    </row>
    <row r="240" spans="9:10" x14ac:dyDescent="0.25">
      <c r="I240" t="str">
        <f t="shared" si="13"/>
        <v/>
      </c>
      <c r="J240" t="str">
        <f t="shared" si="14"/>
        <v/>
      </c>
    </row>
    <row r="241" spans="9:10" x14ac:dyDescent="0.25">
      <c r="I241" t="str">
        <f t="shared" si="13"/>
        <v/>
      </c>
      <c r="J241" t="str">
        <f t="shared" si="14"/>
        <v/>
      </c>
    </row>
    <row r="242" spans="9:10" x14ac:dyDescent="0.25">
      <c r="I242" t="str">
        <f t="shared" si="13"/>
        <v/>
      </c>
      <c r="J242" t="str">
        <f t="shared" si="14"/>
        <v/>
      </c>
    </row>
    <row r="243" spans="9:10" x14ac:dyDescent="0.25">
      <c r="I243" t="str">
        <f t="shared" si="13"/>
        <v/>
      </c>
      <c r="J243" t="str">
        <f t="shared" si="14"/>
        <v/>
      </c>
    </row>
    <row r="244" spans="9:10" x14ac:dyDescent="0.25">
      <c r="I244" t="str">
        <f t="shared" si="13"/>
        <v/>
      </c>
      <c r="J244" t="str">
        <f t="shared" si="14"/>
        <v/>
      </c>
    </row>
    <row r="245" spans="9:10" x14ac:dyDescent="0.25">
      <c r="I245" t="str">
        <f t="shared" si="13"/>
        <v/>
      </c>
      <c r="J245" t="str">
        <f t="shared" si="14"/>
        <v/>
      </c>
    </row>
    <row r="246" spans="9:10" x14ac:dyDescent="0.25">
      <c r="I246" t="str">
        <f t="shared" si="13"/>
        <v/>
      </c>
      <c r="J246" t="str">
        <f t="shared" si="14"/>
        <v/>
      </c>
    </row>
    <row r="247" spans="9:10" x14ac:dyDescent="0.25">
      <c r="I247" t="str">
        <f t="shared" si="13"/>
        <v/>
      </c>
      <c r="J247" t="str">
        <f t="shared" si="14"/>
        <v/>
      </c>
    </row>
    <row r="248" spans="9:10" x14ac:dyDescent="0.25">
      <c r="I248" t="str">
        <f t="shared" si="13"/>
        <v/>
      </c>
      <c r="J248" t="str">
        <f t="shared" si="14"/>
        <v/>
      </c>
    </row>
    <row r="249" spans="9:10" x14ac:dyDescent="0.25">
      <c r="I249" t="str">
        <f t="shared" si="13"/>
        <v/>
      </c>
      <c r="J249" t="str">
        <f t="shared" si="14"/>
        <v/>
      </c>
    </row>
    <row r="250" spans="9:10" x14ac:dyDescent="0.25">
      <c r="I250" t="str">
        <f t="shared" si="13"/>
        <v/>
      </c>
      <c r="J250" t="str">
        <f t="shared" si="14"/>
        <v/>
      </c>
    </row>
    <row r="251" spans="9:10" x14ac:dyDescent="0.25">
      <c r="I251" t="str">
        <f t="shared" si="13"/>
        <v/>
      </c>
      <c r="J251" t="str">
        <f t="shared" si="14"/>
        <v/>
      </c>
    </row>
    <row r="252" spans="9:10" x14ac:dyDescent="0.25">
      <c r="I252" t="str">
        <f t="shared" si="13"/>
        <v/>
      </c>
      <c r="J252" t="str">
        <f t="shared" si="14"/>
        <v/>
      </c>
    </row>
    <row r="253" spans="9:10" x14ac:dyDescent="0.25">
      <c r="I253" t="str">
        <f t="shared" si="13"/>
        <v/>
      </c>
      <c r="J253" t="str">
        <f t="shared" si="14"/>
        <v/>
      </c>
    </row>
    <row r="254" spans="9:10" x14ac:dyDescent="0.25">
      <c r="I254" t="str">
        <f t="shared" si="13"/>
        <v/>
      </c>
      <c r="J254" t="str">
        <f t="shared" si="14"/>
        <v/>
      </c>
    </row>
    <row r="255" spans="9:10" x14ac:dyDescent="0.25">
      <c r="I255" t="str">
        <f t="shared" si="13"/>
        <v/>
      </c>
      <c r="J255" t="str">
        <f t="shared" si="14"/>
        <v/>
      </c>
    </row>
    <row r="256" spans="9:10" x14ac:dyDescent="0.25">
      <c r="I256" t="str">
        <f t="shared" si="13"/>
        <v/>
      </c>
      <c r="J256" t="str">
        <f t="shared" si="14"/>
        <v/>
      </c>
    </row>
    <row r="257" spans="9:10" x14ac:dyDescent="0.25">
      <c r="I257" t="str">
        <f t="shared" si="13"/>
        <v/>
      </c>
      <c r="J257" t="str">
        <f t="shared" si="14"/>
        <v/>
      </c>
    </row>
    <row r="258" spans="9:10" x14ac:dyDescent="0.25">
      <c r="I258" t="str">
        <f t="shared" ref="I258:I321" si="15">IF(AND(D258&lt;&gt;"",E258&lt;&gt;""),E258-D258,"")</f>
        <v/>
      </c>
      <c r="J258" t="str">
        <f t="shared" ref="J258:J321" si="16">IFERROR((E258-D258)/E258,"")</f>
        <v/>
      </c>
    </row>
    <row r="259" spans="9:10" x14ac:dyDescent="0.25">
      <c r="I259" t="str">
        <f t="shared" si="15"/>
        <v/>
      </c>
      <c r="J259" t="str">
        <f t="shared" si="16"/>
        <v/>
      </c>
    </row>
    <row r="260" spans="9:10" x14ac:dyDescent="0.25">
      <c r="I260" t="str">
        <f t="shared" si="15"/>
        <v/>
      </c>
      <c r="J260" t="str">
        <f t="shared" si="16"/>
        <v/>
      </c>
    </row>
    <row r="261" spans="9:10" x14ac:dyDescent="0.25">
      <c r="I261" t="str">
        <f t="shared" si="15"/>
        <v/>
      </c>
      <c r="J261" t="str">
        <f t="shared" si="16"/>
        <v/>
      </c>
    </row>
    <row r="262" spans="9:10" x14ac:dyDescent="0.25">
      <c r="I262" t="str">
        <f t="shared" si="15"/>
        <v/>
      </c>
      <c r="J262" t="str">
        <f t="shared" si="16"/>
        <v/>
      </c>
    </row>
    <row r="263" spans="9:10" x14ac:dyDescent="0.25">
      <c r="I263" t="str">
        <f t="shared" si="15"/>
        <v/>
      </c>
      <c r="J263" t="str">
        <f t="shared" si="16"/>
        <v/>
      </c>
    </row>
    <row r="264" spans="9:10" x14ac:dyDescent="0.25">
      <c r="I264" t="str">
        <f t="shared" si="15"/>
        <v/>
      </c>
      <c r="J264" t="str">
        <f t="shared" si="16"/>
        <v/>
      </c>
    </row>
    <row r="265" spans="9:10" x14ac:dyDescent="0.25">
      <c r="I265" t="str">
        <f t="shared" si="15"/>
        <v/>
      </c>
      <c r="J265" t="str">
        <f t="shared" si="16"/>
        <v/>
      </c>
    </row>
    <row r="266" spans="9:10" x14ac:dyDescent="0.25">
      <c r="I266" t="str">
        <f t="shared" si="15"/>
        <v/>
      </c>
      <c r="J266" t="str">
        <f t="shared" si="16"/>
        <v/>
      </c>
    </row>
    <row r="267" spans="9:10" x14ac:dyDescent="0.25">
      <c r="I267" t="str">
        <f t="shared" si="15"/>
        <v/>
      </c>
      <c r="J267" t="str">
        <f t="shared" si="16"/>
        <v/>
      </c>
    </row>
    <row r="268" spans="9:10" x14ac:dyDescent="0.25">
      <c r="I268" t="str">
        <f t="shared" si="15"/>
        <v/>
      </c>
      <c r="J268" t="str">
        <f t="shared" si="16"/>
        <v/>
      </c>
    </row>
    <row r="269" spans="9:10" x14ac:dyDescent="0.25">
      <c r="I269" t="str">
        <f t="shared" si="15"/>
        <v/>
      </c>
      <c r="J269" t="str">
        <f t="shared" si="16"/>
        <v/>
      </c>
    </row>
    <row r="270" spans="9:10" x14ac:dyDescent="0.25">
      <c r="I270" t="str">
        <f t="shared" si="15"/>
        <v/>
      </c>
      <c r="J270" t="str">
        <f t="shared" si="16"/>
        <v/>
      </c>
    </row>
    <row r="271" spans="9:10" x14ac:dyDescent="0.25">
      <c r="I271" t="str">
        <f t="shared" si="15"/>
        <v/>
      </c>
      <c r="J271" t="str">
        <f t="shared" si="16"/>
        <v/>
      </c>
    </row>
    <row r="272" spans="9:10" x14ac:dyDescent="0.25">
      <c r="I272" t="str">
        <f t="shared" si="15"/>
        <v/>
      </c>
      <c r="J272" t="str">
        <f t="shared" si="16"/>
        <v/>
      </c>
    </row>
    <row r="273" spans="9:10" x14ac:dyDescent="0.25">
      <c r="I273" t="str">
        <f t="shared" si="15"/>
        <v/>
      </c>
      <c r="J273" t="str">
        <f t="shared" si="16"/>
        <v/>
      </c>
    </row>
    <row r="274" spans="9:10" x14ac:dyDescent="0.25">
      <c r="I274" t="str">
        <f t="shared" si="15"/>
        <v/>
      </c>
      <c r="J274" t="str">
        <f t="shared" si="16"/>
        <v/>
      </c>
    </row>
    <row r="275" spans="9:10" x14ac:dyDescent="0.25">
      <c r="I275" t="str">
        <f t="shared" si="15"/>
        <v/>
      </c>
      <c r="J275" t="str">
        <f t="shared" si="16"/>
        <v/>
      </c>
    </row>
    <row r="276" spans="9:10" x14ac:dyDescent="0.25">
      <c r="I276" t="str">
        <f t="shared" si="15"/>
        <v/>
      </c>
      <c r="J276" t="str">
        <f t="shared" si="16"/>
        <v/>
      </c>
    </row>
    <row r="277" spans="9:10" x14ac:dyDescent="0.25">
      <c r="I277" t="str">
        <f t="shared" si="15"/>
        <v/>
      </c>
      <c r="J277" t="str">
        <f t="shared" si="16"/>
        <v/>
      </c>
    </row>
    <row r="278" spans="9:10" x14ac:dyDescent="0.25">
      <c r="I278" t="str">
        <f t="shared" si="15"/>
        <v/>
      </c>
      <c r="J278" t="str">
        <f t="shared" si="16"/>
        <v/>
      </c>
    </row>
    <row r="279" spans="9:10" x14ac:dyDescent="0.25">
      <c r="I279" t="str">
        <f t="shared" si="15"/>
        <v/>
      </c>
      <c r="J279" t="str">
        <f t="shared" si="16"/>
        <v/>
      </c>
    </row>
    <row r="280" spans="9:10" x14ac:dyDescent="0.25">
      <c r="I280" t="str">
        <f t="shared" si="15"/>
        <v/>
      </c>
      <c r="J280" t="str">
        <f t="shared" si="16"/>
        <v/>
      </c>
    </row>
    <row r="281" spans="9:10" x14ac:dyDescent="0.25">
      <c r="I281" t="str">
        <f t="shared" si="15"/>
        <v/>
      </c>
      <c r="J281" t="str">
        <f t="shared" si="16"/>
        <v/>
      </c>
    </row>
    <row r="282" spans="9:10" x14ac:dyDescent="0.25">
      <c r="I282" t="str">
        <f t="shared" si="15"/>
        <v/>
      </c>
      <c r="J282" t="str">
        <f t="shared" si="16"/>
        <v/>
      </c>
    </row>
    <row r="283" spans="9:10" x14ac:dyDescent="0.25">
      <c r="I283" t="str">
        <f t="shared" si="15"/>
        <v/>
      </c>
      <c r="J283" t="str">
        <f t="shared" si="16"/>
        <v/>
      </c>
    </row>
    <row r="284" spans="9:10" x14ac:dyDescent="0.25">
      <c r="I284" t="str">
        <f t="shared" si="15"/>
        <v/>
      </c>
      <c r="J284" t="str">
        <f t="shared" si="16"/>
        <v/>
      </c>
    </row>
    <row r="285" spans="9:10" x14ac:dyDescent="0.25">
      <c r="I285" t="str">
        <f t="shared" si="15"/>
        <v/>
      </c>
      <c r="J285" t="str">
        <f t="shared" si="16"/>
        <v/>
      </c>
    </row>
    <row r="286" spans="9:10" x14ac:dyDescent="0.25">
      <c r="I286" t="str">
        <f t="shared" si="15"/>
        <v/>
      </c>
      <c r="J286" t="str">
        <f t="shared" si="16"/>
        <v/>
      </c>
    </row>
    <row r="287" spans="9:10" x14ac:dyDescent="0.25">
      <c r="I287" t="str">
        <f t="shared" si="15"/>
        <v/>
      </c>
      <c r="J287" t="str">
        <f t="shared" si="16"/>
        <v/>
      </c>
    </row>
    <row r="288" spans="9:10" x14ac:dyDescent="0.25">
      <c r="I288" t="str">
        <f t="shared" si="15"/>
        <v/>
      </c>
      <c r="J288" t="str">
        <f t="shared" si="16"/>
        <v/>
      </c>
    </row>
    <row r="289" spans="9:10" x14ac:dyDescent="0.25">
      <c r="I289" t="str">
        <f t="shared" si="15"/>
        <v/>
      </c>
      <c r="J289" t="str">
        <f t="shared" si="16"/>
        <v/>
      </c>
    </row>
    <row r="290" spans="9:10" x14ac:dyDescent="0.25">
      <c r="I290" t="str">
        <f t="shared" si="15"/>
        <v/>
      </c>
      <c r="J290" t="str">
        <f t="shared" si="16"/>
        <v/>
      </c>
    </row>
    <row r="291" spans="9:10" x14ac:dyDescent="0.25">
      <c r="I291" t="str">
        <f t="shared" si="15"/>
        <v/>
      </c>
      <c r="J291" t="str">
        <f t="shared" si="16"/>
        <v/>
      </c>
    </row>
    <row r="292" spans="9:10" x14ac:dyDescent="0.25">
      <c r="I292" t="str">
        <f t="shared" si="15"/>
        <v/>
      </c>
      <c r="J292" t="str">
        <f t="shared" si="16"/>
        <v/>
      </c>
    </row>
    <row r="293" spans="9:10" x14ac:dyDescent="0.25">
      <c r="I293" t="str">
        <f t="shared" si="15"/>
        <v/>
      </c>
      <c r="J293" t="str">
        <f t="shared" si="16"/>
        <v/>
      </c>
    </row>
    <row r="294" spans="9:10" x14ac:dyDescent="0.25">
      <c r="I294" t="str">
        <f t="shared" si="15"/>
        <v/>
      </c>
      <c r="J294" t="str">
        <f t="shared" si="16"/>
        <v/>
      </c>
    </row>
    <row r="295" spans="9:10" x14ac:dyDescent="0.25">
      <c r="I295" t="str">
        <f t="shared" si="15"/>
        <v/>
      </c>
      <c r="J295" t="str">
        <f t="shared" si="16"/>
        <v/>
      </c>
    </row>
    <row r="296" spans="9:10" x14ac:dyDescent="0.25">
      <c r="I296" t="str">
        <f t="shared" si="15"/>
        <v/>
      </c>
      <c r="J296" t="str">
        <f t="shared" si="16"/>
        <v/>
      </c>
    </row>
    <row r="297" spans="9:10" x14ac:dyDescent="0.25">
      <c r="I297" t="str">
        <f t="shared" si="15"/>
        <v/>
      </c>
      <c r="J297" t="str">
        <f t="shared" si="16"/>
        <v/>
      </c>
    </row>
    <row r="298" spans="9:10" x14ac:dyDescent="0.25">
      <c r="I298" t="str">
        <f t="shared" si="15"/>
        <v/>
      </c>
      <c r="J298" t="str">
        <f t="shared" si="16"/>
        <v/>
      </c>
    </row>
    <row r="299" spans="9:10" x14ac:dyDescent="0.25">
      <c r="I299" t="str">
        <f t="shared" si="15"/>
        <v/>
      </c>
      <c r="J299" t="str">
        <f t="shared" si="16"/>
        <v/>
      </c>
    </row>
    <row r="300" spans="9:10" x14ac:dyDescent="0.25">
      <c r="I300" t="str">
        <f t="shared" si="15"/>
        <v/>
      </c>
      <c r="J300" t="str">
        <f t="shared" si="16"/>
        <v/>
      </c>
    </row>
    <row r="301" spans="9:10" x14ac:dyDescent="0.25">
      <c r="I301" t="str">
        <f t="shared" si="15"/>
        <v/>
      </c>
      <c r="J301" t="str">
        <f t="shared" si="16"/>
        <v/>
      </c>
    </row>
    <row r="302" spans="9:10" x14ac:dyDescent="0.25">
      <c r="I302" t="str">
        <f t="shared" si="15"/>
        <v/>
      </c>
      <c r="J302" t="str">
        <f t="shared" si="16"/>
        <v/>
      </c>
    </row>
    <row r="303" spans="9:10" x14ac:dyDescent="0.25">
      <c r="I303" t="str">
        <f t="shared" si="15"/>
        <v/>
      </c>
      <c r="J303" t="str">
        <f t="shared" si="16"/>
        <v/>
      </c>
    </row>
    <row r="304" spans="9:10" x14ac:dyDescent="0.25">
      <c r="I304" t="str">
        <f t="shared" si="15"/>
        <v/>
      </c>
      <c r="J304" t="str">
        <f t="shared" si="16"/>
        <v/>
      </c>
    </row>
    <row r="305" spans="9:10" x14ac:dyDescent="0.25">
      <c r="I305" t="str">
        <f t="shared" si="15"/>
        <v/>
      </c>
      <c r="J305" t="str">
        <f t="shared" si="16"/>
        <v/>
      </c>
    </row>
    <row r="306" spans="9:10" x14ac:dyDescent="0.25">
      <c r="I306" t="str">
        <f t="shared" si="15"/>
        <v/>
      </c>
      <c r="J306" t="str">
        <f t="shared" si="16"/>
        <v/>
      </c>
    </row>
    <row r="307" spans="9:10" x14ac:dyDescent="0.25">
      <c r="I307" t="str">
        <f t="shared" si="15"/>
        <v/>
      </c>
      <c r="J307" t="str">
        <f t="shared" si="16"/>
        <v/>
      </c>
    </row>
    <row r="308" spans="9:10" x14ac:dyDescent="0.25">
      <c r="I308" t="str">
        <f t="shared" si="15"/>
        <v/>
      </c>
      <c r="J308" t="str">
        <f t="shared" si="16"/>
        <v/>
      </c>
    </row>
    <row r="309" spans="9:10" x14ac:dyDescent="0.25">
      <c r="I309" t="str">
        <f t="shared" si="15"/>
        <v/>
      </c>
      <c r="J309" t="str">
        <f t="shared" si="16"/>
        <v/>
      </c>
    </row>
    <row r="310" spans="9:10" x14ac:dyDescent="0.25">
      <c r="I310" t="str">
        <f t="shared" si="15"/>
        <v/>
      </c>
      <c r="J310" t="str">
        <f t="shared" si="16"/>
        <v/>
      </c>
    </row>
    <row r="311" spans="9:10" x14ac:dyDescent="0.25">
      <c r="I311" t="str">
        <f t="shared" si="15"/>
        <v/>
      </c>
      <c r="J311" t="str">
        <f t="shared" si="16"/>
        <v/>
      </c>
    </row>
    <row r="312" spans="9:10" x14ac:dyDescent="0.25">
      <c r="I312" t="str">
        <f t="shared" si="15"/>
        <v/>
      </c>
      <c r="J312" t="str">
        <f t="shared" si="16"/>
        <v/>
      </c>
    </row>
    <row r="313" spans="9:10" x14ac:dyDescent="0.25">
      <c r="I313" t="str">
        <f t="shared" si="15"/>
        <v/>
      </c>
      <c r="J313" t="str">
        <f t="shared" si="16"/>
        <v/>
      </c>
    </row>
    <row r="314" spans="9:10" x14ac:dyDescent="0.25">
      <c r="I314" t="str">
        <f t="shared" si="15"/>
        <v/>
      </c>
      <c r="J314" t="str">
        <f t="shared" si="16"/>
        <v/>
      </c>
    </row>
    <row r="315" spans="9:10" x14ac:dyDescent="0.25">
      <c r="I315" t="str">
        <f t="shared" si="15"/>
        <v/>
      </c>
      <c r="J315" t="str">
        <f t="shared" si="16"/>
        <v/>
      </c>
    </row>
    <row r="316" spans="9:10" x14ac:dyDescent="0.25">
      <c r="I316" t="str">
        <f t="shared" si="15"/>
        <v/>
      </c>
      <c r="J316" t="str">
        <f t="shared" si="16"/>
        <v/>
      </c>
    </row>
    <row r="317" spans="9:10" x14ac:dyDescent="0.25">
      <c r="I317" t="str">
        <f t="shared" si="15"/>
        <v/>
      </c>
      <c r="J317" t="str">
        <f t="shared" si="16"/>
        <v/>
      </c>
    </row>
    <row r="318" spans="9:10" x14ac:dyDescent="0.25">
      <c r="I318" t="str">
        <f t="shared" si="15"/>
        <v/>
      </c>
      <c r="J318" t="str">
        <f t="shared" si="16"/>
        <v/>
      </c>
    </row>
    <row r="319" spans="9:10" x14ac:dyDescent="0.25">
      <c r="I319" t="str">
        <f t="shared" si="15"/>
        <v/>
      </c>
      <c r="J319" t="str">
        <f t="shared" si="16"/>
        <v/>
      </c>
    </row>
    <row r="320" spans="9:10" x14ac:dyDescent="0.25">
      <c r="I320" t="str">
        <f t="shared" si="15"/>
        <v/>
      </c>
      <c r="J320" t="str">
        <f t="shared" si="16"/>
        <v/>
      </c>
    </row>
    <row r="321" spans="9:10" x14ac:dyDescent="0.25">
      <c r="I321" t="str">
        <f t="shared" si="15"/>
        <v/>
      </c>
      <c r="J321" t="str">
        <f t="shared" si="16"/>
        <v/>
      </c>
    </row>
    <row r="322" spans="9:10" x14ac:dyDescent="0.25">
      <c r="I322" t="str">
        <f t="shared" ref="I322:I385" si="17">IF(AND(D322&lt;&gt;"",E322&lt;&gt;""),E322-D322,"")</f>
        <v/>
      </c>
      <c r="J322" t="str">
        <f t="shared" ref="J322:J385" si="18">IFERROR((E322-D322)/E322,"")</f>
        <v/>
      </c>
    </row>
    <row r="323" spans="9:10" x14ac:dyDescent="0.25">
      <c r="I323" t="str">
        <f t="shared" si="17"/>
        <v/>
      </c>
      <c r="J323" t="str">
        <f t="shared" si="18"/>
        <v/>
      </c>
    </row>
    <row r="324" spans="9:10" x14ac:dyDescent="0.25">
      <c r="I324" t="str">
        <f t="shared" si="17"/>
        <v/>
      </c>
      <c r="J324" t="str">
        <f t="shared" si="18"/>
        <v/>
      </c>
    </row>
    <row r="325" spans="9:10" x14ac:dyDescent="0.25">
      <c r="I325" t="str">
        <f t="shared" si="17"/>
        <v/>
      </c>
      <c r="J325" t="str">
        <f t="shared" si="18"/>
        <v/>
      </c>
    </row>
    <row r="326" spans="9:10" x14ac:dyDescent="0.25">
      <c r="I326" t="str">
        <f t="shared" si="17"/>
        <v/>
      </c>
      <c r="J326" t="str">
        <f t="shared" si="18"/>
        <v/>
      </c>
    </row>
    <row r="327" spans="9:10" x14ac:dyDescent="0.25">
      <c r="I327" t="str">
        <f t="shared" si="17"/>
        <v/>
      </c>
      <c r="J327" t="str">
        <f t="shared" si="18"/>
        <v/>
      </c>
    </row>
    <row r="328" spans="9:10" x14ac:dyDescent="0.25">
      <c r="I328" t="str">
        <f t="shared" si="17"/>
        <v/>
      </c>
      <c r="J328" t="str">
        <f t="shared" si="18"/>
        <v/>
      </c>
    </row>
    <row r="329" spans="9:10" x14ac:dyDescent="0.25">
      <c r="I329" t="str">
        <f t="shared" si="17"/>
        <v/>
      </c>
      <c r="J329" t="str">
        <f t="shared" si="18"/>
        <v/>
      </c>
    </row>
    <row r="330" spans="9:10" x14ac:dyDescent="0.25">
      <c r="I330" t="str">
        <f t="shared" si="17"/>
        <v/>
      </c>
      <c r="J330" t="str">
        <f t="shared" si="18"/>
        <v/>
      </c>
    </row>
    <row r="331" spans="9:10" x14ac:dyDescent="0.25">
      <c r="I331" t="str">
        <f t="shared" si="17"/>
        <v/>
      </c>
      <c r="J331" t="str">
        <f t="shared" si="18"/>
        <v/>
      </c>
    </row>
    <row r="332" spans="9:10" x14ac:dyDescent="0.25">
      <c r="I332" t="str">
        <f t="shared" si="17"/>
        <v/>
      </c>
      <c r="J332" t="str">
        <f t="shared" si="18"/>
        <v/>
      </c>
    </row>
    <row r="333" spans="9:10" x14ac:dyDescent="0.25">
      <c r="I333" t="str">
        <f t="shared" si="17"/>
        <v/>
      </c>
      <c r="J333" t="str">
        <f t="shared" si="18"/>
        <v/>
      </c>
    </row>
    <row r="334" spans="9:10" x14ac:dyDescent="0.25">
      <c r="I334" t="str">
        <f t="shared" si="17"/>
        <v/>
      </c>
      <c r="J334" t="str">
        <f t="shared" si="18"/>
        <v/>
      </c>
    </row>
    <row r="335" spans="9:10" x14ac:dyDescent="0.25">
      <c r="I335" t="str">
        <f t="shared" si="17"/>
        <v/>
      </c>
      <c r="J335" t="str">
        <f t="shared" si="18"/>
        <v/>
      </c>
    </row>
    <row r="336" spans="9:10" x14ac:dyDescent="0.25">
      <c r="I336" t="str">
        <f t="shared" si="17"/>
        <v/>
      </c>
      <c r="J336" t="str">
        <f t="shared" si="18"/>
        <v/>
      </c>
    </row>
    <row r="337" spans="9:10" x14ac:dyDescent="0.25">
      <c r="I337" t="str">
        <f t="shared" si="17"/>
        <v/>
      </c>
      <c r="J337" t="str">
        <f t="shared" si="18"/>
        <v/>
      </c>
    </row>
    <row r="338" spans="9:10" x14ac:dyDescent="0.25">
      <c r="I338" t="str">
        <f t="shared" si="17"/>
        <v/>
      </c>
      <c r="J338" t="str">
        <f t="shared" si="18"/>
        <v/>
      </c>
    </row>
    <row r="339" spans="9:10" x14ac:dyDescent="0.25">
      <c r="I339" t="str">
        <f t="shared" si="17"/>
        <v/>
      </c>
      <c r="J339" t="str">
        <f t="shared" si="18"/>
        <v/>
      </c>
    </row>
    <row r="340" spans="9:10" x14ac:dyDescent="0.25">
      <c r="I340" t="str">
        <f t="shared" si="17"/>
        <v/>
      </c>
      <c r="J340" t="str">
        <f t="shared" si="18"/>
        <v/>
      </c>
    </row>
    <row r="341" spans="9:10" x14ac:dyDescent="0.25">
      <c r="I341" t="str">
        <f t="shared" si="17"/>
        <v/>
      </c>
      <c r="J341" t="str">
        <f t="shared" si="18"/>
        <v/>
      </c>
    </row>
    <row r="342" spans="9:10" x14ac:dyDescent="0.25">
      <c r="I342" t="str">
        <f t="shared" si="17"/>
        <v/>
      </c>
      <c r="J342" t="str">
        <f t="shared" si="18"/>
        <v/>
      </c>
    </row>
    <row r="343" spans="9:10" x14ac:dyDescent="0.25">
      <c r="I343" t="str">
        <f t="shared" si="17"/>
        <v/>
      </c>
      <c r="J343" t="str">
        <f t="shared" si="18"/>
        <v/>
      </c>
    </row>
    <row r="344" spans="9:10" x14ac:dyDescent="0.25">
      <c r="I344" t="str">
        <f t="shared" si="17"/>
        <v/>
      </c>
      <c r="J344" t="str">
        <f t="shared" si="18"/>
        <v/>
      </c>
    </row>
    <row r="345" spans="9:10" x14ac:dyDescent="0.25">
      <c r="I345" t="str">
        <f t="shared" si="17"/>
        <v/>
      </c>
      <c r="J345" t="str">
        <f t="shared" si="18"/>
        <v/>
      </c>
    </row>
    <row r="346" spans="9:10" x14ac:dyDescent="0.25">
      <c r="I346" t="str">
        <f t="shared" si="17"/>
        <v/>
      </c>
      <c r="J346" t="str">
        <f t="shared" si="18"/>
        <v/>
      </c>
    </row>
    <row r="347" spans="9:10" x14ac:dyDescent="0.25">
      <c r="I347" t="str">
        <f t="shared" si="17"/>
        <v/>
      </c>
      <c r="J347" t="str">
        <f t="shared" si="18"/>
        <v/>
      </c>
    </row>
    <row r="348" spans="9:10" x14ac:dyDescent="0.25">
      <c r="I348" t="str">
        <f t="shared" si="17"/>
        <v/>
      </c>
      <c r="J348" t="str">
        <f t="shared" si="18"/>
        <v/>
      </c>
    </row>
    <row r="349" spans="9:10" x14ac:dyDescent="0.25">
      <c r="I349" t="str">
        <f t="shared" si="17"/>
        <v/>
      </c>
      <c r="J349" t="str">
        <f t="shared" si="18"/>
        <v/>
      </c>
    </row>
    <row r="350" spans="9:10" x14ac:dyDescent="0.25">
      <c r="I350" t="str">
        <f t="shared" si="17"/>
        <v/>
      </c>
      <c r="J350" t="str">
        <f t="shared" si="18"/>
        <v/>
      </c>
    </row>
    <row r="351" spans="9:10" x14ac:dyDescent="0.25">
      <c r="I351" t="str">
        <f t="shared" si="17"/>
        <v/>
      </c>
      <c r="J351" t="str">
        <f t="shared" si="18"/>
        <v/>
      </c>
    </row>
    <row r="352" spans="9:10" x14ac:dyDescent="0.25">
      <c r="I352" t="str">
        <f t="shared" si="17"/>
        <v/>
      </c>
      <c r="J352" t="str">
        <f t="shared" si="18"/>
        <v/>
      </c>
    </row>
    <row r="353" spans="9:10" x14ac:dyDescent="0.25">
      <c r="I353" t="str">
        <f t="shared" si="17"/>
        <v/>
      </c>
      <c r="J353" t="str">
        <f t="shared" si="18"/>
        <v/>
      </c>
    </row>
    <row r="354" spans="9:10" x14ac:dyDescent="0.25">
      <c r="I354" t="str">
        <f t="shared" si="17"/>
        <v/>
      </c>
      <c r="J354" t="str">
        <f t="shared" si="18"/>
        <v/>
      </c>
    </row>
    <row r="355" spans="9:10" x14ac:dyDescent="0.25">
      <c r="I355" t="str">
        <f t="shared" si="17"/>
        <v/>
      </c>
      <c r="J355" t="str">
        <f t="shared" si="18"/>
        <v/>
      </c>
    </row>
    <row r="356" spans="9:10" x14ac:dyDescent="0.25">
      <c r="I356" t="str">
        <f t="shared" si="17"/>
        <v/>
      </c>
      <c r="J356" t="str">
        <f t="shared" si="18"/>
        <v/>
      </c>
    </row>
    <row r="357" spans="9:10" x14ac:dyDescent="0.25">
      <c r="I357" t="str">
        <f t="shared" si="17"/>
        <v/>
      </c>
      <c r="J357" t="str">
        <f t="shared" si="18"/>
        <v/>
      </c>
    </row>
    <row r="358" spans="9:10" x14ac:dyDescent="0.25">
      <c r="I358" t="str">
        <f t="shared" si="17"/>
        <v/>
      </c>
      <c r="J358" t="str">
        <f t="shared" si="18"/>
        <v/>
      </c>
    </row>
    <row r="359" spans="9:10" x14ac:dyDescent="0.25">
      <c r="I359" t="str">
        <f t="shared" si="17"/>
        <v/>
      </c>
      <c r="J359" t="str">
        <f t="shared" si="18"/>
        <v/>
      </c>
    </row>
    <row r="360" spans="9:10" x14ac:dyDescent="0.25">
      <c r="I360" t="str">
        <f t="shared" si="17"/>
        <v/>
      </c>
      <c r="J360" t="str">
        <f t="shared" si="18"/>
        <v/>
      </c>
    </row>
    <row r="361" spans="9:10" x14ac:dyDescent="0.25">
      <c r="I361" t="str">
        <f t="shared" si="17"/>
        <v/>
      </c>
      <c r="J361" t="str">
        <f t="shared" si="18"/>
        <v/>
      </c>
    </row>
    <row r="362" spans="9:10" x14ac:dyDescent="0.25">
      <c r="I362" t="str">
        <f t="shared" si="17"/>
        <v/>
      </c>
      <c r="J362" t="str">
        <f t="shared" si="18"/>
        <v/>
      </c>
    </row>
    <row r="363" spans="9:10" x14ac:dyDescent="0.25">
      <c r="I363" t="str">
        <f t="shared" si="17"/>
        <v/>
      </c>
      <c r="J363" t="str">
        <f t="shared" si="18"/>
        <v/>
      </c>
    </row>
    <row r="364" spans="9:10" x14ac:dyDescent="0.25">
      <c r="I364" t="str">
        <f t="shared" si="17"/>
        <v/>
      </c>
      <c r="J364" t="str">
        <f t="shared" si="18"/>
        <v/>
      </c>
    </row>
    <row r="365" spans="9:10" x14ac:dyDescent="0.25">
      <c r="I365" t="str">
        <f t="shared" si="17"/>
        <v/>
      </c>
      <c r="J365" t="str">
        <f t="shared" si="18"/>
        <v/>
      </c>
    </row>
    <row r="366" spans="9:10" x14ac:dyDescent="0.25">
      <c r="I366" t="str">
        <f t="shared" si="17"/>
        <v/>
      </c>
      <c r="J366" t="str">
        <f t="shared" si="18"/>
        <v/>
      </c>
    </row>
    <row r="367" spans="9:10" x14ac:dyDescent="0.25">
      <c r="I367" t="str">
        <f t="shared" si="17"/>
        <v/>
      </c>
      <c r="J367" t="str">
        <f t="shared" si="18"/>
        <v/>
      </c>
    </row>
    <row r="368" spans="9:10" x14ac:dyDescent="0.25">
      <c r="I368" t="str">
        <f t="shared" si="17"/>
        <v/>
      </c>
      <c r="J368" t="str">
        <f t="shared" si="18"/>
        <v/>
      </c>
    </row>
    <row r="369" spans="9:10" x14ac:dyDescent="0.25">
      <c r="I369" t="str">
        <f t="shared" si="17"/>
        <v/>
      </c>
      <c r="J369" t="str">
        <f t="shared" si="18"/>
        <v/>
      </c>
    </row>
    <row r="370" spans="9:10" x14ac:dyDescent="0.25">
      <c r="I370" t="str">
        <f t="shared" si="17"/>
        <v/>
      </c>
      <c r="J370" t="str">
        <f t="shared" si="18"/>
        <v/>
      </c>
    </row>
    <row r="371" spans="9:10" x14ac:dyDescent="0.25">
      <c r="I371" t="str">
        <f t="shared" si="17"/>
        <v/>
      </c>
      <c r="J371" t="str">
        <f t="shared" si="18"/>
        <v/>
      </c>
    </row>
    <row r="372" spans="9:10" x14ac:dyDescent="0.25">
      <c r="I372" t="str">
        <f t="shared" si="17"/>
        <v/>
      </c>
      <c r="J372" t="str">
        <f t="shared" si="18"/>
        <v/>
      </c>
    </row>
    <row r="373" spans="9:10" x14ac:dyDescent="0.25">
      <c r="I373" t="str">
        <f t="shared" si="17"/>
        <v/>
      </c>
      <c r="J373" t="str">
        <f t="shared" si="18"/>
        <v/>
      </c>
    </row>
    <row r="374" spans="9:10" x14ac:dyDescent="0.25">
      <c r="I374" t="str">
        <f t="shared" si="17"/>
        <v/>
      </c>
      <c r="J374" t="str">
        <f t="shared" si="18"/>
        <v/>
      </c>
    </row>
    <row r="375" spans="9:10" x14ac:dyDescent="0.25">
      <c r="I375" t="str">
        <f t="shared" si="17"/>
        <v/>
      </c>
      <c r="J375" t="str">
        <f t="shared" si="18"/>
        <v/>
      </c>
    </row>
    <row r="376" spans="9:10" x14ac:dyDescent="0.25">
      <c r="I376" t="str">
        <f t="shared" si="17"/>
        <v/>
      </c>
      <c r="J376" t="str">
        <f t="shared" si="18"/>
        <v/>
      </c>
    </row>
    <row r="377" spans="9:10" x14ac:dyDescent="0.25">
      <c r="I377" t="str">
        <f t="shared" si="17"/>
        <v/>
      </c>
      <c r="J377" t="str">
        <f t="shared" si="18"/>
        <v/>
      </c>
    </row>
    <row r="378" spans="9:10" x14ac:dyDescent="0.25">
      <c r="I378" t="str">
        <f t="shared" si="17"/>
        <v/>
      </c>
      <c r="J378" t="str">
        <f t="shared" si="18"/>
        <v/>
      </c>
    </row>
    <row r="379" spans="9:10" x14ac:dyDescent="0.25">
      <c r="I379" t="str">
        <f t="shared" si="17"/>
        <v/>
      </c>
      <c r="J379" t="str">
        <f t="shared" si="18"/>
        <v/>
      </c>
    </row>
    <row r="380" spans="9:10" x14ac:dyDescent="0.25">
      <c r="I380" t="str">
        <f t="shared" si="17"/>
        <v/>
      </c>
      <c r="J380" t="str">
        <f t="shared" si="18"/>
        <v/>
      </c>
    </row>
    <row r="381" spans="9:10" x14ac:dyDescent="0.25">
      <c r="I381" t="str">
        <f t="shared" si="17"/>
        <v/>
      </c>
      <c r="J381" t="str">
        <f t="shared" si="18"/>
        <v/>
      </c>
    </row>
    <row r="382" spans="9:10" x14ac:dyDescent="0.25">
      <c r="I382" t="str">
        <f t="shared" si="17"/>
        <v/>
      </c>
      <c r="J382" t="str">
        <f t="shared" si="18"/>
        <v/>
      </c>
    </row>
    <row r="383" spans="9:10" x14ac:dyDescent="0.25">
      <c r="I383" t="str">
        <f t="shared" si="17"/>
        <v/>
      </c>
      <c r="J383" t="str">
        <f t="shared" si="18"/>
        <v/>
      </c>
    </row>
    <row r="384" spans="9:10" x14ac:dyDescent="0.25">
      <c r="I384" t="str">
        <f t="shared" si="17"/>
        <v/>
      </c>
      <c r="J384" t="str">
        <f t="shared" si="18"/>
        <v/>
      </c>
    </row>
    <row r="385" spans="9:10" x14ac:dyDescent="0.25">
      <c r="I385" t="str">
        <f t="shared" si="17"/>
        <v/>
      </c>
      <c r="J385" t="str">
        <f t="shared" si="18"/>
        <v/>
      </c>
    </row>
    <row r="386" spans="9:10" x14ac:dyDescent="0.25">
      <c r="I386" t="str">
        <f t="shared" ref="I386:I449" si="19">IF(AND(D386&lt;&gt;"",E386&lt;&gt;""),E386-D386,"")</f>
        <v/>
      </c>
      <c r="J386" t="str">
        <f t="shared" ref="J386:J449" si="20">IFERROR((E386-D386)/E386,"")</f>
        <v/>
      </c>
    </row>
    <row r="387" spans="9:10" x14ac:dyDescent="0.25">
      <c r="I387" t="str">
        <f t="shared" si="19"/>
        <v/>
      </c>
      <c r="J387" t="str">
        <f t="shared" si="20"/>
        <v/>
      </c>
    </row>
    <row r="388" spans="9:10" x14ac:dyDescent="0.25">
      <c r="I388" t="str">
        <f t="shared" si="19"/>
        <v/>
      </c>
      <c r="J388" t="str">
        <f t="shared" si="20"/>
        <v/>
      </c>
    </row>
    <row r="389" spans="9:10" x14ac:dyDescent="0.25">
      <c r="I389" t="str">
        <f t="shared" si="19"/>
        <v/>
      </c>
      <c r="J389" t="str">
        <f t="shared" si="20"/>
        <v/>
      </c>
    </row>
    <row r="390" spans="9:10" x14ac:dyDescent="0.25">
      <c r="I390" t="str">
        <f t="shared" si="19"/>
        <v/>
      </c>
      <c r="J390" t="str">
        <f t="shared" si="20"/>
        <v/>
      </c>
    </row>
    <row r="391" spans="9:10" x14ac:dyDescent="0.25">
      <c r="I391" t="str">
        <f t="shared" si="19"/>
        <v/>
      </c>
      <c r="J391" t="str">
        <f t="shared" si="20"/>
        <v/>
      </c>
    </row>
    <row r="392" spans="9:10" x14ac:dyDescent="0.25">
      <c r="I392" t="str">
        <f t="shared" si="19"/>
        <v/>
      </c>
      <c r="J392" t="str">
        <f t="shared" si="20"/>
        <v/>
      </c>
    </row>
    <row r="393" spans="9:10" x14ac:dyDescent="0.25">
      <c r="I393" t="str">
        <f t="shared" si="19"/>
        <v/>
      </c>
      <c r="J393" t="str">
        <f t="shared" si="20"/>
        <v/>
      </c>
    </row>
    <row r="394" spans="9:10" x14ac:dyDescent="0.25">
      <c r="I394" t="str">
        <f t="shared" si="19"/>
        <v/>
      </c>
      <c r="J394" t="str">
        <f t="shared" si="20"/>
        <v/>
      </c>
    </row>
    <row r="395" spans="9:10" x14ac:dyDescent="0.25">
      <c r="I395" t="str">
        <f t="shared" si="19"/>
        <v/>
      </c>
      <c r="J395" t="str">
        <f t="shared" si="20"/>
        <v/>
      </c>
    </row>
    <row r="396" spans="9:10" x14ac:dyDescent="0.25">
      <c r="I396" t="str">
        <f t="shared" si="19"/>
        <v/>
      </c>
      <c r="J396" t="str">
        <f t="shared" si="20"/>
        <v/>
      </c>
    </row>
    <row r="397" spans="9:10" x14ac:dyDescent="0.25">
      <c r="I397" t="str">
        <f t="shared" si="19"/>
        <v/>
      </c>
      <c r="J397" t="str">
        <f t="shared" si="20"/>
        <v/>
      </c>
    </row>
    <row r="398" spans="9:10" x14ac:dyDescent="0.25">
      <c r="I398" t="str">
        <f t="shared" si="19"/>
        <v/>
      </c>
      <c r="J398" t="str">
        <f t="shared" si="20"/>
        <v/>
      </c>
    </row>
    <row r="399" spans="9:10" x14ac:dyDescent="0.25">
      <c r="I399" t="str">
        <f t="shared" si="19"/>
        <v/>
      </c>
      <c r="J399" t="str">
        <f t="shared" si="20"/>
        <v/>
      </c>
    </row>
    <row r="400" spans="9:10" x14ac:dyDescent="0.25">
      <c r="I400" t="str">
        <f t="shared" si="19"/>
        <v/>
      </c>
      <c r="J400" t="str">
        <f t="shared" si="20"/>
        <v/>
      </c>
    </row>
    <row r="401" spans="9:10" x14ac:dyDescent="0.25">
      <c r="I401" t="str">
        <f t="shared" si="19"/>
        <v/>
      </c>
      <c r="J401" t="str">
        <f t="shared" si="20"/>
        <v/>
      </c>
    </row>
    <row r="402" spans="9:10" x14ac:dyDescent="0.25">
      <c r="I402" t="str">
        <f t="shared" si="19"/>
        <v/>
      </c>
      <c r="J402" t="str">
        <f t="shared" si="20"/>
        <v/>
      </c>
    </row>
    <row r="403" spans="9:10" x14ac:dyDescent="0.25">
      <c r="I403" t="str">
        <f t="shared" si="19"/>
        <v/>
      </c>
      <c r="J403" t="str">
        <f t="shared" si="20"/>
        <v/>
      </c>
    </row>
    <row r="404" spans="9:10" x14ac:dyDescent="0.25">
      <c r="I404" t="str">
        <f t="shared" si="19"/>
        <v/>
      </c>
      <c r="J404" t="str">
        <f t="shared" si="20"/>
        <v/>
      </c>
    </row>
    <row r="405" spans="9:10" x14ac:dyDescent="0.25">
      <c r="I405" t="str">
        <f t="shared" si="19"/>
        <v/>
      </c>
      <c r="J405" t="str">
        <f t="shared" si="20"/>
        <v/>
      </c>
    </row>
    <row r="406" spans="9:10" x14ac:dyDescent="0.25">
      <c r="I406" t="str">
        <f t="shared" si="19"/>
        <v/>
      </c>
      <c r="J406" t="str">
        <f t="shared" si="20"/>
        <v/>
      </c>
    </row>
    <row r="407" spans="9:10" x14ac:dyDescent="0.25">
      <c r="I407" t="str">
        <f t="shared" si="19"/>
        <v/>
      </c>
      <c r="J407" t="str">
        <f t="shared" si="20"/>
        <v/>
      </c>
    </row>
    <row r="408" spans="9:10" x14ac:dyDescent="0.25">
      <c r="I408" t="str">
        <f t="shared" si="19"/>
        <v/>
      </c>
      <c r="J408" t="str">
        <f t="shared" si="20"/>
        <v/>
      </c>
    </row>
    <row r="409" spans="9:10" x14ac:dyDescent="0.25">
      <c r="I409" t="str">
        <f t="shared" si="19"/>
        <v/>
      </c>
      <c r="J409" t="str">
        <f t="shared" si="20"/>
        <v/>
      </c>
    </row>
    <row r="410" spans="9:10" x14ac:dyDescent="0.25">
      <c r="I410" t="str">
        <f t="shared" si="19"/>
        <v/>
      </c>
      <c r="J410" t="str">
        <f t="shared" si="20"/>
        <v/>
      </c>
    </row>
    <row r="411" spans="9:10" x14ac:dyDescent="0.25">
      <c r="I411" t="str">
        <f t="shared" si="19"/>
        <v/>
      </c>
      <c r="J411" t="str">
        <f t="shared" si="20"/>
        <v/>
      </c>
    </row>
    <row r="412" spans="9:10" x14ac:dyDescent="0.25">
      <c r="I412" t="str">
        <f t="shared" si="19"/>
        <v/>
      </c>
      <c r="J412" t="str">
        <f t="shared" si="20"/>
        <v/>
      </c>
    </row>
    <row r="413" spans="9:10" x14ac:dyDescent="0.25">
      <c r="I413" t="str">
        <f t="shared" si="19"/>
        <v/>
      </c>
      <c r="J413" t="str">
        <f t="shared" si="20"/>
        <v/>
      </c>
    </row>
    <row r="414" spans="9:10" x14ac:dyDescent="0.25">
      <c r="I414" t="str">
        <f t="shared" si="19"/>
        <v/>
      </c>
      <c r="J414" t="str">
        <f t="shared" si="20"/>
        <v/>
      </c>
    </row>
    <row r="415" spans="9:10" x14ac:dyDescent="0.25">
      <c r="I415" t="str">
        <f t="shared" si="19"/>
        <v/>
      </c>
      <c r="J415" t="str">
        <f t="shared" si="20"/>
        <v/>
      </c>
    </row>
    <row r="416" spans="9:10" x14ac:dyDescent="0.25">
      <c r="I416" t="str">
        <f t="shared" si="19"/>
        <v/>
      </c>
      <c r="J416" t="str">
        <f t="shared" si="20"/>
        <v/>
      </c>
    </row>
    <row r="417" spans="9:10" x14ac:dyDescent="0.25">
      <c r="I417" t="str">
        <f t="shared" si="19"/>
        <v/>
      </c>
      <c r="J417" t="str">
        <f t="shared" si="20"/>
        <v/>
      </c>
    </row>
    <row r="418" spans="9:10" x14ac:dyDescent="0.25">
      <c r="I418" t="str">
        <f t="shared" si="19"/>
        <v/>
      </c>
      <c r="J418" t="str">
        <f t="shared" si="20"/>
        <v/>
      </c>
    </row>
    <row r="419" spans="9:10" x14ac:dyDescent="0.25">
      <c r="I419" t="str">
        <f t="shared" si="19"/>
        <v/>
      </c>
      <c r="J419" t="str">
        <f t="shared" si="20"/>
        <v/>
      </c>
    </row>
    <row r="420" spans="9:10" x14ac:dyDescent="0.25">
      <c r="I420" t="str">
        <f t="shared" si="19"/>
        <v/>
      </c>
      <c r="J420" t="str">
        <f t="shared" si="20"/>
        <v/>
      </c>
    </row>
    <row r="421" spans="9:10" x14ac:dyDescent="0.25">
      <c r="I421" t="str">
        <f t="shared" si="19"/>
        <v/>
      </c>
      <c r="J421" t="str">
        <f t="shared" si="20"/>
        <v/>
      </c>
    </row>
    <row r="422" spans="9:10" x14ac:dyDescent="0.25">
      <c r="I422" t="str">
        <f t="shared" si="19"/>
        <v/>
      </c>
      <c r="J422" t="str">
        <f t="shared" si="20"/>
        <v/>
      </c>
    </row>
    <row r="423" spans="9:10" x14ac:dyDescent="0.25">
      <c r="I423" t="str">
        <f t="shared" si="19"/>
        <v/>
      </c>
      <c r="J423" t="str">
        <f t="shared" si="20"/>
        <v/>
      </c>
    </row>
    <row r="424" spans="9:10" x14ac:dyDescent="0.25">
      <c r="I424" t="str">
        <f t="shared" si="19"/>
        <v/>
      </c>
      <c r="J424" t="str">
        <f t="shared" si="20"/>
        <v/>
      </c>
    </row>
    <row r="425" spans="9:10" x14ac:dyDescent="0.25">
      <c r="I425" t="str">
        <f t="shared" si="19"/>
        <v/>
      </c>
      <c r="J425" t="str">
        <f t="shared" si="20"/>
        <v/>
      </c>
    </row>
    <row r="426" spans="9:10" x14ac:dyDescent="0.25">
      <c r="I426" t="str">
        <f t="shared" si="19"/>
        <v/>
      </c>
      <c r="J426" t="str">
        <f t="shared" si="20"/>
        <v/>
      </c>
    </row>
    <row r="427" spans="9:10" x14ac:dyDescent="0.25">
      <c r="I427" t="str">
        <f t="shared" si="19"/>
        <v/>
      </c>
      <c r="J427" t="str">
        <f t="shared" si="20"/>
        <v/>
      </c>
    </row>
    <row r="428" spans="9:10" x14ac:dyDescent="0.25">
      <c r="I428" t="str">
        <f t="shared" si="19"/>
        <v/>
      </c>
      <c r="J428" t="str">
        <f t="shared" si="20"/>
        <v/>
      </c>
    </row>
    <row r="429" spans="9:10" x14ac:dyDescent="0.25">
      <c r="I429" t="str">
        <f t="shared" si="19"/>
        <v/>
      </c>
      <c r="J429" t="str">
        <f t="shared" si="20"/>
        <v/>
      </c>
    </row>
    <row r="430" spans="9:10" x14ac:dyDescent="0.25">
      <c r="I430" t="str">
        <f t="shared" si="19"/>
        <v/>
      </c>
      <c r="J430" t="str">
        <f t="shared" si="20"/>
        <v/>
      </c>
    </row>
    <row r="431" spans="9:10" x14ac:dyDescent="0.25">
      <c r="I431" t="str">
        <f t="shared" si="19"/>
        <v/>
      </c>
      <c r="J431" t="str">
        <f t="shared" si="20"/>
        <v/>
      </c>
    </row>
    <row r="432" spans="9:10" x14ac:dyDescent="0.25">
      <c r="I432" t="str">
        <f t="shared" si="19"/>
        <v/>
      </c>
      <c r="J432" t="str">
        <f t="shared" si="20"/>
        <v/>
      </c>
    </row>
    <row r="433" spans="9:10" x14ac:dyDescent="0.25">
      <c r="I433" t="str">
        <f t="shared" si="19"/>
        <v/>
      </c>
      <c r="J433" t="str">
        <f t="shared" si="20"/>
        <v/>
      </c>
    </row>
    <row r="434" spans="9:10" x14ac:dyDescent="0.25">
      <c r="I434" t="str">
        <f t="shared" si="19"/>
        <v/>
      </c>
      <c r="J434" t="str">
        <f t="shared" si="20"/>
        <v/>
      </c>
    </row>
    <row r="435" spans="9:10" x14ac:dyDescent="0.25">
      <c r="I435" t="str">
        <f t="shared" si="19"/>
        <v/>
      </c>
      <c r="J435" t="str">
        <f t="shared" si="20"/>
        <v/>
      </c>
    </row>
    <row r="436" spans="9:10" x14ac:dyDescent="0.25">
      <c r="I436" t="str">
        <f t="shared" si="19"/>
        <v/>
      </c>
      <c r="J436" t="str">
        <f t="shared" si="20"/>
        <v/>
      </c>
    </row>
    <row r="437" spans="9:10" x14ac:dyDescent="0.25">
      <c r="I437" t="str">
        <f t="shared" si="19"/>
        <v/>
      </c>
      <c r="J437" t="str">
        <f t="shared" si="20"/>
        <v/>
      </c>
    </row>
    <row r="438" spans="9:10" x14ac:dyDescent="0.25">
      <c r="I438" t="str">
        <f t="shared" si="19"/>
        <v/>
      </c>
      <c r="J438" t="str">
        <f t="shared" si="20"/>
        <v/>
      </c>
    </row>
    <row r="439" spans="9:10" x14ac:dyDescent="0.25">
      <c r="I439" t="str">
        <f t="shared" si="19"/>
        <v/>
      </c>
      <c r="J439" t="str">
        <f t="shared" si="20"/>
        <v/>
      </c>
    </row>
    <row r="440" spans="9:10" x14ac:dyDescent="0.25">
      <c r="I440" t="str">
        <f t="shared" si="19"/>
        <v/>
      </c>
      <c r="J440" t="str">
        <f t="shared" si="20"/>
        <v/>
      </c>
    </row>
    <row r="441" spans="9:10" x14ac:dyDescent="0.25">
      <c r="I441" t="str">
        <f t="shared" si="19"/>
        <v/>
      </c>
      <c r="J441" t="str">
        <f t="shared" si="20"/>
        <v/>
      </c>
    </row>
    <row r="442" spans="9:10" x14ac:dyDescent="0.25">
      <c r="I442" t="str">
        <f t="shared" si="19"/>
        <v/>
      </c>
      <c r="J442" t="str">
        <f t="shared" si="20"/>
        <v/>
      </c>
    </row>
    <row r="443" spans="9:10" x14ac:dyDescent="0.25">
      <c r="I443" t="str">
        <f t="shared" si="19"/>
        <v/>
      </c>
      <c r="J443" t="str">
        <f t="shared" si="20"/>
        <v/>
      </c>
    </row>
    <row r="444" spans="9:10" x14ac:dyDescent="0.25">
      <c r="I444" t="str">
        <f t="shared" si="19"/>
        <v/>
      </c>
      <c r="J444" t="str">
        <f t="shared" si="20"/>
        <v/>
      </c>
    </row>
    <row r="445" spans="9:10" x14ac:dyDescent="0.25">
      <c r="I445" t="str">
        <f t="shared" si="19"/>
        <v/>
      </c>
      <c r="J445" t="str">
        <f t="shared" si="20"/>
        <v/>
      </c>
    </row>
    <row r="446" spans="9:10" x14ac:dyDescent="0.25">
      <c r="I446" t="str">
        <f t="shared" si="19"/>
        <v/>
      </c>
      <c r="J446" t="str">
        <f t="shared" si="20"/>
        <v/>
      </c>
    </row>
    <row r="447" spans="9:10" x14ac:dyDescent="0.25">
      <c r="I447" t="str">
        <f t="shared" si="19"/>
        <v/>
      </c>
      <c r="J447" t="str">
        <f t="shared" si="20"/>
        <v/>
      </c>
    </row>
    <row r="448" spans="9:10" x14ac:dyDescent="0.25">
      <c r="I448" t="str">
        <f t="shared" si="19"/>
        <v/>
      </c>
      <c r="J448" t="str">
        <f t="shared" si="20"/>
        <v/>
      </c>
    </row>
    <row r="449" spans="9:10" x14ac:dyDescent="0.25">
      <c r="I449" t="str">
        <f t="shared" si="19"/>
        <v/>
      </c>
      <c r="J449" t="str">
        <f t="shared" si="20"/>
        <v/>
      </c>
    </row>
    <row r="450" spans="9:10" x14ac:dyDescent="0.25">
      <c r="I450" t="str">
        <f t="shared" ref="I450:I501" si="21">IF(AND(D450&lt;&gt;"",E450&lt;&gt;""),E450-D450,"")</f>
        <v/>
      </c>
      <c r="J450" t="str">
        <f t="shared" ref="J450:J501" si="22">IFERROR((E450-D450)/E450,"")</f>
        <v/>
      </c>
    </row>
    <row r="451" spans="9:10" x14ac:dyDescent="0.25">
      <c r="I451" t="str">
        <f t="shared" si="21"/>
        <v/>
      </c>
      <c r="J451" t="str">
        <f t="shared" si="22"/>
        <v/>
      </c>
    </row>
    <row r="452" spans="9:10" x14ac:dyDescent="0.25">
      <c r="I452" t="str">
        <f t="shared" si="21"/>
        <v/>
      </c>
      <c r="J452" t="str">
        <f t="shared" si="22"/>
        <v/>
      </c>
    </row>
    <row r="453" spans="9:10" x14ac:dyDescent="0.25">
      <c r="I453" t="str">
        <f t="shared" si="21"/>
        <v/>
      </c>
      <c r="J453" t="str">
        <f t="shared" si="22"/>
        <v/>
      </c>
    </row>
    <row r="454" spans="9:10" x14ac:dyDescent="0.25">
      <c r="I454" t="str">
        <f t="shared" si="21"/>
        <v/>
      </c>
      <c r="J454" t="str">
        <f t="shared" si="22"/>
        <v/>
      </c>
    </row>
    <row r="455" spans="9:10" x14ac:dyDescent="0.25">
      <c r="I455" t="str">
        <f t="shared" si="21"/>
        <v/>
      </c>
      <c r="J455" t="str">
        <f t="shared" si="22"/>
        <v/>
      </c>
    </row>
    <row r="456" spans="9:10" x14ac:dyDescent="0.25">
      <c r="I456" t="str">
        <f t="shared" si="21"/>
        <v/>
      </c>
      <c r="J456" t="str">
        <f t="shared" si="22"/>
        <v/>
      </c>
    </row>
    <row r="457" spans="9:10" x14ac:dyDescent="0.25">
      <c r="I457" t="str">
        <f t="shared" si="21"/>
        <v/>
      </c>
      <c r="J457" t="str">
        <f t="shared" si="22"/>
        <v/>
      </c>
    </row>
    <row r="458" spans="9:10" x14ac:dyDescent="0.25">
      <c r="I458" t="str">
        <f t="shared" si="21"/>
        <v/>
      </c>
      <c r="J458" t="str">
        <f t="shared" si="22"/>
        <v/>
      </c>
    </row>
    <row r="459" spans="9:10" x14ac:dyDescent="0.25">
      <c r="I459" t="str">
        <f t="shared" si="21"/>
        <v/>
      </c>
      <c r="J459" t="str">
        <f t="shared" si="22"/>
        <v/>
      </c>
    </row>
    <row r="460" spans="9:10" x14ac:dyDescent="0.25">
      <c r="I460" t="str">
        <f t="shared" si="21"/>
        <v/>
      </c>
      <c r="J460" t="str">
        <f t="shared" si="22"/>
        <v/>
      </c>
    </row>
    <row r="461" spans="9:10" x14ac:dyDescent="0.25">
      <c r="I461" t="str">
        <f t="shared" si="21"/>
        <v/>
      </c>
      <c r="J461" t="str">
        <f t="shared" si="22"/>
        <v/>
      </c>
    </row>
    <row r="462" spans="9:10" x14ac:dyDescent="0.25">
      <c r="I462" t="str">
        <f t="shared" si="21"/>
        <v/>
      </c>
      <c r="J462" t="str">
        <f t="shared" si="22"/>
        <v/>
      </c>
    </row>
    <row r="463" spans="9:10" x14ac:dyDescent="0.25">
      <c r="I463" t="str">
        <f t="shared" si="21"/>
        <v/>
      </c>
      <c r="J463" t="str">
        <f t="shared" si="22"/>
        <v/>
      </c>
    </row>
    <row r="464" spans="9:10" x14ac:dyDescent="0.25">
      <c r="I464" t="str">
        <f t="shared" si="21"/>
        <v/>
      </c>
      <c r="J464" t="str">
        <f t="shared" si="22"/>
        <v/>
      </c>
    </row>
    <row r="465" spans="9:10" x14ac:dyDescent="0.25">
      <c r="I465" t="str">
        <f t="shared" si="21"/>
        <v/>
      </c>
      <c r="J465" t="str">
        <f t="shared" si="22"/>
        <v/>
      </c>
    </row>
    <row r="466" spans="9:10" x14ac:dyDescent="0.25">
      <c r="I466" t="str">
        <f t="shared" si="21"/>
        <v/>
      </c>
      <c r="J466" t="str">
        <f t="shared" si="22"/>
        <v/>
      </c>
    </row>
    <row r="467" spans="9:10" x14ac:dyDescent="0.25">
      <c r="I467" t="str">
        <f t="shared" si="21"/>
        <v/>
      </c>
      <c r="J467" t="str">
        <f t="shared" si="22"/>
        <v/>
      </c>
    </row>
    <row r="468" spans="9:10" x14ac:dyDescent="0.25">
      <c r="I468" t="str">
        <f t="shared" si="21"/>
        <v/>
      </c>
      <c r="J468" t="str">
        <f t="shared" si="22"/>
        <v/>
      </c>
    </row>
    <row r="469" spans="9:10" x14ac:dyDescent="0.25">
      <c r="I469" t="str">
        <f t="shared" si="21"/>
        <v/>
      </c>
      <c r="J469" t="str">
        <f t="shared" si="22"/>
        <v/>
      </c>
    </row>
    <row r="470" spans="9:10" x14ac:dyDescent="0.25">
      <c r="I470" t="str">
        <f t="shared" si="21"/>
        <v/>
      </c>
      <c r="J470" t="str">
        <f t="shared" si="22"/>
        <v/>
      </c>
    </row>
    <row r="471" spans="9:10" x14ac:dyDescent="0.25">
      <c r="I471" t="str">
        <f t="shared" si="21"/>
        <v/>
      </c>
      <c r="J471" t="str">
        <f t="shared" si="22"/>
        <v/>
      </c>
    </row>
    <row r="472" spans="9:10" x14ac:dyDescent="0.25">
      <c r="I472" t="str">
        <f t="shared" si="21"/>
        <v/>
      </c>
      <c r="J472" t="str">
        <f t="shared" si="22"/>
        <v/>
      </c>
    </row>
    <row r="473" spans="9:10" x14ac:dyDescent="0.25">
      <c r="I473" t="str">
        <f t="shared" si="21"/>
        <v/>
      </c>
      <c r="J473" t="str">
        <f t="shared" si="22"/>
        <v/>
      </c>
    </row>
    <row r="474" spans="9:10" x14ac:dyDescent="0.25">
      <c r="I474" t="str">
        <f t="shared" si="21"/>
        <v/>
      </c>
      <c r="J474" t="str">
        <f t="shared" si="22"/>
        <v/>
      </c>
    </row>
    <row r="475" spans="9:10" x14ac:dyDescent="0.25">
      <c r="I475" t="str">
        <f t="shared" si="21"/>
        <v/>
      </c>
      <c r="J475" t="str">
        <f t="shared" si="22"/>
        <v/>
      </c>
    </row>
    <row r="476" spans="9:10" x14ac:dyDescent="0.25">
      <c r="I476" t="str">
        <f t="shared" si="21"/>
        <v/>
      </c>
      <c r="J476" t="str">
        <f t="shared" si="22"/>
        <v/>
      </c>
    </row>
    <row r="477" spans="9:10" x14ac:dyDescent="0.25">
      <c r="I477" t="str">
        <f t="shared" si="21"/>
        <v/>
      </c>
      <c r="J477" t="str">
        <f t="shared" si="22"/>
        <v/>
      </c>
    </row>
    <row r="478" spans="9:10" x14ac:dyDescent="0.25">
      <c r="I478" t="str">
        <f t="shared" si="21"/>
        <v/>
      </c>
      <c r="J478" t="str">
        <f t="shared" si="22"/>
        <v/>
      </c>
    </row>
    <row r="479" spans="9:10" x14ac:dyDescent="0.25">
      <c r="I479" t="str">
        <f t="shared" si="21"/>
        <v/>
      </c>
      <c r="J479" t="str">
        <f t="shared" si="22"/>
        <v/>
      </c>
    </row>
    <row r="480" spans="9:10" x14ac:dyDescent="0.25">
      <c r="I480" t="str">
        <f t="shared" si="21"/>
        <v/>
      </c>
      <c r="J480" t="str">
        <f t="shared" si="22"/>
        <v/>
      </c>
    </row>
    <row r="481" spans="9:10" x14ac:dyDescent="0.25">
      <c r="I481" t="str">
        <f t="shared" si="21"/>
        <v/>
      </c>
      <c r="J481" t="str">
        <f t="shared" si="22"/>
        <v/>
      </c>
    </row>
    <row r="482" spans="9:10" x14ac:dyDescent="0.25">
      <c r="I482" t="str">
        <f t="shared" si="21"/>
        <v/>
      </c>
      <c r="J482" t="str">
        <f t="shared" si="22"/>
        <v/>
      </c>
    </row>
    <row r="483" spans="9:10" x14ac:dyDescent="0.25">
      <c r="I483" t="str">
        <f t="shared" si="21"/>
        <v/>
      </c>
      <c r="J483" t="str">
        <f t="shared" si="22"/>
        <v/>
      </c>
    </row>
    <row r="484" spans="9:10" x14ac:dyDescent="0.25">
      <c r="I484" t="str">
        <f t="shared" si="21"/>
        <v/>
      </c>
      <c r="J484" t="str">
        <f t="shared" si="22"/>
        <v/>
      </c>
    </row>
    <row r="485" spans="9:10" x14ac:dyDescent="0.25">
      <c r="I485" t="str">
        <f t="shared" si="21"/>
        <v/>
      </c>
      <c r="J485" t="str">
        <f t="shared" si="22"/>
        <v/>
      </c>
    </row>
    <row r="486" spans="9:10" x14ac:dyDescent="0.25">
      <c r="I486" t="str">
        <f t="shared" si="21"/>
        <v/>
      </c>
      <c r="J486" t="str">
        <f t="shared" si="22"/>
        <v/>
      </c>
    </row>
    <row r="487" spans="9:10" x14ac:dyDescent="0.25">
      <c r="I487" t="str">
        <f t="shared" si="21"/>
        <v/>
      </c>
      <c r="J487" t="str">
        <f t="shared" si="22"/>
        <v/>
      </c>
    </row>
    <row r="488" spans="9:10" x14ac:dyDescent="0.25">
      <c r="I488" t="str">
        <f t="shared" si="21"/>
        <v/>
      </c>
      <c r="J488" t="str">
        <f t="shared" si="22"/>
        <v/>
      </c>
    </row>
    <row r="489" spans="9:10" x14ac:dyDescent="0.25">
      <c r="I489" t="str">
        <f t="shared" si="21"/>
        <v/>
      </c>
      <c r="J489" t="str">
        <f t="shared" si="22"/>
        <v/>
      </c>
    </row>
    <row r="490" spans="9:10" x14ac:dyDescent="0.25">
      <c r="I490" t="str">
        <f t="shared" si="21"/>
        <v/>
      </c>
      <c r="J490" t="str">
        <f t="shared" si="22"/>
        <v/>
      </c>
    </row>
    <row r="491" spans="9:10" x14ac:dyDescent="0.25">
      <c r="I491" t="str">
        <f t="shared" si="21"/>
        <v/>
      </c>
      <c r="J491" t="str">
        <f t="shared" si="22"/>
        <v/>
      </c>
    </row>
    <row r="492" spans="9:10" x14ac:dyDescent="0.25">
      <c r="I492" t="str">
        <f t="shared" si="21"/>
        <v/>
      </c>
      <c r="J492" t="str">
        <f t="shared" si="22"/>
        <v/>
      </c>
    </row>
    <row r="493" spans="9:10" x14ac:dyDescent="0.25">
      <c r="I493" t="str">
        <f t="shared" si="21"/>
        <v/>
      </c>
      <c r="J493" t="str">
        <f t="shared" si="22"/>
        <v/>
      </c>
    </row>
    <row r="494" spans="9:10" x14ac:dyDescent="0.25">
      <c r="I494" t="str">
        <f t="shared" si="21"/>
        <v/>
      </c>
      <c r="J494" t="str">
        <f t="shared" si="22"/>
        <v/>
      </c>
    </row>
    <row r="495" spans="9:10" x14ac:dyDescent="0.25">
      <c r="I495" t="str">
        <f t="shared" si="21"/>
        <v/>
      </c>
      <c r="J495" t="str">
        <f t="shared" si="22"/>
        <v/>
      </c>
    </row>
    <row r="496" spans="9:10" x14ac:dyDescent="0.25">
      <c r="I496" t="str">
        <f t="shared" si="21"/>
        <v/>
      </c>
      <c r="J496" t="str">
        <f t="shared" si="22"/>
        <v/>
      </c>
    </row>
    <row r="497" spans="9:10" x14ac:dyDescent="0.25">
      <c r="I497" t="str">
        <f t="shared" si="21"/>
        <v/>
      </c>
      <c r="J497" t="str">
        <f t="shared" si="22"/>
        <v/>
      </c>
    </row>
    <row r="498" spans="9:10" x14ac:dyDescent="0.25">
      <c r="I498" t="str">
        <f t="shared" si="21"/>
        <v/>
      </c>
      <c r="J498" t="str">
        <f t="shared" si="22"/>
        <v/>
      </c>
    </row>
    <row r="499" spans="9:10" x14ac:dyDescent="0.25">
      <c r="I499" t="str">
        <f t="shared" si="21"/>
        <v/>
      </c>
      <c r="J499" t="str">
        <f t="shared" si="22"/>
        <v/>
      </c>
    </row>
    <row r="500" spans="9:10" x14ac:dyDescent="0.25">
      <c r="I500" t="str">
        <f t="shared" si="21"/>
        <v/>
      </c>
      <c r="J500" t="str">
        <f t="shared" si="22"/>
        <v/>
      </c>
    </row>
    <row r="501" spans="9:10" x14ac:dyDescent="0.25">
      <c r="I501" t="str">
        <f t="shared" si="21"/>
        <v/>
      </c>
      <c r="J501" t="str">
        <f t="shared" si="22"/>
        <v/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01"/>
  <sheetViews>
    <sheetView workbookViewId="0">
      <selection activeCell="J12" sqref="J12"/>
    </sheetView>
  </sheetViews>
  <sheetFormatPr baseColWidth="10" defaultColWidth="9.140625" defaultRowHeight="15" x14ac:dyDescent="0.25"/>
  <cols>
    <col min="1" max="2" width="10.7109375" bestFit="1" customWidth="1"/>
    <col min="3" max="3" width="12.28515625" bestFit="1" customWidth="1"/>
    <col min="4" max="4" width="12.7109375" bestFit="1" customWidth="1"/>
    <col min="5" max="5" width="15" bestFit="1" customWidth="1"/>
    <col min="6" max="6" width="5.5703125" bestFit="1" customWidth="1"/>
    <col min="7" max="7" width="12" bestFit="1" customWidth="1"/>
    <col min="8" max="8" width="13" bestFit="1" customWidth="1"/>
    <col min="9" max="9" width="12" bestFit="1" customWidth="1"/>
    <col min="10" max="10" width="10.7109375" bestFit="1" customWidth="1"/>
  </cols>
  <sheetData>
    <row r="1" spans="1:10" x14ac:dyDescent="0.25">
      <c r="A1" s="7" t="s">
        <v>163</v>
      </c>
      <c r="B1" s="7" t="s">
        <v>164</v>
      </c>
      <c r="C1" s="7" t="s">
        <v>165</v>
      </c>
      <c r="D1" s="7" t="s">
        <v>3</v>
      </c>
      <c r="E1" s="7" t="s">
        <v>141</v>
      </c>
      <c r="F1" s="7" t="s">
        <v>166</v>
      </c>
      <c r="G1" s="7" t="s">
        <v>4</v>
      </c>
      <c r="H1" s="7" t="s">
        <v>167</v>
      </c>
      <c r="I1" s="7" t="s">
        <v>148</v>
      </c>
      <c r="J1" s="7" t="s">
        <v>149</v>
      </c>
    </row>
    <row r="2" spans="1:10" x14ac:dyDescent="0.25">
      <c r="A2" t="str">
        <f t="shared" ref="A2:A33" si="0">IF(C2="","","VEN"&amp;TEXT(ROW()-1,"000000"))</f>
        <v>VEN000001</v>
      </c>
      <c r="B2" s="4">
        <v>46204</v>
      </c>
      <c r="C2" t="s">
        <v>114</v>
      </c>
      <c r="D2" t="s">
        <v>21</v>
      </c>
      <c r="E2" t="s">
        <v>158</v>
      </c>
      <c r="F2" s="5">
        <v>3.4</v>
      </c>
      <c r="G2" s="6">
        <f>IFERROR(IF(D2="Mayorista",IF(VLOOKUP(E2,'04_PRODUCTOS'!B:F,5,FALSE)="",VLOOKUP(E2,'04_PRODUCTOS'!B:E,4,FALSE),VLOOKUP(E2,'04_PRODUCTOS'!B:F,5,FALSE)),IF(D2="Especial",IF(VLOOKUP(E2,'04_PRODUCTOS'!B:G,6,FALSE)="",VLOOKUP(E2,'04_PRODUCTOS'!B:E,4,FALSE),VLOOKUP(E2,'04_PRODUCTOS'!B:G,6,FALSE)),VLOOKUP(E2,'04_PRODUCTOS'!B:E,4,FALSE))),"")</f>
        <v>16000</v>
      </c>
      <c r="H2" s="6">
        <f t="shared" ref="H2:H65" si="1">IF(AND(F2&lt;&gt;"",G2&lt;&gt;""),F2*G2,"")</f>
        <v>54400</v>
      </c>
      <c r="I2" s="6">
        <f>IFERROR(H2-(F2*VLOOKUP(E2,'04_PRODUCTOS'!B:D,3,FALSE)),"")</f>
        <v>6800</v>
      </c>
      <c r="J2" s="3">
        <f t="shared" ref="J2:J65" si="2">IFERROR(I2/H2,"")</f>
        <v>0.125</v>
      </c>
    </row>
    <row r="3" spans="1:10" x14ac:dyDescent="0.25">
      <c r="A3" t="str">
        <f t="shared" si="0"/>
        <v>VEN000002</v>
      </c>
      <c r="B3" s="4">
        <v>46204</v>
      </c>
      <c r="C3" t="s">
        <v>114</v>
      </c>
      <c r="D3" t="s">
        <v>21</v>
      </c>
      <c r="E3" t="s">
        <v>154</v>
      </c>
      <c r="F3" s="5">
        <v>1.1000000000000001</v>
      </c>
      <c r="G3" s="6">
        <f>IFERROR(IF(D3="Mayorista",IF(VLOOKUP(E3,'04_PRODUCTOS'!B:F,5,FALSE)="",VLOOKUP(E3,'04_PRODUCTOS'!B:E,4,FALSE),VLOOKUP(E3,'04_PRODUCTOS'!B:F,5,FALSE)),IF(D3="Especial",IF(VLOOKUP(E3,'04_PRODUCTOS'!B:G,6,FALSE)="",VLOOKUP(E3,'04_PRODUCTOS'!B:E,4,FALSE),VLOOKUP(E3,'04_PRODUCTOS'!B:G,6,FALSE)),VLOOKUP(E3,'04_PRODUCTOS'!B:E,4,FALSE))),"")</f>
        <v>22000</v>
      </c>
      <c r="H3" s="6">
        <f t="shared" si="1"/>
        <v>24200.000000000004</v>
      </c>
      <c r="I3" s="6">
        <f>IFERROR(H3-(F3*VLOOKUP(E3,'04_PRODUCTOS'!B:D,3,FALSE)),"")</f>
        <v>3300.0000000000036</v>
      </c>
      <c r="J3" s="3">
        <f t="shared" si="2"/>
        <v>0.13636363636363649</v>
      </c>
    </row>
    <row r="4" spans="1:10" x14ac:dyDescent="0.25">
      <c r="A4" t="str">
        <f t="shared" si="0"/>
        <v>VEN000003</v>
      </c>
      <c r="B4" s="4">
        <v>46204</v>
      </c>
      <c r="C4" t="s">
        <v>114</v>
      </c>
      <c r="D4" t="s">
        <v>21</v>
      </c>
      <c r="E4" t="s">
        <v>152</v>
      </c>
      <c r="F4" s="5">
        <v>1.9</v>
      </c>
      <c r="G4" s="6">
        <f>IFERROR(IF(D4="Mayorista",IF(VLOOKUP(E4,'04_PRODUCTOS'!B:F,5,FALSE)="",VLOOKUP(E4,'04_PRODUCTOS'!B:E,4,FALSE),VLOOKUP(E4,'04_PRODUCTOS'!B:F,5,FALSE)),IF(D4="Especial",IF(VLOOKUP(E4,'04_PRODUCTOS'!B:G,6,FALSE)="",VLOOKUP(E4,'04_PRODUCTOS'!B:E,4,FALSE),VLOOKUP(E4,'04_PRODUCTOS'!B:G,6,FALSE)),VLOOKUP(E4,'04_PRODUCTOS'!B:E,4,FALSE))),"")</f>
        <v>23000</v>
      </c>
      <c r="H4" s="6">
        <f t="shared" si="1"/>
        <v>43700</v>
      </c>
      <c r="I4" s="6">
        <f>IFERROR(H4-(F4*VLOOKUP(E4,'04_PRODUCTOS'!B:D,3,FALSE)),"")</f>
        <v>3800</v>
      </c>
      <c r="J4" s="3">
        <f t="shared" si="2"/>
        <v>8.6956521739130432E-2</v>
      </c>
    </row>
    <row r="5" spans="1:10" x14ac:dyDescent="0.25">
      <c r="A5" t="str">
        <f t="shared" si="0"/>
        <v>VEN000004</v>
      </c>
      <c r="B5" s="4">
        <v>46209</v>
      </c>
      <c r="C5" t="s">
        <v>122</v>
      </c>
      <c r="D5" t="s">
        <v>21</v>
      </c>
      <c r="E5" t="s">
        <v>154</v>
      </c>
      <c r="F5" s="5">
        <v>2.2000000000000002</v>
      </c>
      <c r="G5" s="6">
        <f>IFERROR(IF(D5="Mayorista",IF(VLOOKUP(E5,'04_PRODUCTOS'!B:F,5,FALSE)="",VLOOKUP(E5,'04_PRODUCTOS'!B:E,4,FALSE),VLOOKUP(E5,'04_PRODUCTOS'!B:F,5,FALSE)),IF(D5="Especial",IF(VLOOKUP(E5,'04_PRODUCTOS'!B:G,6,FALSE)="",VLOOKUP(E5,'04_PRODUCTOS'!B:E,4,FALSE),VLOOKUP(E5,'04_PRODUCTOS'!B:G,6,FALSE)),VLOOKUP(E5,'04_PRODUCTOS'!B:E,4,FALSE))),"")</f>
        <v>22000</v>
      </c>
      <c r="H5" s="6">
        <f t="shared" si="1"/>
        <v>48400.000000000007</v>
      </c>
      <c r="I5" s="6">
        <f>IFERROR(H5-(F5*VLOOKUP(E5,'04_PRODUCTOS'!B:D,3,FALSE)),"")</f>
        <v>6600.0000000000073</v>
      </c>
      <c r="J5" s="3">
        <f t="shared" si="2"/>
        <v>0.13636363636363649</v>
      </c>
    </row>
    <row r="6" spans="1:10" x14ac:dyDescent="0.25">
      <c r="A6" t="str">
        <f t="shared" si="0"/>
        <v>VEN000005</v>
      </c>
      <c r="B6" s="4">
        <v>46210</v>
      </c>
      <c r="C6" t="s">
        <v>114</v>
      </c>
      <c r="D6" t="s">
        <v>21</v>
      </c>
      <c r="E6" t="s">
        <v>160</v>
      </c>
      <c r="F6">
        <v>4.5</v>
      </c>
      <c r="G6" s="6">
        <f>IFERROR(IF(D6="Mayorista",IF(VLOOKUP(E6,'04_PRODUCTOS'!B:F,5,FALSE)="",VLOOKUP(E6,'04_PRODUCTOS'!B:E,4,FALSE),VLOOKUP(E6,'04_PRODUCTOS'!B:F,5,FALSE)),IF(D6="Especial",IF(VLOOKUP(E6,'04_PRODUCTOS'!B:G,6,FALSE)="",VLOOKUP(E6,'04_PRODUCTOS'!B:E,4,FALSE),VLOOKUP(E6,'04_PRODUCTOS'!B:G,6,FALSE)),VLOOKUP(E6,'04_PRODUCTOS'!B:E,4,FALSE))),"")</f>
        <v>20000</v>
      </c>
      <c r="H6" s="6">
        <f t="shared" si="1"/>
        <v>90000</v>
      </c>
      <c r="I6" s="6">
        <f>IFERROR(H6-(F6*VLOOKUP(E6,'04_PRODUCTOS'!B:D,3,FALSE)),"")</f>
        <v>13500</v>
      </c>
      <c r="J6" s="8">
        <f t="shared" si="2"/>
        <v>0.15</v>
      </c>
    </row>
    <row r="7" spans="1:10" x14ac:dyDescent="0.25">
      <c r="A7" t="str">
        <f t="shared" si="0"/>
        <v>VEN000006</v>
      </c>
      <c r="B7" s="4">
        <v>46210</v>
      </c>
      <c r="C7" t="s">
        <v>128</v>
      </c>
      <c r="D7" t="s">
        <v>21</v>
      </c>
      <c r="E7" t="s">
        <v>153</v>
      </c>
      <c r="F7">
        <v>8.1</v>
      </c>
      <c r="G7" s="6">
        <f>IFERROR(IF(D7="Mayorista",IF(VLOOKUP(E7,'04_PRODUCTOS'!B:F,5,FALSE)="",VLOOKUP(E7,'04_PRODUCTOS'!B:E,4,FALSE),VLOOKUP(E7,'04_PRODUCTOS'!B:F,5,FALSE)),IF(D7="Especial",IF(VLOOKUP(E7,'04_PRODUCTOS'!B:G,6,FALSE)="",VLOOKUP(E7,'04_PRODUCTOS'!B:E,4,FALSE),VLOOKUP(E7,'04_PRODUCTOS'!B:G,6,FALSE)),VLOOKUP(E7,'04_PRODUCTOS'!B:E,4,FALSE))),"")</f>
        <v>29000</v>
      </c>
      <c r="H7" s="6">
        <f t="shared" si="1"/>
        <v>234900</v>
      </c>
      <c r="I7" s="6">
        <f>IFERROR(H7-(F7*VLOOKUP(E7,'04_PRODUCTOS'!B:D,3,FALSE)),"")</f>
        <v>16200</v>
      </c>
      <c r="J7" s="8">
        <f t="shared" si="2"/>
        <v>6.8965517241379309E-2</v>
      </c>
    </row>
    <row r="8" spans="1:10" x14ac:dyDescent="0.25">
      <c r="A8" t="str">
        <f t="shared" si="0"/>
        <v>VEN000007</v>
      </c>
      <c r="B8" s="4">
        <v>46210</v>
      </c>
      <c r="C8" t="s">
        <v>128</v>
      </c>
      <c r="D8" t="s">
        <v>21</v>
      </c>
      <c r="E8" t="s">
        <v>154</v>
      </c>
      <c r="F8">
        <v>2.5</v>
      </c>
      <c r="G8" s="6">
        <f>IFERROR(IF(D8="Mayorista",IF(VLOOKUP(E8,'04_PRODUCTOS'!B:F,5,FALSE)="",VLOOKUP(E8,'04_PRODUCTOS'!B:E,4,FALSE),VLOOKUP(E8,'04_PRODUCTOS'!B:F,5,FALSE)),IF(D8="Especial",IF(VLOOKUP(E8,'04_PRODUCTOS'!B:G,6,FALSE)="",VLOOKUP(E8,'04_PRODUCTOS'!B:E,4,FALSE),VLOOKUP(E8,'04_PRODUCTOS'!B:G,6,FALSE)),VLOOKUP(E8,'04_PRODUCTOS'!B:E,4,FALSE))),"")</f>
        <v>22000</v>
      </c>
      <c r="H8" s="6">
        <f t="shared" si="1"/>
        <v>55000</v>
      </c>
      <c r="I8" s="6">
        <f>IFERROR(H8-(F8*VLOOKUP(E8,'04_PRODUCTOS'!B:D,3,FALSE)),"")</f>
        <v>7500</v>
      </c>
      <c r="J8" s="8">
        <f t="shared" si="2"/>
        <v>0.13636363636363635</v>
      </c>
    </row>
    <row r="9" spans="1:10" x14ac:dyDescent="0.25">
      <c r="A9" t="str">
        <f t="shared" si="0"/>
        <v>VEN000008</v>
      </c>
      <c r="B9" s="4">
        <v>46210</v>
      </c>
      <c r="C9" t="s">
        <v>128</v>
      </c>
      <c r="D9" t="s">
        <v>21</v>
      </c>
      <c r="E9" t="s">
        <v>160</v>
      </c>
      <c r="F9">
        <v>3.1</v>
      </c>
      <c r="G9" s="6">
        <f>IFERROR(IF(D9="Mayorista",IF(VLOOKUP(E9,'04_PRODUCTOS'!B:F,5,FALSE)="",VLOOKUP(E9,'04_PRODUCTOS'!B:E,4,FALSE),VLOOKUP(E9,'04_PRODUCTOS'!B:F,5,FALSE)),IF(D9="Especial",IF(VLOOKUP(E9,'04_PRODUCTOS'!B:G,6,FALSE)="",VLOOKUP(E9,'04_PRODUCTOS'!B:E,4,FALSE),VLOOKUP(E9,'04_PRODUCTOS'!B:G,6,FALSE)),VLOOKUP(E9,'04_PRODUCTOS'!B:E,4,FALSE))),"")</f>
        <v>20000</v>
      </c>
      <c r="H9" s="6">
        <f t="shared" si="1"/>
        <v>62000</v>
      </c>
      <c r="I9" s="6">
        <f>IFERROR(H9-(F9*VLOOKUP(E9,'04_PRODUCTOS'!B:D,3,FALSE)),"")</f>
        <v>9300</v>
      </c>
      <c r="J9" s="8">
        <f t="shared" si="2"/>
        <v>0.15</v>
      </c>
    </row>
    <row r="10" spans="1:10" x14ac:dyDescent="0.25">
      <c r="A10" t="str">
        <f t="shared" si="0"/>
        <v/>
      </c>
      <c r="B10" t="str">
        <f t="shared" ref="B10:B37" ca="1" si="3">IF(C10="","",TODAY())</f>
        <v/>
      </c>
      <c r="G10" t="str">
        <f>IFERROR(IF(D10="Mayorista",IF(VLOOKUP(E10,'04_PRODUCTOS'!B:F,5,FALSE)="",VLOOKUP(E10,'04_PRODUCTOS'!B:E,4,FALSE),VLOOKUP(E10,'04_PRODUCTOS'!B:F,5,FALSE)),IF(D10="Especial",IF(VLOOKUP(E10,'04_PRODUCTOS'!B:G,6,FALSE)="",VLOOKUP(E10,'04_PRODUCTOS'!B:E,4,FALSE),VLOOKUP(E10,'04_PRODUCTOS'!B:G,6,FALSE)),VLOOKUP(E10,'04_PRODUCTOS'!B:E,4,FALSE))),"")</f>
        <v/>
      </c>
      <c r="H10" t="str">
        <f t="shared" si="1"/>
        <v/>
      </c>
      <c r="I10" t="str">
        <f>IFERROR(H10-(F10*VLOOKUP(E10,'04_PRODUCTOS'!B:D,3,FALSE)),"")</f>
        <v/>
      </c>
      <c r="J10" t="str">
        <f t="shared" si="2"/>
        <v/>
      </c>
    </row>
    <row r="11" spans="1:10" x14ac:dyDescent="0.25">
      <c r="A11" t="str">
        <f t="shared" si="0"/>
        <v/>
      </c>
      <c r="B11" t="str">
        <f t="shared" ca="1" si="3"/>
        <v/>
      </c>
      <c r="G11" t="str">
        <f>IFERROR(IF(D11="Mayorista",IF(VLOOKUP(E11,'04_PRODUCTOS'!B:F,5,FALSE)="",VLOOKUP(E11,'04_PRODUCTOS'!B:E,4,FALSE),VLOOKUP(E11,'04_PRODUCTOS'!B:F,5,FALSE)),IF(D11="Especial",IF(VLOOKUP(E11,'04_PRODUCTOS'!B:G,6,FALSE)="",VLOOKUP(E11,'04_PRODUCTOS'!B:E,4,FALSE),VLOOKUP(E11,'04_PRODUCTOS'!B:G,6,FALSE)),VLOOKUP(E11,'04_PRODUCTOS'!B:E,4,FALSE))),"")</f>
        <v/>
      </c>
      <c r="H11" t="str">
        <f t="shared" si="1"/>
        <v/>
      </c>
      <c r="I11" t="str">
        <f>IFERROR(H11-(F11*VLOOKUP(E11,'04_PRODUCTOS'!B:D,3,FALSE)),"")</f>
        <v/>
      </c>
      <c r="J11" t="str">
        <f t="shared" si="2"/>
        <v/>
      </c>
    </row>
    <row r="12" spans="1:10" x14ac:dyDescent="0.25">
      <c r="A12" t="str">
        <f t="shared" si="0"/>
        <v/>
      </c>
      <c r="B12" t="str">
        <f t="shared" ca="1" si="3"/>
        <v/>
      </c>
      <c r="G12" t="str">
        <f>IFERROR(IF(D12="Mayorista",IF(VLOOKUP(E12,'04_PRODUCTOS'!B:F,5,FALSE)="",VLOOKUP(E12,'04_PRODUCTOS'!B:E,4,FALSE),VLOOKUP(E12,'04_PRODUCTOS'!B:F,5,FALSE)),IF(D12="Especial",IF(VLOOKUP(E12,'04_PRODUCTOS'!B:G,6,FALSE)="",VLOOKUP(E12,'04_PRODUCTOS'!B:E,4,FALSE),VLOOKUP(E12,'04_PRODUCTOS'!B:G,6,FALSE)),VLOOKUP(E12,'04_PRODUCTOS'!B:E,4,FALSE))),"")</f>
        <v/>
      </c>
      <c r="H12" t="str">
        <f t="shared" si="1"/>
        <v/>
      </c>
      <c r="I12" t="str">
        <f>IFERROR(H12-(F12*VLOOKUP(E12,'04_PRODUCTOS'!B:D,3,FALSE)),"")</f>
        <v/>
      </c>
      <c r="J12" t="str">
        <f t="shared" si="2"/>
        <v/>
      </c>
    </row>
    <row r="13" spans="1:10" x14ac:dyDescent="0.25">
      <c r="A13" t="str">
        <f t="shared" si="0"/>
        <v/>
      </c>
      <c r="B13" t="str">
        <f t="shared" ca="1" si="3"/>
        <v/>
      </c>
      <c r="G13" t="str">
        <f>IFERROR(IF(D13="Mayorista",IF(VLOOKUP(E13,'04_PRODUCTOS'!B:F,5,FALSE)="",VLOOKUP(E13,'04_PRODUCTOS'!B:E,4,FALSE),VLOOKUP(E13,'04_PRODUCTOS'!B:F,5,FALSE)),IF(D13="Especial",IF(VLOOKUP(E13,'04_PRODUCTOS'!B:G,6,FALSE)="",VLOOKUP(E13,'04_PRODUCTOS'!B:E,4,FALSE),VLOOKUP(E13,'04_PRODUCTOS'!B:G,6,FALSE)),VLOOKUP(E13,'04_PRODUCTOS'!B:E,4,FALSE))),"")</f>
        <v/>
      </c>
      <c r="H13" t="str">
        <f t="shared" si="1"/>
        <v/>
      </c>
      <c r="I13" t="str">
        <f>IFERROR(H13-(F13*VLOOKUP(E13,'04_PRODUCTOS'!B:D,3,FALSE)),"")</f>
        <v/>
      </c>
      <c r="J13" t="str">
        <f t="shared" si="2"/>
        <v/>
      </c>
    </row>
    <row r="14" spans="1:10" x14ac:dyDescent="0.25">
      <c r="A14" t="str">
        <f t="shared" si="0"/>
        <v/>
      </c>
      <c r="B14" t="str">
        <f t="shared" ca="1" si="3"/>
        <v/>
      </c>
      <c r="G14" t="str">
        <f>IFERROR(IF(D14="Mayorista",IF(VLOOKUP(E14,'04_PRODUCTOS'!B:F,5,FALSE)="",VLOOKUP(E14,'04_PRODUCTOS'!B:E,4,FALSE),VLOOKUP(E14,'04_PRODUCTOS'!B:F,5,FALSE)),IF(D14="Especial",IF(VLOOKUP(E14,'04_PRODUCTOS'!B:G,6,FALSE)="",VLOOKUP(E14,'04_PRODUCTOS'!B:E,4,FALSE),VLOOKUP(E14,'04_PRODUCTOS'!B:G,6,FALSE)),VLOOKUP(E14,'04_PRODUCTOS'!B:E,4,FALSE))),"")</f>
        <v/>
      </c>
      <c r="H14" t="str">
        <f t="shared" si="1"/>
        <v/>
      </c>
      <c r="I14" t="str">
        <f>IFERROR(H14-(F14*VLOOKUP(E14,'04_PRODUCTOS'!B:D,3,FALSE)),"")</f>
        <v/>
      </c>
      <c r="J14" t="str">
        <f t="shared" si="2"/>
        <v/>
      </c>
    </row>
    <row r="15" spans="1:10" x14ac:dyDescent="0.25">
      <c r="A15" t="str">
        <f t="shared" si="0"/>
        <v/>
      </c>
      <c r="B15" t="str">
        <f t="shared" ca="1" si="3"/>
        <v/>
      </c>
      <c r="G15" t="str">
        <f>IFERROR(IF(D15="Mayorista",IF(VLOOKUP(E15,'04_PRODUCTOS'!B:F,5,FALSE)="",VLOOKUP(E15,'04_PRODUCTOS'!B:E,4,FALSE),VLOOKUP(E15,'04_PRODUCTOS'!B:F,5,FALSE)),IF(D15="Especial",IF(VLOOKUP(E15,'04_PRODUCTOS'!B:G,6,FALSE)="",VLOOKUP(E15,'04_PRODUCTOS'!B:E,4,FALSE),VLOOKUP(E15,'04_PRODUCTOS'!B:G,6,FALSE)),VLOOKUP(E15,'04_PRODUCTOS'!B:E,4,FALSE))),"")</f>
        <v/>
      </c>
      <c r="H15" t="str">
        <f t="shared" si="1"/>
        <v/>
      </c>
      <c r="I15" t="str">
        <f>IFERROR(H15-(F15*VLOOKUP(E15,'04_PRODUCTOS'!B:D,3,FALSE)),"")</f>
        <v/>
      </c>
      <c r="J15" t="str">
        <f t="shared" si="2"/>
        <v/>
      </c>
    </row>
    <row r="16" spans="1:10" x14ac:dyDescent="0.25">
      <c r="A16" t="str">
        <f t="shared" si="0"/>
        <v/>
      </c>
      <c r="B16" t="str">
        <f t="shared" ca="1" si="3"/>
        <v/>
      </c>
      <c r="G16" t="str">
        <f>IFERROR(IF(D16="Mayorista",IF(VLOOKUP(E16,'04_PRODUCTOS'!B:F,5,FALSE)="",VLOOKUP(E16,'04_PRODUCTOS'!B:E,4,FALSE),VLOOKUP(E16,'04_PRODUCTOS'!B:F,5,FALSE)),IF(D16="Especial",IF(VLOOKUP(E16,'04_PRODUCTOS'!B:G,6,FALSE)="",VLOOKUP(E16,'04_PRODUCTOS'!B:E,4,FALSE),VLOOKUP(E16,'04_PRODUCTOS'!B:G,6,FALSE)),VLOOKUP(E16,'04_PRODUCTOS'!B:E,4,FALSE))),"")</f>
        <v/>
      </c>
      <c r="H16" t="str">
        <f t="shared" si="1"/>
        <v/>
      </c>
      <c r="I16" t="str">
        <f>IFERROR(H16-(F16*VLOOKUP(E16,'04_PRODUCTOS'!B:D,3,FALSE)),"")</f>
        <v/>
      </c>
      <c r="J16" t="str">
        <f t="shared" si="2"/>
        <v/>
      </c>
    </row>
    <row r="17" spans="1:10" x14ac:dyDescent="0.25">
      <c r="A17" t="str">
        <f t="shared" si="0"/>
        <v/>
      </c>
      <c r="B17" t="str">
        <f t="shared" ca="1" si="3"/>
        <v/>
      </c>
      <c r="G17" t="str">
        <f>IFERROR(IF(D17="Mayorista",IF(VLOOKUP(E17,'04_PRODUCTOS'!B:F,5,FALSE)="",VLOOKUP(E17,'04_PRODUCTOS'!B:E,4,FALSE),VLOOKUP(E17,'04_PRODUCTOS'!B:F,5,FALSE)),IF(D17="Especial",IF(VLOOKUP(E17,'04_PRODUCTOS'!B:G,6,FALSE)="",VLOOKUP(E17,'04_PRODUCTOS'!B:E,4,FALSE),VLOOKUP(E17,'04_PRODUCTOS'!B:G,6,FALSE)),VLOOKUP(E17,'04_PRODUCTOS'!B:E,4,FALSE))),"")</f>
        <v/>
      </c>
      <c r="H17" t="str">
        <f t="shared" si="1"/>
        <v/>
      </c>
      <c r="I17" t="str">
        <f>IFERROR(H17-(F17*VLOOKUP(E17,'04_PRODUCTOS'!B:D,3,FALSE)),"")</f>
        <v/>
      </c>
      <c r="J17" t="str">
        <f t="shared" si="2"/>
        <v/>
      </c>
    </row>
    <row r="18" spans="1:10" x14ac:dyDescent="0.25">
      <c r="A18" t="str">
        <f t="shared" si="0"/>
        <v/>
      </c>
      <c r="B18" t="str">
        <f t="shared" ca="1" si="3"/>
        <v/>
      </c>
      <c r="G18" t="str">
        <f>IFERROR(IF(D18="Mayorista",IF(VLOOKUP(E18,'04_PRODUCTOS'!B:F,5,FALSE)="",VLOOKUP(E18,'04_PRODUCTOS'!B:E,4,FALSE),VLOOKUP(E18,'04_PRODUCTOS'!B:F,5,FALSE)),IF(D18="Especial",IF(VLOOKUP(E18,'04_PRODUCTOS'!B:G,6,FALSE)="",VLOOKUP(E18,'04_PRODUCTOS'!B:E,4,FALSE),VLOOKUP(E18,'04_PRODUCTOS'!B:G,6,FALSE)),VLOOKUP(E18,'04_PRODUCTOS'!B:E,4,FALSE))),"")</f>
        <v/>
      </c>
      <c r="H18" t="str">
        <f t="shared" si="1"/>
        <v/>
      </c>
      <c r="I18" t="str">
        <f>IFERROR(H18-(F18*VLOOKUP(E18,'04_PRODUCTOS'!B:D,3,FALSE)),"")</f>
        <v/>
      </c>
      <c r="J18" t="str">
        <f t="shared" si="2"/>
        <v/>
      </c>
    </row>
    <row r="19" spans="1:10" x14ac:dyDescent="0.25">
      <c r="A19" t="str">
        <f t="shared" si="0"/>
        <v/>
      </c>
      <c r="B19" t="str">
        <f t="shared" ca="1" si="3"/>
        <v/>
      </c>
      <c r="G19" t="str">
        <f>IFERROR(IF(D19="Mayorista",IF(VLOOKUP(E19,'04_PRODUCTOS'!B:F,5,FALSE)="",VLOOKUP(E19,'04_PRODUCTOS'!B:E,4,FALSE),VLOOKUP(E19,'04_PRODUCTOS'!B:F,5,FALSE)),IF(D19="Especial",IF(VLOOKUP(E19,'04_PRODUCTOS'!B:G,6,FALSE)="",VLOOKUP(E19,'04_PRODUCTOS'!B:E,4,FALSE),VLOOKUP(E19,'04_PRODUCTOS'!B:G,6,FALSE)),VLOOKUP(E19,'04_PRODUCTOS'!B:E,4,FALSE))),"")</f>
        <v/>
      </c>
      <c r="H19" t="str">
        <f t="shared" si="1"/>
        <v/>
      </c>
      <c r="I19" t="str">
        <f>IFERROR(H19-(F19*VLOOKUP(E19,'04_PRODUCTOS'!B:D,3,FALSE)),"")</f>
        <v/>
      </c>
      <c r="J19" t="str">
        <f t="shared" si="2"/>
        <v/>
      </c>
    </row>
    <row r="20" spans="1:10" x14ac:dyDescent="0.25">
      <c r="A20" t="str">
        <f t="shared" si="0"/>
        <v/>
      </c>
      <c r="B20" t="str">
        <f t="shared" ca="1" si="3"/>
        <v/>
      </c>
      <c r="G20" t="str">
        <f>IFERROR(IF(D20="Mayorista",IF(VLOOKUP(E20,'04_PRODUCTOS'!B:F,5,FALSE)="",VLOOKUP(E20,'04_PRODUCTOS'!B:E,4,FALSE),VLOOKUP(E20,'04_PRODUCTOS'!B:F,5,FALSE)),IF(D20="Especial",IF(VLOOKUP(E20,'04_PRODUCTOS'!B:G,6,FALSE)="",VLOOKUP(E20,'04_PRODUCTOS'!B:E,4,FALSE),VLOOKUP(E20,'04_PRODUCTOS'!B:G,6,FALSE)),VLOOKUP(E20,'04_PRODUCTOS'!B:E,4,FALSE))),"")</f>
        <v/>
      </c>
      <c r="H20" t="str">
        <f t="shared" si="1"/>
        <v/>
      </c>
      <c r="I20" t="str">
        <f>IFERROR(H20-(F20*VLOOKUP(E20,'04_PRODUCTOS'!B:D,3,FALSE)),"")</f>
        <v/>
      </c>
      <c r="J20" t="str">
        <f t="shared" si="2"/>
        <v/>
      </c>
    </row>
    <row r="21" spans="1:10" x14ac:dyDescent="0.25">
      <c r="A21" t="str">
        <f t="shared" si="0"/>
        <v/>
      </c>
      <c r="B21" t="str">
        <f t="shared" ca="1" si="3"/>
        <v/>
      </c>
      <c r="G21" t="str">
        <f>IFERROR(IF(D21="Mayorista",IF(VLOOKUP(E21,'04_PRODUCTOS'!B:F,5,FALSE)="",VLOOKUP(E21,'04_PRODUCTOS'!B:E,4,FALSE),VLOOKUP(E21,'04_PRODUCTOS'!B:F,5,FALSE)),IF(D21="Especial",IF(VLOOKUP(E21,'04_PRODUCTOS'!B:G,6,FALSE)="",VLOOKUP(E21,'04_PRODUCTOS'!B:E,4,FALSE),VLOOKUP(E21,'04_PRODUCTOS'!B:G,6,FALSE)),VLOOKUP(E21,'04_PRODUCTOS'!B:E,4,FALSE))),"")</f>
        <v/>
      </c>
      <c r="H21" t="str">
        <f t="shared" si="1"/>
        <v/>
      </c>
      <c r="I21" t="str">
        <f>IFERROR(H21-(F21*VLOOKUP(E21,'04_PRODUCTOS'!B:D,3,FALSE)),"")</f>
        <v/>
      </c>
      <c r="J21" t="str">
        <f t="shared" si="2"/>
        <v/>
      </c>
    </row>
    <row r="22" spans="1:10" x14ac:dyDescent="0.25">
      <c r="A22" t="str">
        <f t="shared" si="0"/>
        <v/>
      </c>
      <c r="B22" t="str">
        <f t="shared" ca="1" si="3"/>
        <v/>
      </c>
      <c r="G22" t="str">
        <f>IFERROR(IF(D22="Mayorista",IF(VLOOKUP(E22,'04_PRODUCTOS'!B:F,5,FALSE)="",VLOOKUP(E22,'04_PRODUCTOS'!B:E,4,FALSE),VLOOKUP(E22,'04_PRODUCTOS'!B:F,5,FALSE)),IF(D22="Especial",IF(VLOOKUP(E22,'04_PRODUCTOS'!B:G,6,FALSE)="",VLOOKUP(E22,'04_PRODUCTOS'!B:E,4,FALSE),VLOOKUP(E22,'04_PRODUCTOS'!B:G,6,FALSE)),VLOOKUP(E22,'04_PRODUCTOS'!B:E,4,FALSE))),"")</f>
        <v/>
      </c>
      <c r="H22" t="str">
        <f t="shared" si="1"/>
        <v/>
      </c>
      <c r="I22" t="str">
        <f>IFERROR(H22-(F22*VLOOKUP(E22,'04_PRODUCTOS'!B:D,3,FALSE)),"")</f>
        <v/>
      </c>
      <c r="J22" t="str">
        <f t="shared" si="2"/>
        <v/>
      </c>
    </row>
    <row r="23" spans="1:10" x14ac:dyDescent="0.25">
      <c r="A23" t="str">
        <f t="shared" si="0"/>
        <v/>
      </c>
      <c r="B23" t="str">
        <f t="shared" ca="1" si="3"/>
        <v/>
      </c>
      <c r="G23" t="str">
        <f>IFERROR(IF(D23="Mayorista",IF(VLOOKUP(E23,'04_PRODUCTOS'!B:F,5,FALSE)="",VLOOKUP(E23,'04_PRODUCTOS'!B:E,4,FALSE),VLOOKUP(E23,'04_PRODUCTOS'!B:F,5,FALSE)),IF(D23="Especial",IF(VLOOKUP(E23,'04_PRODUCTOS'!B:G,6,FALSE)="",VLOOKUP(E23,'04_PRODUCTOS'!B:E,4,FALSE),VLOOKUP(E23,'04_PRODUCTOS'!B:G,6,FALSE)),VLOOKUP(E23,'04_PRODUCTOS'!B:E,4,FALSE))),"")</f>
        <v/>
      </c>
      <c r="H23" t="str">
        <f t="shared" si="1"/>
        <v/>
      </c>
      <c r="I23" t="str">
        <f>IFERROR(H23-(F23*VLOOKUP(E23,'04_PRODUCTOS'!B:D,3,FALSE)),"")</f>
        <v/>
      </c>
      <c r="J23" t="str">
        <f t="shared" si="2"/>
        <v/>
      </c>
    </row>
    <row r="24" spans="1:10" x14ac:dyDescent="0.25">
      <c r="A24" t="str">
        <f t="shared" si="0"/>
        <v/>
      </c>
      <c r="B24" t="str">
        <f t="shared" ca="1" si="3"/>
        <v/>
      </c>
      <c r="G24" t="str">
        <f>IFERROR(IF(D24="Mayorista",IF(VLOOKUP(E24,'04_PRODUCTOS'!B:F,5,FALSE)="",VLOOKUP(E24,'04_PRODUCTOS'!B:E,4,FALSE),VLOOKUP(E24,'04_PRODUCTOS'!B:F,5,FALSE)),IF(D24="Especial",IF(VLOOKUP(E24,'04_PRODUCTOS'!B:G,6,FALSE)="",VLOOKUP(E24,'04_PRODUCTOS'!B:E,4,FALSE),VLOOKUP(E24,'04_PRODUCTOS'!B:G,6,FALSE)),VLOOKUP(E24,'04_PRODUCTOS'!B:E,4,FALSE))),"")</f>
        <v/>
      </c>
      <c r="H24" t="str">
        <f t="shared" si="1"/>
        <v/>
      </c>
      <c r="I24" t="str">
        <f>IFERROR(H24-(F24*VLOOKUP(E24,'04_PRODUCTOS'!B:D,3,FALSE)),"")</f>
        <v/>
      </c>
      <c r="J24" t="str">
        <f t="shared" si="2"/>
        <v/>
      </c>
    </row>
    <row r="25" spans="1:10" x14ac:dyDescent="0.25">
      <c r="A25" t="str">
        <f t="shared" si="0"/>
        <v/>
      </c>
      <c r="B25" t="str">
        <f t="shared" ca="1" si="3"/>
        <v/>
      </c>
      <c r="G25" t="str">
        <f>IFERROR(IF(D25="Mayorista",IF(VLOOKUP(E25,'04_PRODUCTOS'!B:F,5,FALSE)="",VLOOKUP(E25,'04_PRODUCTOS'!B:E,4,FALSE),VLOOKUP(E25,'04_PRODUCTOS'!B:F,5,FALSE)),IF(D25="Especial",IF(VLOOKUP(E25,'04_PRODUCTOS'!B:G,6,FALSE)="",VLOOKUP(E25,'04_PRODUCTOS'!B:E,4,FALSE),VLOOKUP(E25,'04_PRODUCTOS'!B:G,6,FALSE)),VLOOKUP(E25,'04_PRODUCTOS'!B:E,4,FALSE))),"")</f>
        <v/>
      </c>
      <c r="H25" t="str">
        <f t="shared" si="1"/>
        <v/>
      </c>
      <c r="I25" t="str">
        <f>IFERROR(H25-(F25*VLOOKUP(E25,'04_PRODUCTOS'!B:D,3,FALSE)),"")</f>
        <v/>
      </c>
      <c r="J25" t="str">
        <f t="shared" si="2"/>
        <v/>
      </c>
    </row>
    <row r="26" spans="1:10" x14ac:dyDescent="0.25">
      <c r="A26" t="str">
        <f t="shared" si="0"/>
        <v/>
      </c>
      <c r="B26" t="str">
        <f t="shared" ca="1" si="3"/>
        <v/>
      </c>
      <c r="G26" t="str">
        <f>IFERROR(IF(D26="Mayorista",IF(VLOOKUP(E26,'04_PRODUCTOS'!B:F,5,FALSE)="",VLOOKUP(E26,'04_PRODUCTOS'!B:E,4,FALSE),VLOOKUP(E26,'04_PRODUCTOS'!B:F,5,FALSE)),IF(D26="Especial",IF(VLOOKUP(E26,'04_PRODUCTOS'!B:G,6,FALSE)="",VLOOKUP(E26,'04_PRODUCTOS'!B:E,4,FALSE),VLOOKUP(E26,'04_PRODUCTOS'!B:G,6,FALSE)),VLOOKUP(E26,'04_PRODUCTOS'!B:E,4,FALSE))),"")</f>
        <v/>
      </c>
      <c r="H26" t="str">
        <f t="shared" si="1"/>
        <v/>
      </c>
      <c r="I26" t="str">
        <f>IFERROR(H26-(F26*VLOOKUP(E26,'04_PRODUCTOS'!B:D,3,FALSE)),"")</f>
        <v/>
      </c>
      <c r="J26" t="str">
        <f t="shared" si="2"/>
        <v/>
      </c>
    </row>
    <row r="27" spans="1:10" x14ac:dyDescent="0.25">
      <c r="A27" t="str">
        <f t="shared" si="0"/>
        <v/>
      </c>
      <c r="B27" t="str">
        <f t="shared" ca="1" si="3"/>
        <v/>
      </c>
      <c r="G27" t="str">
        <f>IFERROR(IF(D27="Mayorista",IF(VLOOKUP(E27,'04_PRODUCTOS'!B:F,5,FALSE)="",VLOOKUP(E27,'04_PRODUCTOS'!B:E,4,FALSE),VLOOKUP(E27,'04_PRODUCTOS'!B:F,5,FALSE)),IF(D27="Especial",IF(VLOOKUP(E27,'04_PRODUCTOS'!B:G,6,FALSE)="",VLOOKUP(E27,'04_PRODUCTOS'!B:E,4,FALSE),VLOOKUP(E27,'04_PRODUCTOS'!B:G,6,FALSE)),VLOOKUP(E27,'04_PRODUCTOS'!B:E,4,FALSE))),"")</f>
        <v/>
      </c>
      <c r="H27" t="str">
        <f t="shared" si="1"/>
        <v/>
      </c>
      <c r="I27" t="str">
        <f>IFERROR(H27-(F27*VLOOKUP(E27,'04_PRODUCTOS'!B:D,3,FALSE)),"")</f>
        <v/>
      </c>
      <c r="J27" t="str">
        <f t="shared" si="2"/>
        <v/>
      </c>
    </row>
    <row r="28" spans="1:10" x14ac:dyDescent="0.25">
      <c r="A28" t="str">
        <f t="shared" si="0"/>
        <v/>
      </c>
      <c r="B28" t="str">
        <f t="shared" ca="1" si="3"/>
        <v/>
      </c>
      <c r="G28" t="str">
        <f>IFERROR(IF(D28="Mayorista",IF(VLOOKUP(E28,'04_PRODUCTOS'!B:F,5,FALSE)="",VLOOKUP(E28,'04_PRODUCTOS'!B:E,4,FALSE),VLOOKUP(E28,'04_PRODUCTOS'!B:F,5,FALSE)),IF(D28="Especial",IF(VLOOKUP(E28,'04_PRODUCTOS'!B:G,6,FALSE)="",VLOOKUP(E28,'04_PRODUCTOS'!B:E,4,FALSE),VLOOKUP(E28,'04_PRODUCTOS'!B:G,6,FALSE)),VLOOKUP(E28,'04_PRODUCTOS'!B:E,4,FALSE))),"")</f>
        <v/>
      </c>
      <c r="H28" t="str">
        <f t="shared" si="1"/>
        <v/>
      </c>
      <c r="I28" t="str">
        <f>IFERROR(H28-(F28*VLOOKUP(E28,'04_PRODUCTOS'!B:D,3,FALSE)),"")</f>
        <v/>
      </c>
      <c r="J28" t="str">
        <f t="shared" si="2"/>
        <v/>
      </c>
    </row>
    <row r="29" spans="1:10" x14ac:dyDescent="0.25">
      <c r="A29" t="str">
        <f t="shared" si="0"/>
        <v/>
      </c>
      <c r="B29" t="str">
        <f t="shared" ca="1" si="3"/>
        <v/>
      </c>
      <c r="G29" t="str">
        <f>IFERROR(IF(D29="Mayorista",IF(VLOOKUP(E29,'04_PRODUCTOS'!B:F,5,FALSE)="",VLOOKUP(E29,'04_PRODUCTOS'!B:E,4,FALSE),VLOOKUP(E29,'04_PRODUCTOS'!B:F,5,FALSE)),IF(D29="Especial",IF(VLOOKUP(E29,'04_PRODUCTOS'!B:G,6,FALSE)="",VLOOKUP(E29,'04_PRODUCTOS'!B:E,4,FALSE),VLOOKUP(E29,'04_PRODUCTOS'!B:G,6,FALSE)),VLOOKUP(E29,'04_PRODUCTOS'!B:E,4,FALSE))),"")</f>
        <v/>
      </c>
      <c r="H29" t="str">
        <f t="shared" si="1"/>
        <v/>
      </c>
      <c r="I29" t="str">
        <f>IFERROR(H29-(F29*VLOOKUP(E29,'04_PRODUCTOS'!B:D,3,FALSE)),"")</f>
        <v/>
      </c>
      <c r="J29" t="str">
        <f t="shared" si="2"/>
        <v/>
      </c>
    </row>
    <row r="30" spans="1:10" x14ac:dyDescent="0.25">
      <c r="A30" t="str">
        <f t="shared" si="0"/>
        <v/>
      </c>
      <c r="B30" t="str">
        <f t="shared" ca="1" si="3"/>
        <v/>
      </c>
      <c r="G30" t="str">
        <f>IFERROR(IF(D30="Mayorista",IF(VLOOKUP(E30,'04_PRODUCTOS'!B:F,5,FALSE)="",VLOOKUP(E30,'04_PRODUCTOS'!B:E,4,FALSE),VLOOKUP(E30,'04_PRODUCTOS'!B:F,5,FALSE)),IF(D30="Especial",IF(VLOOKUP(E30,'04_PRODUCTOS'!B:G,6,FALSE)="",VLOOKUP(E30,'04_PRODUCTOS'!B:E,4,FALSE),VLOOKUP(E30,'04_PRODUCTOS'!B:G,6,FALSE)),VLOOKUP(E30,'04_PRODUCTOS'!B:E,4,FALSE))),"")</f>
        <v/>
      </c>
      <c r="H30" t="str">
        <f t="shared" si="1"/>
        <v/>
      </c>
      <c r="I30" t="str">
        <f>IFERROR(H30-(F30*VLOOKUP(E30,'04_PRODUCTOS'!B:D,3,FALSE)),"")</f>
        <v/>
      </c>
      <c r="J30" t="str">
        <f t="shared" si="2"/>
        <v/>
      </c>
    </row>
    <row r="31" spans="1:10" x14ac:dyDescent="0.25">
      <c r="A31" t="str">
        <f t="shared" si="0"/>
        <v/>
      </c>
      <c r="B31" t="str">
        <f t="shared" ca="1" si="3"/>
        <v/>
      </c>
      <c r="G31" t="str">
        <f>IFERROR(IF(D31="Mayorista",IF(VLOOKUP(E31,'04_PRODUCTOS'!B:F,5,FALSE)="",VLOOKUP(E31,'04_PRODUCTOS'!B:E,4,FALSE),VLOOKUP(E31,'04_PRODUCTOS'!B:F,5,FALSE)),IF(D31="Especial",IF(VLOOKUP(E31,'04_PRODUCTOS'!B:G,6,FALSE)="",VLOOKUP(E31,'04_PRODUCTOS'!B:E,4,FALSE),VLOOKUP(E31,'04_PRODUCTOS'!B:G,6,FALSE)),VLOOKUP(E31,'04_PRODUCTOS'!B:E,4,FALSE))),"")</f>
        <v/>
      </c>
      <c r="H31" t="str">
        <f t="shared" si="1"/>
        <v/>
      </c>
      <c r="I31" t="str">
        <f>IFERROR(H31-(F31*VLOOKUP(E31,'04_PRODUCTOS'!B:D,3,FALSE)),"")</f>
        <v/>
      </c>
      <c r="J31" t="str">
        <f t="shared" si="2"/>
        <v/>
      </c>
    </row>
    <row r="32" spans="1:10" x14ac:dyDescent="0.25">
      <c r="A32" t="str">
        <f t="shared" si="0"/>
        <v/>
      </c>
      <c r="B32" t="str">
        <f t="shared" ca="1" si="3"/>
        <v/>
      </c>
      <c r="G32" t="str">
        <f>IFERROR(IF(D32="Mayorista",IF(VLOOKUP(E32,'04_PRODUCTOS'!B:F,5,FALSE)="",VLOOKUP(E32,'04_PRODUCTOS'!B:E,4,FALSE),VLOOKUP(E32,'04_PRODUCTOS'!B:F,5,FALSE)),IF(D32="Especial",IF(VLOOKUP(E32,'04_PRODUCTOS'!B:G,6,FALSE)="",VLOOKUP(E32,'04_PRODUCTOS'!B:E,4,FALSE),VLOOKUP(E32,'04_PRODUCTOS'!B:G,6,FALSE)),VLOOKUP(E32,'04_PRODUCTOS'!B:E,4,FALSE))),"")</f>
        <v/>
      </c>
      <c r="H32" t="str">
        <f t="shared" si="1"/>
        <v/>
      </c>
      <c r="I32" t="str">
        <f>IFERROR(H32-(F32*VLOOKUP(E32,'04_PRODUCTOS'!B:D,3,FALSE)),"")</f>
        <v/>
      </c>
      <c r="J32" t="str">
        <f t="shared" si="2"/>
        <v/>
      </c>
    </row>
    <row r="33" spans="1:10" x14ac:dyDescent="0.25">
      <c r="A33" t="str">
        <f t="shared" si="0"/>
        <v/>
      </c>
      <c r="B33" t="str">
        <f t="shared" ca="1" si="3"/>
        <v/>
      </c>
      <c r="G33" t="str">
        <f>IFERROR(IF(D33="Mayorista",IF(VLOOKUP(E33,'04_PRODUCTOS'!B:F,5,FALSE)="",VLOOKUP(E33,'04_PRODUCTOS'!B:E,4,FALSE),VLOOKUP(E33,'04_PRODUCTOS'!B:F,5,FALSE)),IF(D33="Especial",IF(VLOOKUP(E33,'04_PRODUCTOS'!B:G,6,FALSE)="",VLOOKUP(E33,'04_PRODUCTOS'!B:E,4,FALSE),VLOOKUP(E33,'04_PRODUCTOS'!B:G,6,FALSE)),VLOOKUP(E33,'04_PRODUCTOS'!B:E,4,FALSE))),"")</f>
        <v/>
      </c>
      <c r="H33" t="str">
        <f t="shared" si="1"/>
        <v/>
      </c>
      <c r="I33" t="str">
        <f>IFERROR(H33-(F33*VLOOKUP(E33,'04_PRODUCTOS'!B:D,3,FALSE)),"")</f>
        <v/>
      </c>
      <c r="J33" t="str">
        <f t="shared" si="2"/>
        <v/>
      </c>
    </row>
    <row r="34" spans="1:10" x14ac:dyDescent="0.25">
      <c r="A34" t="str">
        <f t="shared" ref="A34:A65" si="4">IF(C34="","","VEN"&amp;TEXT(ROW()-1,"000000"))</f>
        <v/>
      </c>
      <c r="B34" t="str">
        <f t="shared" ca="1" si="3"/>
        <v/>
      </c>
      <c r="G34" t="str">
        <f>IFERROR(IF(D34="Mayorista",IF(VLOOKUP(E34,'04_PRODUCTOS'!B:F,5,FALSE)="",VLOOKUP(E34,'04_PRODUCTOS'!B:E,4,FALSE),VLOOKUP(E34,'04_PRODUCTOS'!B:F,5,FALSE)),IF(D34="Especial",IF(VLOOKUP(E34,'04_PRODUCTOS'!B:G,6,FALSE)="",VLOOKUP(E34,'04_PRODUCTOS'!B:E,4,FALSE),VLOOKUP(E34,'04_PRODUCTOS'!B:G,6,FALSE)),VLOOKUP(E34,'04_PRODUCTOS'!B:E,4,FALSE))),"")</f>
        <v/>
      </c>
      <c r="H34" t="str">
        <f t="shared" si="1"/>
        <v/>
      </c>
      <c r="I34" t="str">
        <f>IFERROR(H34-(F34*VLOOKUP(E34,'04_PRODUCTOS'!B:D,3,FALSE)),"")</f>
        <v/>
      </c>
      <c r="J34" t="str">
        <f t="shared" si="2"/>
        <v/>
      </c>
    </row>
    <row r="35" spans="1:10" x14ac:dyDescent="0.25">
      <c r="A35" t="str">
        <f t="shared" si="4"/>
        <v/>
      </c>
      <c r="B35" t="str">
        <f t="shared" ca="1" si="3"/>
        <v/>
      </c>
      <c r="G35" t="str">
        <f>IFERROR(IF(D35="Mayorista",IF(VLOOKUP(E35,'04_PRODUCTOS'!B:F,5,FALSE)="",VLOOKUP(E35,'04_PRODUCTOS'!B:E,4,FALSE),VLOOKUP(E35,'04_PRODUCTOS'!B:F,5,FALSE)),IF(D35="Especial",IF(VLOOKUP(E35,'04_PRODUCTOS'!B:G,6,FALSE)="",VLOOKUP(E35,'04_PRODUCTOS'!B:E,4,FALSE),VLOOKUP(E35,'04_PRODUCTOS'!B:G,6,FALSE)),VLOOKUP(E35,'04_PRODUCTOS'!B:E,4,FALSE))),"")</f>
        <v/>
      </c>
      <c r="H35" t="str">
        <f t="shared" si="1"/>
        <v/>
      </c>
      <c r="I35" t="str">
        <f>IFERROR(H35-(F35*VLOOKUP(E35,'04_PRODUCTOS'!B:D,3,FALSE)),"")</f>
        <v/>
      </c>
      <c r="J35" t="str">
        <f t="shared" si="2"/>
        <v/>
      </c>
    </row>
    <row r="36" spans="1:10" x14ac:dyDescent="0.25">
      <c r="A36" t="str">
        <f t="shared" si="4"/>
        <v/>
      </c>
      <c r="B36" t="str">
        <f t="shared" ca="1" si="3"/>
        <v/>
      </c>
      <c r="G36" t="str">
        <f>IFERROR(IF(D36="Mayorista",IF(VLOOKUP(E36,'04_PRODUCTOS'!B:F,5,FALSE)="",VLOOKUP(E36,'04_PRODUCTOS'!B:E,4,FALSE),VLOOKUP(E36,'04_PRODUCTOS'!B:F,5,FALSE)),IF(D36="Especial",IF(VLOOKUP(E36,'04_PRODUCTOS'!B:G,6,FALSE)="",VLOOKUP(E36,'04_PRODUCTOS'!B:E,4,FALSE),VLOOKUP(E36,'04_PRODUCTOS'!B:G,6,FALSE)),VLOOKUP(E36,'04_PRODUCTOS'!B:E,4,FALSE))),"")</f>
        <v/>
      </c>
      <c r="H36" t="str">
        <f t="shared" si="1"/>
        <v/>
      </c>
      <c r="I36" t="str">
        <f>IFERROR(H36-(F36*VLOOKUP(E36,'04_PRODUCTOS'!B:D,3,FALSE)),"")</f>
        <v/>
      </c>
      <c r="J36" t="str">
        <f t="shared" si="2"/>
        <v/>
      </c>
    </row>
    <row r="37" spans="1:10" x14ac:dyDescent="0.25">
      <c r="A37" t="str">
        <f t="shared" si="4"/>
        <v/>
      </c>
      <c r="B37" t="str">
        <f t="shared" ca="1" si="3"/>
        <v/>
      </c>
      <c r="G37" t="str">
        <f>IFERROR(IF(D37="Mayorista",IF(VLOOKUP(E37,'04_PRODUCTOS'!B:F,5,FALSE)="",VLOOKUP(E37,'04_PRODUCTOS'!B:E,4,FALSE),VLOOKUP(E37,'04_PRODUCTOS'!B:F,5,FALSE)),IF(D37="Especial",IF(VLOOKUP(E37,'04_PRODUCTOS'!B:G,6,FALSE)="",VLOOKUP(E37,'04_PRODUCTOS'!B:E,4,FALSE),VLOOKUP(E37,'04_PRODUCTOS'!B:G,6,FALSE)),VLOOKUP(E37,'04_PRODUCTOS'!B:E,4,FALSE))),"")</f>
        <v/>
      </c>
      <c r="H37" t="str">
        <f t="shared" si="1"/>
        <v/>
      </c>
      <c r="I37" t="str">
        <f>IFERROR(H37-(F37*VLOOKUP(E37,'04_PRODUCTOS'!B:D,3,FALSE)),"")</f>
        <v/>
      </c>
      <c r="J37" t="str">
        <f t="shared" si="2"/>
        <v/>
      </c>
    </row>
    <row r="38" spans="1:10" x14ac:dyDescent="0.25">
      <c r="A38" t="str">
        <f t="shared" si="4"/>
        <v/>
      </c>
      <c r="B38" t="str">
        <f t="shared" ref="B38:B69" ca="1" si="5">IF(C38="","",TODAY())</f>
        <v/>
      </c>
      <c r="G38" t="str">
        <f>IFERROR(IF(D38="Mayorista",IF(VLOOKUP(E38,'04_PRODUCTOS'!B:F,5,FALSE)="",VLOOKUP(E38,'04_PRODUCTOS'!B:E,4,FALSE),VLOOKUP(E38,'04_PRODUCTOS'!B:F,5,FALSE)),IF(D38="Especial",IF(VLOOKUP(E38,'04_PRODUCTOS'!B:G,6,FALSE)="",VLOOKUP(E38,'04_PRODUCTOS'!B:E,4,FALSE),VLOOKUP(E38,'04_PRODUCTOS'!B:G,6,FALSE)),VLOOKUP(E38,'04_PRODUCTOS'!B:E,4,FALSE))),"")</f>
        <v/>
      </c>
      <c r="H38" t="str">
        <f t="shared" si="1"/>
        <v/>
      </c>
      <c r="I38" t="str">
        <f>IFERROR(H38-(F38*VLOOKUP(E38,'04_PRODUCTOS'!B:D,3,FALSE)),"")</f>
        <v/>
      </c>
      <c r="J38" t="str">
        <f t="shared" si="2"/>
        <v/>
      </c>
    </row>
    <row r="39" spans="1:10" x14ac:dyDescent="0.25">
      <c r="A39" t="str">
        <f t="shared" si="4"/>
        <v/>
      </c>
      <c r="B39" t="str">
        <f t="shared" ca="1" si="5"/>
        <v/>
      </c>
      <c r="G39" t="str">
        <f>IFERROR(IF(D39="Mayorista",IF(VLOOKUP(E39,'04_PRODUCTOS'!B:F,5,FALSE)="",VLOOKUP(E39,'04_PRODUCTOS'!B:E,4,FALSE),VLOOKUP(E39,'04_PRODUCTOS'!B:F,5,FALSE)),IF(D39="Especial",IF(VLOOKUP(E39,'04_PRODUCTOS'!B:G,6,FALSE)="",VLOOKUP(E39,'04_PRODUCTOS'!B:E,4,FALSE),VLOOKUP(E39,'04_PRODUCTOS'!B:G,6,FALSE)),VLOOKUP(E39,'04_PRODUCTOS'!B:E,4,FALSE))),"")</f>
        <v/>
      </c>
      <c r="H39" t="str">
        <f t="shared" si="1"/>
        <v/>
      </c>
      <c r="I39" t="str">
        <f>IFERROR(H39-(F39*VLOOKUP(E39,'04_PRODUCTOS'!B:D,3,FALSE)),"")</f>
        <v/>
      </c>
      <c r="J39" t="str">
        <f t="shared" si="2"/>
        <v/>
      </c>
    </row>
    <row r="40" spans="1:10" x14ac:dyDescent="0.25">
      <c r="A40" t="str">
        <f t="shared" si="4"/>
        <v/>
      </c>
      <c r="B40" t="str">
        <f t="shared" ca="1" si="5"/>
        <v/>
      </c>
      <c r="G40" t="str">
        <f>IFERROR(IF(D40="Mayorista",IF(VLOOKUP(E40,'04_PRODUCTOS'!B:F,5,FALSE)="",VLOOKUP(E40,'04_PRODUCTOS'!B:E,4,FALSE),VLOOKUP(E40,'04_PRODUCTOS'!B:F,5,FALSE)),IF(D40="Especial",IF(VLOOKUP(E40,'04_PRODUCTOS'!B:G,6,FALSE)="",VLOOKUP(E40,'04_PRODUCTOS'!B:E,4,FALSE),VLOOKUP(E40,'04_PRODUCTOS'!B:G,6,FALSE)),VLOOKUP(E40,'04_PRODUCTOS'!B:E,4,FALSE))),"")</f>
        <v/>
      </c>
      <c r="H40" t="str">
        <f t="shared" si="1"/>
        <v/>
      </c>
      <c r="I40" t="str">
        <f>IFERROR(H40-(F40*VLOOKUP(E40,'04_PRODUCTOS'!B:D,3,FALSE)),"")</f>
        <v/>
      </c>
      <c r="J40" t="str">
        <f t="shared" si="2"/>
        <v/>
      </c>
    </row>
    <row r="41" spans="1:10" x14ac:dyDescent="0.25">
      <c r="A41" t="str">
        <f t="shared" si="4"/>
        <v/>
      </c>
      <c r="B41" t="str">
        <f t="shared" ca="1" si="5"/>
        <v/>
      </c>
      <c r="G41" t="str">
        <f>IFERROR(IF(D41="Mayorista",IF(VLOOKUP(E41,'04_PRODUCTOS'!B:F,5,FALSE)="",VLOOKUP(E41,'04_PRODUCTOS'!B:E,4,FALSE),VLOOKUP(E41,'04_PRODUCTOS'!B:F,5,FALSE)),IF(D41="Especial",IF(VLOOKUP(E41,'04_PRODUCTOS'!B:G,6,FALSE)="",VLOOKUP(E41,'04_PRODUCTOS'!B:E,4,FALSE),VLOOKUP(E41,'04_PRODUCTOS'!B:G,6,FALSE)),VLOOKUP(E41,'04_PRODUCTOS'!B:E,4,FALSE))),"")</f>
        <v/>
      </c>
      <c r="H41" t="str">
        <f t="shared" si="1"/>
        <v/>
      </c>
      <c r="I41" t="str">
        <f>IFERROR(H41-(F41*VLOOKUP(E41,'04_PRODUCTOS'!B:D,3,FALSE)),"")</f>
        <v/>
      </c>
      <c r="J41" t="str">
        <f t="shared" si="2"/>
        <v/>
      </c>
    </row>
    <row r="42" spans="1:10" x14ac:dyDescent="0.25">
      <c r="A42" t="str">
        <f t="shared" si="4"/>
        <v/>
      </c>
      <c r="B42" t="str">
        <f t="shared" ca="1" si="5"/>
        <v/>
      </c>
      <c r="G42" t="str">
        <f>IFERROR(IF(D42="Mayorista",IF(VLOOKUP(E42,'04_PRODUCTOS'!B:F,5,FALSE)="",VLOOKUP(E42,'04_PRODUCTOS'!B:E,4,FALSE),VLOOKUP(E42,'04_PRODUCTOS'!B:F,5,FALSE)),IF(D42="Especial",IF(VLOOKUP(E42,'04_PRODUCTOS'!B:G,6,FALSE)="",VLOOKUP(E42,'04_PRODUCTOS'!B:E,4,FALSE),VLOOKUP(E42,'04_PRODUCTOS'!B:G,6,FALSE)),VLOOKUP(E42,'04_PRODUCTOS'!B:E,4,FALSE))),"")</f>
        <v/>
      </c>
      <c r="H42" t="str">
        <f t="shared" si="1"/>
        <v/>
      </c>
      <c r="I42" t="str">
        <f>IFERROR(H42-(F42*VLOOKUP(E42,'04_PRODUCTOS'!B:D,3,FALSE)),"")</f>
        <v/>
      </c>
      <c r="J42" t="str">
        <f t="shared" si="2"/>
        <v/>
      </c>
    </row>
    <row r="43" spans="1:10" x14ac:dyDescent="0.25">
      <c r="A43" t="str">
        <f t="shared" si="4"/>
        <v/>
      </c>
      <c r="B43" t="str">
        <f t="shared" ca="1" si="5"/>
        <v/>
      </c>
      <c r="G43" t="str">
        <f>IFERROR(IF(D43="Mayorista",IF(VLOOKUP(E43,'04_PRODUCTOS'!B:F,5,FALSE)="",VLOOKUP(E43,'04_PRODUCTOS'!B:E,4,FALSE),VLOOKUP(E43,'04_PRODUCTOS'!B:F,5,FALSE)),IF(D43="Especial",IF(VLOOKUP(E43,'04_PRODUCTOS'!B:G,6,FALSE)="",VLOOKUP(E43,'04_PRODUCTOS'!B:E,4,FALSE),VLOOKUP(E43,'04_PRODUCTOS'!B:G,6,FALSE)),VLOOKUP(E43,'04_PRODUCTOS'!B:E,4,FALSE))),"")</f>
        <v/>
      </c>
      <c r="H43" t="str">
        <f t="shared" si="1"/>
        <v/>
      </c>
      <c r="I43" t="str">
        <f>IFERROR(H43-(F43*VLOOKUP(E43,'04_PRODUCTOS'!B:D,3,FALSE)),"")</f>
        <v/>
      </c>
      <c r="J43" t="str">
        <f t="shared" si="2"/>
        <v/>
      </c>
    </row>
    <row r="44" spans="1:10" x14ac:dyDescent="0.25">
      <c r="A44" t="str">
        <f t="shared" si="4"/>
        <v/>
      </c>
      <c r="B44" t="str">
        <f t="shared" ca="1" si="5"/>
        <v/>
      </c>
      <c r="G44" t="str">
        <f>IFERROR(IF(D44="Mayorista",IF(VLOOKUP(E44,'04_PRODUCTOS'!B:F,5,FALSE)="",VLOOKUP(E44,'04_PRODUCTOS'!B:E,4,FALSE),VLOOKUP(E44,'04_PRODUCTOS'!B:F,5,FALSE)),IF(D44="Especial",IF(VLOOKUP(E44,'04_PRODUCTOS'!B:G,6,FALSE)="",VLOOKUP(E44,'04_PRODUCTOS'!B:E,4,FALSE),VLOOKUP(E44,'04_PRODUCTOS'!B:G,6,FALSE)),VLOOKUP(E44,'04_PRODUCTOS'!B:E,4,FALSE))),"")</f>
        <v/>
      </c>
      <c r="H44" t="str">
        <f t="shared" si="1"/>
        <v/>
      </c>
      <c r="I44" t="str">
        <f>IFERROR(H44-(F44*VLOOKUP(E44,'04_PRODUCTOS'!B:D,3,FALSE)),"")</f>
        <v/>
      </c>
      <c r="J44" t="str">
        <f t="shared" si="2"/>
        <v/>
      </c>
    </row>
    <row r="45" spans="1:10" x14ac:dyDescent="0.25">
      <c r="A45" t="str">
        <f t="shared" si="4"/>
        <v/>
      </c>
      <c r="B45" t="str">
        <f t="shared" ca="1" si="5"/>
        <v/>
      </c>
      <c r="G45" t="str">
        <f>IFERROR(IF(D45="Mayorista",IF(VLOOKUP(E45,'04_PRODUCTOS'!B:F,5,FALSE)="",VLOOKUP(E45,'04_PRODUCTOS'!B:E,4,FALSE),VLOOKUP(E45,'04_PRODUCTOS'!B:F,5,FALSE)),IF(D45="Especial",IF(VLOOKUP(E45,'04_PRODUCTOS'!B:G,6,FALSE)="",VLOOKUP(E45,'04_PRODUCTOS'!B:E,4,FALSE),VLOOKUP(E45,'04_PRODUCTOS'!B:G,6,FALSE)),VLOOKUP(E45,'04_PRODUCTOS'!B:E,4,FALSE))),"")</f>
        <v/>
      </c>
      <c r="H45" t="str">
        <f t="shared" si="1"/>
        <v/>
      </c>
      <c r="I45" t="str">
        <f>IFERROR(H45-(F45*VLOOKUP(E45,'04_PRODUCTOS'!B:D,3,FALSE)),"")</f>
        <v/>
      </c>
      <c r="J45" t="str">
        <f t="shared" si="2"/>
        <v/>
      </c>
    </row>
    <row r="46" spans="1:10" x14ac:dyDescent="0.25">
      <c r="A46" t="str">
        <f t="shared" si="4"/>
        <v/>
      </c>
      <c r="B46" t="str">
        <f t="shared" ca="1" si="5"/>
        <v/>
      </c>
      <c r="G46" t="str">
        <f>IFERROR(IF(D46="Mayorista",IF(VLOOKUP(E46,'04_PRODUCTOS'!B:F,5,FALSE)="",VLOOKUP(E46,'04_PRODUCTOS'!B:E,4,FALSE),VLOOKUP(E46,'04_PRODUCTOS'!B:F,5,FALSE)),IF(D46="Especial",IF(VLOOKUP(E46,'04_PRODUCTOS'!B:G,6,FALSE)="",VLOOKUP(E46,'04_PRODUCTOS'!B:E,4,FALSE),VLOOKUP(E46,'04_PRODUCTOS'!B:G,6,FALSE)),VLOOKUP(E46,'04_PRODUCTOS'!B:E,4,FALSE))),"")</f>
        <v/>
      </c>
      <c r="H46" t="str">
        <f t="shared" si="1"/>
        <v/>
      </c>
      <c r="I46" t="str">
        <f>IFERROR(H46-(F46*VLOOKUP(E46,'04_PRODUCTOS'!B:D,3,FALSE)),"")</f>
        <v/>
      </c>
      <c r="J46" t="str">
        <f t="shared" si="2"/>
        <v/>
      </c>
    </row>
    <row r="47" spans="1:10" x14ac:dyDescent="0.25">
      <c r="A47" t="str">
        <f t="shared" si="4"/>
        <v/>
      </c>
      <c r="B47" t="str">
        <f t="shared" ca="1" si="5"/>
        <v/>
      </c>
      <c r="G47" t="str">
        <f>IFERROR(IF(D47="Mayorista",IF(VLOOKUP(E47,'04_PRODUCTOS'!B:F,5,FALSE)="",VLOOKUP(E47,'04_PRODUCTOS'!B:E,4,FALSE),VLOOKUP(E47,'04_PRODUCTOS'!B:F,5,FALSE)),IF(D47="Especial",IF(VLOOKUP(E47,'04_PRODUCTOS'!B:G,6,FALSE)="",VLOOKUP(E47,'04_PRODUCTOS'!B:E,4,FALSE),VLOOKUP(E47,'04_PRODUCTOS'!B:G,6,FALSE)),VLOOKUP(E47,'04_PRODUCTOS'!B:E,4,FALSE))),"")</f>
        <v/>
      </c>
      <c r="H47" t="str">
        <f t="shared" si="1"/>
        <v/>
      </c>
      <c r="I47" t="str">
        <f>IFERROR(H47-(F47*VLOOKUP(E47,'04_PRODUCTOS'!B:D,3,FALSE)),"")</f>
        <v/>
      </c>
      <c r="J47" t="str">
        <f t="shared" si="2"/>
        <v/>
      </c>
    </row>
    <row r="48" spans="1:10" x14ac:dyDescent="0.25">
      <c r="A48" t="str">
        <f t="shared" si="4"/>
        <v/>
      </c>
      <c r="B48" t="str">
        <f t="shared" ca="1" si="5"/>
        <v/>
      </c>
      <c r="G48" t="str">
        <f>IFERROR(IF(D48="Mayorista",IF(VLOOKUP(E48,'04_PRODUCTOS'!B:F,5,FALSE)="",VLOOKUP(E48,'04_PRODUCTOS'!B:E,4,FALSE),VLOOKUP(E48,'04_PRODUCTOS'!B:F,5,FALSE)),IF(D48="Especial",IF(VLOOKUP(E48,'04_PRODUCTOS'!B:G,6,FALSE)="",VLOOKUP(E48,'04_PRODUCTOS'!B:E,4,FALSE),VLOOKUP(E48,'04_PRODUCTOS'!B:G,6,FALSE)),VLOOKUP(E48,'04_PRODUCTOS'!B:E,4,FALSE))),"")</f>
        <v/>
      </c>
      <c r="H48" t="str">
        <f t="shared" si="1"/>
        <v/>
      </c>
      <c r="I48" t="str">
        <f>IFERROR(H48-(F48*VLOOKUP(E48,'04_PRODUCTOS'!B:D,3,FALSE)),"")</f>
        <v/>
      </c>
      <c r="J48" t="str">
        <f t="shared" si="2"/>
        <v/>
      </c>
    </row>
    <row r="49" spans="1:10" x14ac:dyDescent="0.25">
      <c r="A49" t="str">
        <f t="shared" si="4"/>
        <v/>
      </c>
      <c r="B49" t="str">
        <f t="shared" ca="1" si="5"/>
        <v/>
      </c>
      <c r="G49" t="str">
        <f>IFERROR(IF(D49="Mayorista",IF(VLOOKUP(E49,'04_PRODUCTOS'!B:F,5,FALSE)="",VLOOKUP(E49,'04_PRODUCTOS'!B:E,4,FALSE),VLOOKUP(E49,'04_PRODUCTOS'!B:F,5,FALSE)),IF(D49="Especial",IF(VLOOKUP(E49,'04_PRODUCTOS'!B:G,6,FALSE)="",VLOOKUP(E49,'04_PRODUCTOS'!B:E,4,FALSE),VLOOKUP(E49,'04_PRODUCTOS'!B:G,6,FALSE)),VLOOKUP(E49,'04_PRODUCTOS'!B:E,4,FALSE))),"")</f>
        <v/>
      </c>
      <c r="H49" t="str">
        <f t="shared" si="1"/>
        <v/>
      </c>
      <c r="I49" t="str">
        <f>IFERROR(H49-(F49*VLOOKUP(E49,'04_PRODUCTOS'!B:D,3,FALSE)),"")</f>
        <v/>
      </c>
      <c r="J49" t="str">
        <f t="shared" si="2"/>
        <v/>
      </c>
    </row>
    <row r="50" spans="1:10" x14ac:dyDescent="0.25">
      <c r="A50" t="str">
        <f t="shared" si="4"/>
        <v/>
      </c>
      <c r="B50" t="str">
        <f t="shared" ca="1" si="5"/>
        <v/>
      </c>
      <c r="G50" t="str">
        <f>IFERROR(IF(D50="Mayorista",IF(VLOOKUP(E50,'04_PRODUCTOS'!B:F,5,FALSE)="",VLOOKUP(E50,'04_PRODUCTOS'!B:E,4,FALSE),VLOOKUP(E50,'04_PRODUCTOS'!B:F,5,FALSE)),IF(D50="Especial",IF(VLOOKUP(E50,'04_PRODUCTOS'!B:G,6,FALSE)="",VLOOKUP(E50,'04_PRODUCTOS'!B:E,4,FALSE),VLOOKUP(E50,'04_PRODUCTOS'!B:G,6,FALSE)),VLOOKUP(E50,'04_PRODUCTOS'!B:E,4,FALSE))),"")</f>
        <v/>
      </c>
      <c r="H50" t="str">
        <f t="shared" si="1"/>
        <v/>
      </c>
      <c r="I50" t="str">
        <f>IFERROR(H50-(F50*VLOOKUP(E50,'04_PRODUCTOS'!B:D,3,FALSE)),"")</f>
        <v/>
      </c>
      <c r="J50" t="str">
        <f t="shared" si="2"/>
        <v/>
      </c>
    </row>
    <row r="51" spans="1:10" x14ac:dyDescent="0.25">
      <c r="A51" t="str">
        <f t="shared" si="4"/>
        <v/>
      </c>
      <c r="B51" t="str">
        <f t="shared" ca="1" si="5"/>
        <v/>
      </c>
      <c r="G51" t="str">
        <f>IFERROR(IF(D51="Mayorista",IF(VLOOKUP(E51,'04_PRODUCTOS'!B:F,5,FALSE)="",VLOOKUP(E51,'04_PRODUCTOS'!B:E,4,FALSE),VLOOKUP(E51,'04_PRODUCTOS'!B:F,5,FALSE)),IF(D51="Especial",IF(VLOOKUP(E51,'04_PRODUCTOS'!B:G,6,FALSE)="",VLOOKUP(E51,'04_PRODUCTOS'!B:E,4,FALSE),VLOOKUP(E51,'04_PRODUCTOS'!B:G,6,FALSE)),VLOOKUP(E51,'04_PRODUCTOS'!B:E,4,FALSE))),"")</f>
        <v/>
      </c>
      <c r="H51" t="str">
        <f t="shared" si="1"/>
        <v/>
      </c>
      <c r="I51" t="str">
        <f>IFERROR(H51-(F51*VLOOKUP(E51,'04_PRODUCTOS'!B:D,3,FALSE)),"")</f>
        <v/>
      </c>
      <c r="J51" t="str">
        <f t="shared" si="2"/>
        <v/>
      </c>
    </row>
    <row r="52" spans="1:10" x14ac:dyDescent="0.25">
      <c r="A52" t="str">
        <f t="shared" si="4"/>
        <v/>
      </c>
      <c r="B52" t="str">
        <f t="shared" ca="1" si="5"/>
        <v/>
      </c>
      <c r="G52" t="str">
        <f>IFERROR(IF(D52="Mayorista",IF(VLOOKUP(E52,'04_PRODUCTOS'!B:F,5,FALSE)="",VLOOKUP(E52,'04_PRODUCTOS'!B:E,4,FALSE),VLOOKUP(E52,'04_PRODUCTOS'!B:F,5,FALSE)),IF(D52="Especial",IF(VLOOKUP(E52,'04_PRODUCTOS'!B:G,6,FALSE)="",VLOOKUP(E52,'04_PRODUCTOS'!B:E,4,FALSE),VLOOKUP(E52,'04_PRODUCTOS'!B:G,6,FALSE)),VLOOKUP(E52,'04_PRODUCTOS'!B:E,4,FALSE))),"")</f>
        <v/>
      </c>
      <c r="H52" t="str">
        <f t="shared" si="1"/>
        <v/>
      </c>
      <c r="I52" t="str">
        <f>IFERROR(H52-(F52*VLOOKUP(E52,'04_PRODUCTOS'!B:D,3,FALSE)),"")</f>
        <v/>
      </c>
      <c r="J52" t="str">
        <f t="shared" si="2"/>
        <v/>
      </c>
    </row>
    <row r="53" spans="1:10" x14ac:dyDescent="0.25">
      <c r="A53" t="str">
        <f t="shared" si="4"/>
        <v/>
      </c>
      <c r="B53" t="str">
        <f t="shared" ca="1" si="5"/>
        <v/>
      </c>
      <c r="G53" t="str">
        <f>IFERROR(IF(D53="Mayorista",IF(VLOOKUP(E53,'04_PRODUCTOS'!B:F,5,FALSE)="",VLOOKUP(E53,'04_PRODUCTOS'!B:E,4,FALSE),VLOOKUP(E53,'04_PRODUCTOS'!B:F,5,FALSE)),IF(D53="Especial",IF(VLOOKUP(E53,'04_PRODUCTOS'!B:G,6,FALSE)="",VLOOKUP(E53,'04_PRODUCTOS'!B:E,4,FALSE),VLOOKUP(E53,'04_PRODUCTOS'!B:G,6,FALSE)),VLOOKUP(E53,'04_PRODUCTOS'!B:E,4,FALSE))),"")</f>
        <v/>
      </c>
      <c r="H53" t="str">
        <f t="shared" si="1"/>
        <v/>
      </c>
      <c r="I53" t="str">
        <f>IFERROR(H53-(F53*VLOOKUP(E53,'04_PRODUCTOS'!B:D,3,FALSE)),"")</f>
        <v/>
      </c>
      <c r="J53" t="str">
        <f t="shared" si="2"/>
        <v/>
      </c>
    </row>
    <row r="54" spans="1:10" x14ac:dyDescent="0.25">
      <c r="A54" t="str">
        <f t="shared" si="4"/>
        <v/>
      </c>
      <c r="B54" t="str">
        <f t="shared" ca="1" si="5"/>
        <v/>
      </c>
      <c r="G54" t="str">
        <f>IFERROR(IF(D54="Mayorista",IF(VLOOKUP(E54,'04_PRODUCTOS'!B:F,5,FALSE)="",VLOOKUP(E54,'04_PRODUCTOS'!B:E,4,FALSE),VLOOKUP(E54,'04_PRODUCTOS'!B:F,5,FALSE)),IF(D54="Especial",IF(VLOOKUP(E54,'04_PRODUCTOS'!B:G,6,FALSE)="",VLOOKUP(E54,'04_PRODUCTOS'!B:E,4,FALSE),VLOOKUP(E54,'04_PRODUCTOS'!B:G,6,FALSE)),VLOOKUP(E54,'04_PRODUCTOS'!B:E,4,FALSE))),"")</f>
        <v/>
      </c>
      <c r="H54" t="str">
        <f t="shared" si="1"/>
        <v/>
      </c>
      <c r="I54" t="str">
        <f>IFERROR(H54-(F54*VLOOKUP(E54,'04_PRODUCTOS'!B:D,3,FALSE)),"")</f>
        <v/>
      </c>
      <c r="J54" t="str">
        <f t="shared" si="2"/>
        <v/>
      </c>
    </row>
    <row r="55" spans="1:10" x14ac:dyDescent="0.25">
      <c r="A55" t="str">
        <f t="shared" si="4"/>
        <v/>
      </c>
      <c r="B55" t="str">
        <f t="shared" ca="1" si="5"/>
        <v/>
      </c>
      <c r="G55" t="str">
        <f>IFERROR(IF(D55="Mayorista",IF(VLOOKUP(E55,'04_PRODUCTOS'!B:F,5,FALSE)="",VLOOKUP(E55,'04_PRODUCTOS'!B:E,4,FALSE),VLOOKUP(E55,'04_PRODUCTOS'!B:F,5,FALSE)),IF(D55="Especial",IF(VLOOKUP(E55,'04_PRODUCTOS'!B:G,6,FALSE)="",VLOOKUP(E55,'04_PRODUCTOS'!B:E,4,FALSE),VLOOKUP(E55,'04_PRODUCTOS'!B:G,6,FALSE)),VLOOKUP(E55,'04_PRODUCTOS'!B:E,4,FALSE))),"")</f>
        <v/>
      </c>
      <c r="H55" t="str">
        <f t="shared" si="1"/>
        <v/>
      </c>
      <c r="I55" t="str">
        <f>IFERROR(H55-(F55*VLOOKUP(E55,'04_PRODUCTOS'!B:D,3,FALSE)),"")</f>
        <v/>
      </c>
      <c r="J55" t="str">
        <f t="shared" si="2"/>
        <v/>
      </c>
    </row>
    <row r="56" spans="1:10" x14ac:dyDescent="0.25">
      <c r="A56" t="str">
        <f t="shared" si="4"/>
        <v/>
      </c>
      <c r="B56" t="str">
        <f t="shared" ca="1" si="5"/>
        <v/>
      </c>
      <c r="G56" t="str">
        <f>IFERROR(IF(D56="Mayorista",IF(VLOOKUP(E56,'04_PRODUCTOS'!B:F,5,FALSE)="",VLOOKUP(E56,'04_PRODUCTOS'!B:E,4,FALSE),VLOOKUP(E56,'04_PRODUCTOS'!B:F,5,FALSE)),IF(D56="Especial",IF(VLOOKUP(E56,'04_PRODUCTOS'!B:G,6,FALSE)="",VLOOKUP(E56,'04_PRODUCTOS'!B:E,4,FALSE),VLOOKUP(E56,'04_PRODUCTOS'!B:G,6,FALSE)),VLOOKUP(E56,'04_PRODUCTOS'!B:E,4,FALSE))),"")</f>
        <v/>
      </c>
      <c r="H56" t="str">
        <f t="shared" si="1"/>
        <v/>
      </c>
      <c r="I56" t="str">
        <f>IFERROR(H56-(F56*VLOOKUP(E56,'04_PRODUCTOS'!B:D,3,FALSE)),"")</f>
        <v/>
      </c>
      <c r="J56" t="str">
        <f t="shared" si="2"/>
        <v/>
      </c>
    </row>
    <row r="57" spans="1:10" x14ac:dyDescent="0.25">
      <c r="A57" t="str">
        <f t="shared" si="4"/>
        <v/>
      </c>
      <c r="B57" t="str">
        <f t="shared" ca="1" si="5"/>
        <v/>
      </c>
      <c r="G57" t="str">
        <f>IFERROR(IF(D57="Mayorista",IF(VLOOKUP(E57,'04_PRODUCTOS'!B:F,5,FALSE)="",VLOOKUP(E57,'04_PRODUCTOS'!B:E,4,FALSE),VLOOKUP(E57,'04_PRODUCTOS'!B:F,5,FALSE)),IF(D57="Especial",IF(VLOOKUP(E57,'04_PRODUCTOS'!B:G,6,FALSE)="",VLOOKUP(E57,'04_PRODUCTOS'!B:E,4,FALSE),VLOOKUP(E57,'04_PRODUCTOS'!B:G,6,FALSE)),VLOOKUP(E57,'04_PRODUCTOS'!B:E,4,FALSE))),"")</f>
        <v/>
      </c>
      <c r="H57" t="str">
        <f t="shared" si="1"/>
        <v/>
      </c>
      <c r="I57" t="str">
        <f>IFERROR(H57-(F57*VLOOKUP(E57,'04_PRODUCTOS'!B:D,3,FALSE)),"")</f>
        <v/>
      </c>
      <c r="J57" t="str">
        <f t="shared" si="2"/>
        <v/>
      </c>
    </row>
    <row r="58" spans="1:10" x14ac:dyDescent="0.25">
      <c r="A58" t="str">
        <f t="shared" si="4"/>
        <v/>
      </c>
      <c r="B58" t="str">
        <f t="shared" ca="1" si="5"/>
        <v/>
      </c>
      <c r="G58" t="str">
        <f>IFERROR(IF(D58="Mayorista",IF(VLOOKUP(E58,'04_PRODUCTOS'!B:F,5,FALSE)="",VLOOKUP(E58,'04_PRODUCTOS'!B:E,4,FALSE),VLOOKUP(E58,'04_PRODUCTOS'!B:F,5,FALSE)),IF(D58="Especial",IF(VLOOKUP(E58,'04_PRODUCTOS'!B:G,6,FALSE)="",VLOOKUP(E58,'04_PRODUCTOS'!B:E,4,FALSE),VLOOKUP(E58,'04_PRODUCTOS'!B:G,6,FALSE)),VLOOKUP(E58,'04_PRODUCTOS'!B:E,4,FALSE))),"")</f>
        <v/>
      </c>
      <c r="H58" t="str">
        <f t="shared" si="1"/>
        <v/>
      </c>
      <c r="I58" t="str">
        <f>IFERROR(H58-(F58*VLOOKUP(E58,'04_PRODUCTOS'!B:D,3,FALSE)),"")</f>
        <v/>
      </c>
      <c r="J58" t="str">
        <f t="shared" si="2"/>
        <v/>
      </c>
    </row>
    <row r="59" spans="1:10" x14ac:dyDescent="0.25">
      <c r="A59" t="str">
        <f t="shared" si="4"/>
        <v/>
      </c>
      <c r="B59" t="str">
        <f t="shared" ca="1" si="5"/>
        <v/>
      </c>
      <c r="G59" t="str">
        <f>IFERROR(IF(D59="Mayorista",IF(VLOOKUP(E59,'04_PRODUCTOS'!B:F,5,FALSE)="",VLOOKUP(E59,'04_PRODUCTOS'!B:E,4,FALSE),VLOOKUP(E59,'04_PRODUCTOS'!B:F,5,FALSE)),IF(D59="Especial",IF(VLOOKUP(E59,'04_PRODUCTOS'!B:G,6,FALSE)="",VLOOKUP(E59,'04_PRODUCTOS'!B:E,4,FALSE),VLOOKUP(E59,'04_PRODUCTOS'!B:G,6,FALSE)),VLOOKUP(E59,'04_PRODUCTOS'!B:E,4,FALSE))),"")</f>
        <v/>
      </c>
      <c r="H59" t="str">
        <f t="shared" si="1"/>
        <v/>
      </c>
      <c r="I59" t="str">
        <f>IFERROR(H59-(F59*VLOOKUP(E59,'04_PRODUCTOS'!B:D,3,FALSE)),"")</f>
        <v/>
      </c>
      <c r="J59" t="str">
        <f t="shared" si="2"/>
        <v/>
      </c>
    </row>
    <row r="60" spans="1:10" x14ac:dyDescent="0.25">
      <c r="A60" t="str">
        <f t="shared" si="4"/>
        <v/>
      </c>
      <c r="B60" t="str">
        <f t="shared" ca="1" si="5"/>
        <v/>
      </c>
      <c r="G60" t="str">
        <f>IFERROR(IF(D60="Mayorista",IF(VLOOKUP(E60,'04_PRODUCTOS'!B:F,5,FALSE)="",VLOOKUP(E60,'04_PRODUCTOS'!B:E,4,FALSE),VLOOKUP(E60,'04_PRODUCTOS'!B:F,5,FALSE)),IF(D60="Especial",IF(VLOOKUP(E60,'04_PRODUCTOS'!B:G,6,FALSE)="",VLOOKUP(E60,'04_PRODUCTOS'!B:E,4,FALSE),VLOOKUP(E60,'04_PRODUCTOS'!B:G,6,FALSE)),VLOOKUP(E60,'04_PRODUCTOS'!B:E,4,FALSE))),"")</f>
        <v/>
      </c>
      <c r="H60" t="str">
        <f t="shared" si="1"/>
        <v/>
      </c>
      <c r="I60" t="str">
        <f>IFERROR(H60-(F60*VLOOKUP(E60,'04_PRODUCTOS'!B:D,3,FALSE)),"")</f>
        <v/>
      </c>
      <c r="J60" t="str">
        <f t="shared" si="2"/>
        <v/>
      </c>
    </row>
    <row r="61" spans="1:10" x14ac:dyDescent="0.25">
      <c r="A61" t="str">
        <f t="shared" si="4"/>
        <v/>
      </c>
      <c r="B61" t="str">
        <f t="shared" ca="1" si="5"/>
        <v/>
      </c>
      <c r="G61" t="str">
        <f>IFERROR(IF(D61="Mayorista",IF(VLOOKUP(E61,'04_PRODUCTOS'!B:F,5,FALSE)="",VLOOKUP(E61,'04_PRODUCTOS'!B:E,4,FALSE),VLOOKUP(E61,'04_PRODUCTOS'!B:F,5,FALSE)),IF(D61="Especial",IF(VLOOKUP(E61,'04_PRODUCTOS'!B:G,6,FALSE)="",VLOOKUP(E61,'04_PRODUCTOS'!B:E,4,FALSE),VLOOKUP(E61,'04_PRODUCTOS'!B:G,6,FALSE)),VLOOKUP(E61,'04_PRODUCTOS'!B:E,4,FALSE))),"")</f>
        <v/>
      </c>
      <c r="H61" t="str">
        <f t="shared" si="1"/>
        <v/>
      </c>
      <c r="I61" t="str">
        <f>IFERROR(H61-(F61*VLOOKUP(E61,'04_PRODUCTOS'!B:D,3,FALSE)),"")</f>
        <v/>
      </c>
      <c r="J61" t="str">
        <f t="shared" si="2"/>
        <v/>
      </c>
    </row>
    <row r="62" spans="1:10" x14ac:dyDescent="0.25">
      <c r="A62" t="str">
        <f t="shared" si="4"/>
        <v/>
      </c>
      <c r="B62" t="str">
        <f t="shared" ca="1" si="5"/>
        <v/>
      </c>
      <c r="G62" t="str">
        <f>IFERROR(IF(D62="Mayorista",IF(VLOOKUP(E62,'04_PRODUCTOS'!B:F,5,FALSE)="",VLOOKUP(E62,'04_PRODUCTOS'!B:E,4,FALSE),VLOOKUP(E62,'04_PRODUCTOS'!B:F,5,FALSE)),IF(D62="Especial",IF(VLOOKUP(E62,'04_PRODUCTOS'!B:G,6,FALSE)="",VLOOKUP(E62,'04_PRODUCTOS'!B:E,4,FALSE),VLOOKUP(E62,'04_PRODUCTOS'!B:G,6,FALSE)),VLOOKUP(E62,'04_PRODUCTOS'!B:E,4,FALSE))),"")</f>
        <v/>
      </c>
      <c r="H62" t="str">
        <f t="shared" si="1"/>
        <v/>
      </c>
      <c r="I62" t="str">
        <f>IFERROR(H62-(F62*VLOOKUP(E62,'04_PRODUCTOS'!B:D,3,FALSE)),"")</f>
        <v/>
      </c>
      <c r="J62" t="str">
        <f t="shared" si="2"/>
        <v/>
      </c>
    </row>
    <row r="63" spans="1:10" x14ac:dyDescent="0.25">
      <c r="A63" t="str">
        <f t="shared" si="4"/>
        <v/>
      </c>
      <c r="B63" t="str">
        <f t="shared" ca="1" si="5"/>
        <v/>
      </c>
      <c r="G63" t="str">
        <f>IFERROR(IF(D63="Mayorista",IF(VLOOKUP(E63,'04_PRODUCTOS'!B:F,5,FALSE)="",VLOOKUP(E63,'04_PRODUCTOS'!B:E,4,FALSE),VLOOKUP(E63,'04_PRODUCTOS'!B:F,5,FALSE)),IF(D63="Especial",IF(VLOOKUP(E63,'04_PRODUCTOS'!B:G,6,FALSE)="",VLOOKUP(E63,'04_PRODUCTOS'!B:E,4,FALSE),VLOOKUP(E63,'04_PRODUCTOS'!B:G,6,FALSE)),VLOOKUP(E63,'04_PRODUCTOS'!B:E,4,FALSE))),"")</f>
        <v/>
      </c>
      <c r="H63" t="str">
        <f t="shared" si="1"/>
        <v/>
      </c>
      <c r="I63" t="str">
        <f>IFERROR(H63-(F63*VLOOKUP(E63,'04_PRODUCTOS'!B:D,3,FALSE)),"")</f>
        <v/>
      </c>
      <c r="J63" t="str">
        <f t="shared" si="2"/>
        <v/>
      </c>
    </row>
    <row r="64" spans="1:10" x14ac:dyDescent="0.25">
      <c r="A64" t="str">
        <f t="shared" si="4"/>
        <v/>
      </c>
      <c r="B64" t="str">
        <f t="shared" ca="1" si="5"/>
        <v/>
      </c>
      <c r="G64" t="str">
        <f>IFERROR(IF(D64="Mayorista",IF(VLOOKUP(E64,'04_PRODUCTOS'!B:F,5,FALSE)="",VLOOKUP(E64,'04_PRODUCTOS'!B:E,4,FALSE),VLOOKUP(E64,'04_PRODUCTOS'!B:F,5,FALSE)),IF(D64="Especial",IF(VLOOKUP(E64,'04_PRODUCTOS'!B:G,6,FALSE)="",VLOOKUP(E64,'04_PRODUCTOS'!B:E,4,FALSE),VLOOKUP(E64,'04_PRODUCTOS'!B:G,6,FALSE)),VLOOKUP(E64,'04_PRODUCTOS'!B:E,4,FALSE))),"")</f>
        <v/>
      </c>
      <c r="H64" t="str">
        <f t="shared" si="1"/>
        <v/>
      </c>
      <c r="I64" t="str">
        <f>IFERROR(H64-(F64*VLOOKUP(E64,'04_PRODUCTOS'!B:D,3,FALSE)),"")</f>
        <v/>
      </c>
      <c r="J64" t="str">
        <f t="shared" si="2"/>
        <v/>
      </c>
    </row>
    <row r="65" spans="1:10" x14ac:dyDescent="0.25">
      <c r="A65" t="str">
        <f t="shared" si="4"/>
        <v/>
      </c>
      <c r="B65" t="str">
        <f t="shared" ca="1" si="5"/>
        <v/>
      </c>
      <c r="G65" t="str">
        <f>IFERROR(IF(D65="Mayorista",IF(VLOOKUP(E65,'04_PRODUCTOS'!B:F,5,FALSE)="",VLOOKUP(E65,'04_PRODUCTOS'!B:E,4,FALSE),VLOOKUP(E65,'04_PRODUCTOS'!B:F,5,FALSE)),IF(D65="Especial",IF(VLOOKUP(E65,'04_PRODUCTOS'!B:G,6,FALSE)="",VLOOKUP(E65,'04_PRODUCTOS'!B:E,4,FALSE),VLOOKUP(E65,'04_PRODUCTOS'!B:G,6,FALSE)),VLOOKUP(E65,'04_PRODUCTOS'!B:E,4,FALSE))),"")</f>
        <v/>
      </c>
      <c r="H65" t="str">
        <f t="shared" si="1"/>
        <v/>
      </c>
      <c r="I65" t="str">
        <f>IFERROR(H65-(F65*VLOOKUP(E65,'04_PRODUCTOS'!B:D,3,FALSE)),"")</f>
        <v/>
      </c>
      <c r="J65" t="str">
        <f t="shared" si="2"/>
        <v/>
      </c>
    </row>
    <row r="66" spans="1:10" x14ac:dyDescent="0.25">
      <c r="A66" t="str">
        <f t="shared" ref="A66:A97" si="6">IF(C66="","","VEN"&amp;TEXT(ROW()-1,"000000"))</f>
        <v/>
      </c>
      <c r="B66" t="str">
        <f t="shared" ca="1" si="5"/>
        <v/>
      </c>
      <c r="G66" t="str">
        <f>IFERROR(IF(D66="Mayorista",IF(VLOOKUP(E66,'04_PRODUCTOS'!B:F,5,FALSE)="",VLOOKUP(E66,'04_PRODUCTOS'!B:E,4,FALSE),VLOOKUP(E66,'04_PRODUCTOS'!B:F,5,FALSE)),IF(D66="Especial",IF(VLOOKUP(E66,'04_PRODUCTOS'!B:G,6,FALSE)="",VLOOKUP(E66,'04_PRODUCTOS'!B:E,4,FALSE),VLOOKUP(E66,'04_PRODUCTOS'!B:G,6,FALSE)),VLOOKUP(E66,'04_PRODUCTOS'!B:E,4,FALSE))),"")</f>
        <v/>
      </c>
      <c r="H66" t="str">
        <f t="shared" ref="H66:H129" si="7">IF(AND(F66&lt;&gt;"",G66&lt;&gt;""),F66*G66,"")</f>
        <v/>
      </c>
      <c r="I66" t="str">
        <f>IFERROR(H66-(F66*VLOOKUP(E66,'04_PRODUCTOS'!B:D,3,FALSE)),"")</f>
        <v/>
      </c>
      <c r="J66" t="str">
        <f t="shared" ref="J66:J129" si="8">IFERROR(I66/H66,"")</f>
        <v/>
      </c>
    </row>
    <row r="67" spans="1:10" x14ac:dyDescent="0.25">
      <c r="A67" t="str">
        <f t="shared" si="6"/>
        <v/>
      </c>
      <c r="B67" t="str">
        <f t="shared" ca="1" si="5"/>
        <v/>
      </c>
      <c r="G67" t="str">
        <f>IFERROR(IF(D67="Mayorista",IF(VLOOKUP(E67,'04_PRODUCTOS'!B:F,5,FALSE)="",VLOOKUP(E67,'04_PRODUCTOS'!B:E,4,FALSE),VLOOKUP(E67,'04_PRODUCTOS'!B:F,5,FALSE)),IF(D67="Especial",IF(VLOOKUP(E67,'04_PRODUCTOS'!B:G,6,FALSE)="",VLOOKUP(E67,'04_PRODUCTOS'!B:E,4,FALSE),VLOOKUP(E67,'04_PRODUCTOS'!B:G,6,FALSE)),VLOOKUP(E67,'04_PRODUCTOS'!B:E,4,FALSE))),"")</f>
        <v/>
      </c>
      <c r="H67" t="str">
        <f t="shared" si="7"/>
        <v/>
      </c>
      <c r="I67" t="str">
        <f>IFERROR(H67-(F67*VLOOKUP(E67,'04_PRODUCTOS'!B:D,3,FALSE)),"")</f>
        <v/>
      </c>
      <c r="J67" t="str">
        <f t="shared" si="8"/>
        <v/>
      </c>
    </row>
    <row r="68" spans="1:10" x14ac:dyDescent="0.25">
      <c r="A68" t="str">
        <f t="shared" si="6"/>
        <v/>
      </c>
      <c r="B68" t="str">
        <f t="shared" ca="1" si="5"/>
        <v/>
      </c>
      <c r="G68" t="str">
        <f>IFERROR(IF(D68="Mayorista",IF(VLOOKUP(E68,'04_PRODUCTOS'!B:F,5,FALSE)="",VLOOKUP(E68,'04_PRODUCTOS'!B:E,4,FALSE),VLOOKUP(E68,'04_PRODUCTOS'!B:F,5,FALSE)),IF(D68="Especial",IF(VLOOKUP(E68,'04_PRODUCTOS'!B:G,6,FALSE)="",VLOOKUP(E68,'04_PRODUCTOS'!B:E,4,FALSE),VLOOKUP(E68,'04_PRODUCTOS'!B:G,6,FALSE)),VLOOKUP(E68,'04_PRODUCTOS'!B:E,4,FALSE))),"")</f>
        <v/>
      </c>
      <c r="H68" t="str">
        <f t="shared" si="7"/>
        <v/>
      </c>
      <c r="I68" t="str">
        <f>IFERROR(H68-(F68*VLOOKUP(E68,'04_PRODUCTOS'!B:D,3,FALSE)),"")</f>
        <v/>
      </c>
      <c r="J68" t="str">
        <f t="shared" si="8"/>
        <v/>
      </c>
    </row>
    <row r="69" spans="1:10" x14ac:dyDescent="0.25">
      <c r="A69" t="str">
        <f t="shared" si="6"/>
        <v/>
      </c>
      <c r="B69" t="str">
        <f t="shared" ca="1" si="5"/>
        <v/>
      </c>
      <c r="G69" t="str">
        <f>IFERROR(IF(D69="Mayorista",IF(VLOOKUP(E69,'04_PRODUCTOS'!B:F,5,FALSE)="",VLOOKUP(E69,'04_PRODUCTOS'!B:E,4,FALSE),VLOOKUP(E69,'04_PRODUCTOS'!B:F,5,FALSE)),IF(D69="Especial",IF(VLOOKUP(E69,'04_PRODUCTOS'!B:G,6,FALSE)="",VLOOKUP(E69,'04_PRODUCTOS'!B:E,4,FALSE),VLOOKUP(E69,'04_PRODUCTOS'!B:G,6,FALSE)),VLOOKUP(E69,'04_PRODUCTOS'!B:E,4,FALSE))),"")</f>
        <v/>
      </c>
      <c r="H69" t="str">
        <f t="shared" si="7"/>
        <v/>
      </c>
      <c r="I69" t="str">
        <f>IFERROR(H69-(F69*VLOOKUP(E69,'04_PRODUCTOS'!B:D,3,FALSE)),"")</f>
        <v/>
      </c>
      <c r="J69" t="str">
        <f t="shared" si="8"/>
        <v/>
      </c>
    </row>
    <row r="70" spans="1:10" x14ac:dyDescent="0.25">
      <c r="A70" t="str">
        <f t="shared" si="6"/>
        <v/>
      </c>
      <c r="B70" t="str">
        <f t="shared" ref="B70:B101" ca="1" si="9">IF(C70="","",TODAY())</f>
        <v/>
      </c>
      <c r="G70" t="str">
        <f>IFERROR(IF(D70="Mayorista",IF(VLOOKUP(E70,'04_PRODUCTOS'!B:F,5,FALSE)="",VLOOKUP(E70,'04_PRODUCTOS'!B:E,4,FALSE),VLOOKUP(E70,'04_PRODUCTOS'!B:F,5,FALSE)),IF(D70="Especial",IF(VLOOKUP(E70,'04_PRODUCTOS'!B:G,6,FALSE)="",VLOOKUP(E70,'04_PRODUCTOS'!B:E,4,FALSE),VLOOKUP(E70,'04_PRODUCTOS'!B:G,6,FALSE)),VLOOKUP(E70,'04_PRODUCTOS'!B:E,4,FALSE))),"")</f>
        <v/>
      </c>
      <c r="H70" t="str">
        <f t="shared" si="7"/>
        <v/>
      </c>
      <c r="I70" t="str">
        <f>IFERROR(H70-(F70*VLOOKUP(E70,'04_PRODUCTOS'!B:D,3,FALSE)),"")</f>
        <v/>
      </c>
      <c r="J70" t="str">
        <f t="shared" si="8"/>
        <v/>
      </c>
    </row>
    <row r="71" spans="1:10" x14ac:dyDescent="0.25">
      <c r="A71" t="str">
        <f t="shared" si="6"/>
        <v/>
      </c>
      <c r="B71" t="str">
        <f t="shared" ca="1" si="9"/>
        <v/>
      </c>
      <c r="G71" t="str">
        <f>IFERROR(IF(D71="Mayorista",IF(VLOOKUP(E71,'04_PRODUCTOS'!B:F,5,FALSE)="",VLOOKUP(E71,'04_PRODUCTOS'!B:E,4,FALSE),VLOOKUP(E71,'04_PRODUCTOS'!B:F,5,FALSE)),IF(D71="Especial",IF(VLOOKUP(E71,'04_PRODUCTOS'!B:G,6,FALSE)="",VLOOKUP(E71,'04_PRODUCTOS'!B:E,4,FALSE),VLOOKUP(E71,'04_PRODUCTOS'!B:G,6,FALSE)),VLOOKUP(E71,'04_PRODUCTOS'!B:E,4,FALSE))),"")</f>
        <v/>
      </c>
      <c r="H71" t="str">
        <f t="shared" si="7"/>
        <v/>
      </c>
      <c r="I71" t="str">
        <f>IFERROR(H71-(F71*VLOOKUP(E71,'04_PRODUCTOS'!B:D,3,FALSE)),"")</f>
        <v/>
      </c>
      <c r="J71" t="str">
        <f t="shared" si="8"/>
        <v/>
      </c>
    </row>
    <row r="72" spans="1:10" x14ac:dyDescent="0.25">
      <c r="A72" t="str">
        <f t="shared" si="6"/>
        <v/>
      </c>
      <c r="B72" t="str">
        <f t="shared" ca="1" si="9"/>
        <v/>
      </c>
      <c r="G72" t="str">
        <f>IFERROR(IF(D72="Mayorista",IF(VLOOKUP(E72,'04_PRODUCTOS'!B:F,5,FALSE)="",VLOOKUP(E72,'04_PRODUCTOS'!B:E,4,FALSE),VLOOKUP(E72,'04_PRODUCTOS'!B:F,5,FALSE)),IF(D72="Especial",IF(VLOOKUP(E72,'04_PRODUCTOS'!B:G,6,FALSE)="",VLOOKUP(E72,'04_PRODUCTOS'!B:E,4,FALSE),VLOOKUP(E72,'04_PRODUCTOS'!B:G,6,FALSE)),VLOOKUP(E72,'04_PRODUCTOS'!B:E,4,FALSE))),"")</f>
        <v/>
      </c>
      <c r="H72" t="str">
        <f t="shared" si="7"/>
        <v/>
      </c>
      <c r="I72" t="str">
        <f>IFERROR(H72-(F72*VLOOKUP(E72,'04_PRODUCTOS'!B:D,3,FALSE)),"")</f>
        <v/>
      </c>
      <c r="J72" t="str">
        <f t="shared" si="8"/>
        <v/>
      </c>
    </row>
    <row r="73" spans="1:10" x14ac:dyDescent="0.25">
      <c r="A73" t="str">
        <f t="shared" si="6"/>
        <v/>
      </c>
      <c r="B73" t="str">
        <f t="shared" ca="1" si="9"/>
        <v/>
      </c>
      <c r="G73" t="str">
        <f>IFERROR(IF(D73="Mayorista",IF(VLOOKUP(E73,'04_PRODUCTOS'!B:F,5,FALSE)="",VLOOKUP(E73,'04_PRODUCTOS'!B:E,4,FALSE),VLOOKUP(E73,'04_PRODUCTOS'!B:F,5,FALSE)),IF(D73="Especial",IF(VLOOKUP(E73,'04_PRODUCTOS'!B:G,6,FALSE)="",VLOOKUP(E73,'04_PRODUCTOS'!B:E,4,FALSE),VLOOKUP(E73,'04_PRODUCTOS'!B:G,6,FALSE)),VLOOKUP(E73,'04_PRODUCTOS'!B:E,4,FALSE))),"")</f>
        <v/>
      </c>
      <c r="H73" t="str">
        <f t="shared" si="7"/>
        <v/>
      </c>
      <c r="I73" t="str">
        <f>IFERROR(H73-(F73*VLOOKUP(E73,'04_PRODUCTOS'!B:D,3,FALSE)),"")</f>
        <v/>
      </c>
      <c r="J73" t="str">
        <f t="shared" si="8"/>
        <v/>
      </c>
    </row>
    <row r="74" spans="1:10" x14ac:dyDescent="0.25">
      <c r="A74" t="str">
        <f t="shared" si="6"/>
        <v/>
      </c>
      <c r="B74" t="str">
        <f t="shared" ca="1" si="9"/>
        <v/>
      </c>
      <c r="G74" t="str">
        <f>IFERROR(IF(D74="Mayorista",IF(VLOOKUP(E74,'04_PRODUCTOS'!B:F,5,FALSE)="",VLOOKUP(E74,'04_PRODUCTOS'!B:E,4,FALSE),VLOOKUP(E74,'04_PRODUCTOS'!B:F,5,FALSE)),IF(D74="Especial",IF(VLOOKUP(E74,'04_PRODUCTOS'!B:G,6,FALSE)="",VLOOKUP(E74,'04_PRODUCTOS'!B:E,4,FALSE),VLOOKUP(E74,'04_PRODUCTOS'!B:G,6,FALSE)),VLOOKUP(E74,'04_PRODUCTOS'!B:E,4,FALSE))),"")</f>
        <v/>
      </c>
      <c r="H74" t="str">
        <f t="shared" si="7"/>
        <v/>
      </c>
      <c r="I74" t="str">
        <f>IFERROR(H74-(F74*VLOOKUP(E74,'04_PRODUCTOS'!B:D,3,FALSE)),"")</f>
        <v/>
      </c>
      <c r="J74" t="str">
        <f t="shared" si="8"/>
        <v/>
      </c>
    </row>
    <row r="75" spans="1:10" x14ac:dyDescent="0.25">
      <c r="A75" t="str">
        <f t="shared" si="6"/>
        <v/>
      </c>
      <c r="B75" t="str">
        <f t="shared" ca="1" si="9"/>
        <v/>
      </c>
      <c r="G75" t="str">
        <f>IFERROR(IF(D75="Mayorista",IF(VLOOKUP(E75,'04_PRODUCTOS'!B:F,5,FALSE)="",VLOOKUP(E75,'04_PRODUCTOS'!B:E,4,FALSE),VLOOKUP(E75,'04_PRODUCTOS'!B:F,5,FALSE)),IF(D75="Especial",IF(VLOOKUP(E75,'04_PRODUCTOS'!B:G,6,FALSE)="",VLOOKUP(E75,'04_PRODUCTOS'!B:E,4,FALSE),VLOOKUP(E75,'04_PRODUCTOS'!B:G,6,FALSE)),VLOOKUP(E75,'04_PRODUCTOS'!B:E,4,FALSE))),"")</f>
        <v/>
      </c>
      <c r="H75" t="str">
        <f t="shared" si="7"/>
        <v/>
      </c>
      <c r="I75" t="str">
        <f>IFERROR(H75-(F75*VLOOKUP(E75,'04_PRODUCTOS'!B:D,3,FALSE)),"")</f>
        <v/>
      </c>
      <c r="J75" t="str">
        <f t="shared" si="8"/>
        <v/>
      </c>
    </row>
    <row r="76" spans="1:10" x14ac:dyDescent="0.25">
      <c r="A76" t="str">
        <f t="shared" si="6"/>
        <v/>
      </c>
      <c r="B76" t="str">
        <f t="shared" ca="1" si="9"/>
        <v/>
      </c>
      <c r="G76" t="str">
        <f>IFERROR(IF(D76="Mayorista",IF(VLOOKUP(E76,'04_PRODUCTOS'!B:F,5,FALSE)="",VLOOKUP(E76,'04_PRODUCTOS'!B:E,4,FALSE),VLOOKUP(E76,'04_PRODUCTOS'!B:F,5,FALSE)),IF(D76="Especial",IF(VLOOKUP(E76,'04_PRODUCTOS'!B:G,6,FALSE)="",VLOOKUP(E76,'04_PRODUCTOS'!B:E,4,FALSE),VLOOKUP(E76,'04_PRODUCTOS'!B:G,6,FALSE)),VLOOKUP(E76,'04_PRODUCTOS'!B:E,4,FALSE))),"")</f>
        <v/>
      </c>
      <c r="H76" t="str">
        <f t="shared" si="7"/>
        <v/>
      </c>
      <c r="I76" t="str">
        <f>IFERROR(H76-(F76*VLOOKUP(E76,'04_PRODUCTOS'!B:D,3,FALSE)),"")</f>
        <v/>
      </c>
      <c r="J76" t="str">
        <f t="shared" si="8"/>
        <v/>
      </c>
    </row>
    <row r="77" spans="1:10" x14ac:dyDescent="0.25">
      <c r="A77" t="str">
        <f t="shared" si="6"/>
        <v/>
      </c>
      <c r="B77" t="str">
        <f t="shared" ca="1" si="9"/>
        <v/>
      </c>
      <c r="G77" t="str">
        <f>IFERROR(IF(D77="Mayorista",IF(VLOOKUP(E77,'04_PRODUCTOS'!B:F,5,FALSE)="",VLOOKUP(E77,'04_PRODUCTOS'!B:E,4,FALSE),VLOOKUP(E77,'04_PRODUCTOS'!B:F,5,FALSE)),IF(D77="Especial",IF(VLOOKUP(E77,'04_PRODUCTOS'!B:G,6,FALSE)="",VLOOKUP(E77,'04_PRODUCTOS'!B:E,4,FALSE),VLOOKUP(E77,'04_PRODUCTOS'!B:G,6,FALSE)),VLOOKUP(E77,'04_PRODUCTOS'!B:E,4,FALSE))),"")</f>
        <v/>
      </c>
      <c r="H77" t="str">
        <f t="shared" si="7"/>
        <v/>
      </c>
      <c r="I77" t="str">
        <f>IFERROR(H77-(F77*VLOOKUP(E77,'04_PRODUCTOS'!B:D,3,FALSE)),"")</f>
        <v/>
      </c>
      <c r="J77" t="str">
        <f t="shared" si="8"/>
        <v/>
      </c>
    </row>
    <row r="78" spans="1:10" x14ac:dyDescent="0.25">
      <c r="A78" t="str">
        <f t="shared" si="6"/>
        <v/>
      </c>
      <c r="B78" t="str">
        <f t="shared" ca="1" si="9"/>
        <v/>
      </c>
      <c r="G78" t="str">
        <f>IFERROR(IF(D78="Mayorista",IF(VLOOKUP(E78,'04_PRODUCTOS'!B:F,5,FALSE)="",VLOOKUP(E78,'04_PRODUCTOS'!B:E,4,FALSE),VLOOKUP(E78,'04_PRODUCTOS'!B:F,5,FALSE)),IF(D78="Especial",IF(VLOOKUP(E78,'04_PRODUCTOS'!B:G,6,FALSE)="",VLOOKUP(E78,'04_PRODUCTOS'!B:E,4,FALSE),VLOOKUP(E78,'04_PRODUCTOS'!B:G,6,FALSE)),VLOOKUP(E78,'04_PRODUCTOS'!B:E,4,FALSE))),"")</f>
        <v/>
      </c>
      <c r="H78" t="str">
        <f t="shared" si="7"/>
        <v/>
      </c>
      <c r="I78" t="str">
        <f>IFERROR(H78-(F78*VLOOKUP(E78,'04_PRODUCTOS'!B:D,3,FALSE)),"")</f>
        <v/>
      </c>
      <c r="J78" t="str">
        <f t="shared" si="8"/>
        <v/>
      </c>
    </row>
    <row r="79" spans="1:10" x14ac:dyDescent="0.25">
      <c r="A79" t="str">
        <f t="shared" si="6"/>
        <v/>
      </c>
      <c r="B79" t="str">
        <f t="shared" ca="1" si="9"/>
        <v/>
      </c>
      <c r="G79" t="str">
        <f>IFERROR(IF(D79="Mayorista",IF(VLOOKUP(E79,'04_PRODUCTOS'!B:F,5,FALSE)="",VLOOKUP(E79,'04_PRODUCTOS'!B:E,4,FALSE),VLOOKUP(E79,'04_PRODUCTOS'!B:F,5,FALSE)),IF(D79="Especial",IF(VLOOKUP(E79,'04_PRODUCTOS'!B:G,6,FALSE)="",VLOOKUP(E79,'04_PRODUCTOS'!B:E,4,FALSE),VLOOKUP(E79,'04_PRODUCTOS'!B:G,6,FALSE)),VLOOKUP(E79,'04_PRODUCTOS'!B:E,4,FALSE))),"")</f>
        <v/>
      </c>
      <c r="H79" t="str">
        <f t="shared" si="7"/>
        <v/>
      </c>
      <c r="I79" t="str">
        <f>IFERROR(H79-(F79*VLOOKUP(E79,'04_PRODUCTOS'!B:D,3,FALSE)),"")</f>
        <v/>
      </c>
      <c r="J79" t="str">
        <f t="shared" si="8"/>
        <v/>
      </c>
    </row>
    <row r="80" spans="1:10" x14ac:dyDescent="0.25">
      <c r="A80" t="str">
        <f t="shared" si="6"/>
        <v/>
      </c>
      <c r="B80" t="str">
        <f t="shared" ca="1" si="9"/>
        <v/>
      </c>
      <c r="G80" t="str">
        <f>IFERROR(IF(D80="Mayorista",IF(VLOOKUP(E80,'04_PRODUCTOS'!B:F,5,FALSE)="",VLOOKUP(E80,'04_PRODUCTOS'!B:E,4,FALSE),VLOOKUP(E80,'04_PRODUCTOS'!B:F,5,FALSE)),IF(D80="Especial",IF(VLOOKUP(E80,'04_PRODUCTOS'!B:G,6,FALSE)="",VLOOKUP(E80,'04_PRODUCTOS'!B:E,4,FALSE),VLOOKUP(E80,'04_PRODUCTOS'!B:G,6,FALSE)),VLOOKUP(E80,'04_PRODUCTOS'!B:E,4,FALSE))),"")</f>
        <v/>
      </c>
      <c r="H80" t="str">
        <f t="shared" si="7"/>
        <v/>
      </c>
      <c r="I80" t="str">
        <f>IFERROR(H80-(F80*VLOOKUP(E80,'04_PRODUCTOS'!B:D,3,FALSE)),"")</f>
        <v/>
      </c>
      <c r="J80" t="str">
        <f t="shared" si="8"/>
        <v/>
      </c>
    </row>
    <row r="81" spans="1:10" x14ac:dyDescent="0.25">
      <c r="A81" t="str">
        <f t="shared" si="6"/>
        <v/>
      </c>
      <c r="B81" t="str">
        <f t="shared" ca="1" si="9"/>
        <v/>
      </c>
      <c r="G81" t="str">
        <f>IFERROR(IF(D81="Mayorista",IF(VLOOKUP(E81,'04_PRODUCTOS'!B:F,5,FALSE)="",VLOOKUP(E81,'04_PRODUCTOS'!B:E,4,FALSE),VLOOKUP(E81,'04_PRODUCTOS'!B:F,5,FALSE)),IF(D81="Especial",IF(VLOOKUP(E81,'04_PRODUCTOS'!B:G,6,FALSE)="",VLOOKUP(E81,'04_PRODUCTOS'!B:E,4,FALSE),VLOOKUP(E81,'04_PRODUCTOS'!B:G,6,FALSE)),VLOOKUP(E81,'04_PRODUCTOS'!B:E,4,FALSE))),"")</f>
        <v/>
      </c>
      <c r="H81" t="str">
        <f t="shared" si="7"/>
        <v/>
      </c>
      <c r="I81" t="str">
        <f>IFERROR(H81-(F81*VLOOKUP(E81,'04_PRODUCTOS'!B:D,3,FALSE)),"")</f>
        <v/>
      </c>
      <c r="J81" t="str">
        <f t="shared" si="8"/>
        <v/>
      </c>
    </row>
    <row r="82" spans="1:10" x14ac:dyDescent="0.25">
      <c r="A82" t="str">
        <f t="shared" si="6"/>
        <v/>
      </c>
      <c r="B82" t="str">
        <f t="shared" ca="1" si="9"/>
        <v/>
      </c>
      <c r="G82" t="str">
        <f>IFERROR(IF(D82="Mayorista",IF(VLOOKUP(E82,'04_PRODUCTOS'!B:F,5,FALSE)="",VLOOKUP(E82,'04_PRODUCTOS'!B:E,4,FALSE),VLOOKUP(E82,'04_PRODUCTOS'!B:F,5,FALSE)),IF(D82="Especial",IF(VLOOKUP(E82,'04_PRODUCTOS'!B:G,6,FALSE)="",VLOOKUP(E82,'04_PRODUCTOS'!B:E,4,FALSE),VLOOKUP(E82,'04_PRODUCTOS'!B:G,6,FALSE)),VLOOKUP(E82,'04_PRODUCTOS'!B:E,4,FALSE))),"")</f>
        <v/>
      </c>
      <c r="H82" t="str">
        <f t="shared" si="7"/>
        <v/>
      </c>
      <c r="I82" t="str">
        <f>IFERROR(H82-(F82*VLOOKUP(E82,'04_PRODUCTOS'!B:D,3,FALSE)),"")</f>
        <v/>
      </c>
      <c r="J82" t="str">
        <f t="shared" si="8"/>
        <v/>
      </c>
    </row>
    <row r="83" spans="1:10" x14ac:dyDescent="0.25">
      <c r="A83" t="str">
        <f t="shared" si="6"/>
        <v/>
      </c>
      <c r="B83" t="str">
        <f t="shared" ca="1" si="9"/>
        <v/>
      </c>
      <c r="G83" t="str">
        <f>IFERROR(IF(D83="Mayorista",IF(VLOOKUP(E83,'04_PRODUCTOS'!B:F,5,FALSE)="",VLOOKUP(E83,'04_PRODUCTOS'!B:E,4,FALSE),VLOOKUP(E83,'04_PRODUCTOS'!B:F,5,FALSE)),IF(D83="Especial",IF(VLOOKUP(E83,'04_PRODUCTOS'!B:G,6,FALSE)="",VLOOKUP(E83,'04_PRODUCTOS'!B:E,4,FALSE),VLOOKUP(E83,'04_PRODUCTOS'!B:G,6,FALSE)),VLOOKUP(E83,'04_PRODUCTOS'!B:E,4,FALSE))),"")</f>
        <v/>
      </c>
      <c r="H83" t="str">
        <f t="shared" si="7"/>
        <v/>
      </c>
      <c r="I83" t="str">
        <f>IFERROR(H83-(F83*VLOOKUP(E83,'04_PRODUCTOS'!B:D,3,FALSE)),"")</f>
        <v/>
      </c>
      <c r="J83" t="str">
        <f t="shared" si="8"/>
        <v/>
      </c>
    </row>
    <row r="84" spans="1:10" x14ac:dyDescent="0.25">
      <c r="A84" t="str">
        <f t="shared" si="6"/>
        <v/>
      </c>
      <c r="B84" t="str">
        <f t="shared" ca="1" si="9"/>
        <v/>
      </c>
      <c r="G84" t="str">
        <f>IFERROR(IF(D84="Mayorista",IF(VLOOKUP(E84,'04_PRODUCTOS'!B:F,5,FALSE)="",VLOOKUP(E84,'04_PRODUCTOS'!B:E,4,FALSE),VLOOKUP(E84,'04_PRODUCTOS'!B:F,5,FALSE)),IF(D84="Especial",IF(VLOOKUP(E84,'04_PRODUCTOS'!B:G,6,FALSE)="",VLOOKUP(E84,'04_PRODUCTOS'!B:E,4,FALSE),VLOOKUP(E84,'04_PRODUCTOS'!B:G,6,FALSE)),VLOOKUP(E84,'04_PRODUCTOS'!B:E,4,FALSE))),"")</f>
        <v/>
      </c>
      <c r="H84" t="str">
        <f t="shared" si="7"/>
        <v/>
      </c>
      <c r="I84" t="str">
        <f>IFERROR(H84-(F84*VLOOKUP(E84,'04_PRODUCTOS'!B:D,3,FALSE)),"")</f>
        <v/>
      </c>
      <c r="J84" t="str">
        <f t="shared" si="8"/>
        <v/>
      </c>
    </row>
    <row r="85" spans="1:10" x14ac:dyDescent="0.25">
      <c r="A85" t="str">
        <f t="shared" si="6"/>
        <v/>
      </c>
      <c r="B85" t="str">
        <f t="shared" ca="1" si="9"/>
        <v/>
      </c>
      <c r="G85" t="str">
        <f>IFERROR(IF(D85="Mayorista",IF(VLOOKUP(E85,'04_PRODUCTOS'!B:F,5,FALSE)="",VLOOKUP(E85,'04_PRODUCTOS'!B:E,4,FALSE),VLOOKUP(E85,'04_PRODUCTOS'!B:F,5,FALSE)),IF(D85="Especial",IF(VLOOKUP(E85,'04_PRODUCTOS'!B:G,6,FALSE)="",VLOOKUP(E85,'04_PRODUCTOS'!B:E,4,FALSE),VLOOKUP(E85,'04_PRODUCTOS'!B:G,6,FALSE)),VLOOKUP(E85,'04_PRODUCTOS'!B:E,4,FALSE))),"")</f>
        <v/>
      </c>
      <c r="H85" t="str">
        <f t="shared" si="7"/>
        <v/>
      </c>
      <c r="I85" t="str">
        <f>IFERROR(H85-(F85*VLOOKUP(E85,'04_PRODUCTOS'!B:D,3,FALSE)),"")</f>
        <v/>
      </c>
      <c r="J85" t="str">
        <f t="shared" si="8"/>
        <v/>
      </c>
    </row>
    <row r="86" spans="1:10" x14ac:dyDescent="0.25">
      <c r="A86" t="str">
        <f t="shared" si="6"/>
        <v/>
      </c>
      <c r="B86" t="str">
        <f t="shared" ca="1" si="9"/>
        <v/>
      </c>
      <c r="G86" t="str">
        <f>IFERROR(IF(D86="Mayorista",IF(VLOOKUP(E86,'04_PRODUCTOS'!B:F,5,FALSE)="",VLOOKUP(E86,'04_PRODUCTOS'!B:E,4,FALSE),VLOOKUP(E86,'04_PRODUCTOS'!B:F,5,FALSE)),IF(D86="Especial",IF(VLOOKUP(E86,'04_PRODUCTOS'!B:G,6,FALSE)="",VLOOKUP(E86,'04_PRODUCTOS'!B:E,4,FALSE),VLOOKUP(E86,'04_PRODUCTOS'!B:G,6,FALSE)),VLOOKUP(E86,'04_PRODUCTOS'!B:E,4,FALSE))),"")</f>
        <v/>
      </c>
      <c r="H86" t="str">
        <f t="shared" si="7"/>
        <v/>
      </c>
      <c r="I86" t="str">
        <f>IFERROR(H86-(F86*VLOOKUP(E86,'04_PRODUCTOS'!B:D,3,FALSE)),"")</f>
        <v/>
      </c>
      <c r="J86" t="str">
        <f t="shared" si="8"/>
        <v/>
      </c>
    </row>
    <row r="87" spans="1:10" x14ac:dyDescent="0.25">
      <c r="A87" t="str">
        <f t="shared" si="6"/>
        <v/>
      </c>
      <c r="B87" t="str">
        <f t="shared" ca="1" si="9"/>
        <v/>
      </c>
      <c r="G87" t="str">
        <f>IFERROR(IF(D87="Mayorista",IF(VLOOKUP(E87,'04_PRODUCTOS'!B:F,5,FALSE)="",VLOOKUP(E87,'04_PRODUCTOS'!B:E,4,FALSE),VLOOKUP(E87,'04_PRODUCTOS'!B:F,5,FALSE)),IF(D87="Especial",IF(VLOOKUP(E87,'04_PRODUCTOS'!B:G,6,FALSE)="",VLOOKUP(E87,'04_PRODUCTOS'!B:E,4,FALSE),VLOOKUP(E87,'04_PRODUCTOS'!B:G,6,FALSE)),VLOOKUP(E87,'04_PRODUCTOS'!B:E,4,FALSE))),"")</f>
        <v/>
      </c>
      <c r="H87" t="str">
        <f t="shared" si="7"/>
        <v/>
      </c>
      <c r="I87" t="str">
        <f>IFERROR(H87-(F87*VLOOKUP(E87,'04_PRODUCTOS'!B:D,3,FALSE)),"")</f>
        <v/>
      </c>
      <c r="J87" t="str">
        <f t="shared" si="8"/>
        <v/>
      </c>
    </row>
    <row r="88" spans="1:10" x14ac:dyDescent="0.25">
      <c r="A88" t="str">
        <f t="shared" si="6"/>
        <v/>
      </c>
      <c r="B88" t="str">
        <f t="shared" ca="1" si="9"/>
        <v/>
      </c>
      <c r="G88" t="str">
        <f>IFERROR(IF(D88="Mayorista",IF(VLOOKUP(E88,'04_PRODUCTOS'!B:F,5,FALSE)="",VLOOKUP(E88,'04_PRODUCTOS'!B:E,4,FALSE),VLOOKUP(E88,'04_PRODUCTOS'!B:F,5,FALSE)),IF(D88="Especial",IF(VLOOKUP(E88,'04_PRODUCTOS'!B:G,6,FALSE)="",VLOOKUP(E88,'04_PRODUCTOS'!B:E,4,FALSE),VLOOKUP(E88,'04_PRODUCTOS'!B:G,6,FALSE)),VLOOKUP(E88,'04_PRODUCTOS'!B:E,4,FALSE))),"")</f>
        <v/>
      </c>
      <c r="H88" t="str">
        <f t="shared" si="7"/>
        <v/>
      </c>
      <c r="I88" t="str">
        <f>IFERROR(H88-(F88*VLOOKUP(E88,'04_PRODUCTOS'!B:D,3,FALSE)),"")</f>
        <v/>
      </c>
      <c r="J88" t="str">
        <f t="shared" si="8"/>
        <v/>
      </c>
    </row>
    <row r="89" spans="1:10" x14ac:dyDescent="0.25">
      <c r="A89" t="str">
        <f t="shared" si="6"/>
        <v/>
      </c>
      <c r="B89" t="str">
        <f t="shared" ca="1" si="9"/>
        <v/>
      </c>
      <c r="G89" t="str">
        <f>IFERROR(IF(D89="Mayorista",IF(VLOOKUP(E89,'04_PRODUCTOS'!B:F,5,FALSE)="",VLOOKUP(E89,'04_PRODUCTOS'!B:E,4,FALSE),VLOOKUP(E89,'04_PRODUCTOS'!B:F,5,FALSE)),IF(D89="Especial",IF(VLOOKUP(E89,'04_PRODUCTOS'!B:G,6,FALSE)="",VLOOKUP(E89,'04_PRODUCTOS'!B:E,4,FALSE),VLOOKUP(E89,'04_PRODUCTOS'!B:G,6,FALSE)),VLOOKUP(E89,'04_PRODUCTOS'!B:E,4,FALSE))),"")</f>
        <v/>
      </c>
      <c r="H89" t="str">
        <f t="shared" si="7"/>
        <v/>
      </c>
      <c r="I89" t="str">
        <f>IFERROR(H89-(F89*VLOOKUP(E89,'04_PRODUCTOS'!B:D,3,FALSE)),"")</f>
        <v/>
      </c>
      <c r="J89" t="str">
        <f t="shared" si="8"/>
        <v/>
      </c>
    </row>
    <row r="90" spans="1:10" x14ac:dyDescent="0.25">
      <c r="A90" t="str">
        <f t="shared" si="6"/>
        <v/>
      </c>
      <c r="B90" t="str">
        <f t="shared" ca="1" si="9"/>
        <v/>
      </c>
      <c r="G90" t="str">
        <f>IFERROR(IF(D90="Mayorista",IF(VLOOKUP(E90,'04_PRODUCTOS'!B:F,5,FALSE)="",VLOOKUP(E90,'04_PRODUCTOS'!B:E,4,FALSE),VLOOKUP(E90,'04_PRODUCTOS'!B:F,5,FALSE)),IF(D90="Especial",IF(VLOOKUP(E90,'04_PRODUCTOS'!B:G,6,FALSE)="",VLOOKUP(E90,'04_PRODUCTOS'!B:E,4,FALSE),VLOOKUP(E90,'04_PRODUCTOS'!B:G,6,FALSE)),VLOOKUP(E90,'04_PRODUCTOS'!B:E,4,FALSE))),"")</f>
        <v/>
      </c>
      <c r="H90" t="str">
        <f t="shared" si="7"/>
        <v/>
      </c>
      <c r="I90" t="str">
        <f>IFERROR(H90-(F90*VLOOKUP(E90,'04_PRODUCTOS'!B:D,3,FALSE)),"")</f>
        <v/>
      </c>
      <c r="J90" t="str">
        <f t="shared" si="8"/>
        <v/>
      </c>
    </row>
    <row r="91" spans="1:10" x14ac:dyDescent="0.25">
      <c r="A91" t="str">
        <f t="shared" si="6"/>
        <v/>
      </c>
      <c r="B91" t="str">
        <f t="shared" ca="1" si="9"/>
        <v/>
      </c>
      <c r="G91" t="str">
        <f>IFERROR(IF(D91="Mayorista",IF(VLOOKUP(E91,'04_PRODUCTOS'!B:F,5,FALSE)="",VLOOKUP(E91,'04_PRODUCTOS'!B:E,4,FALSE),VLOOKUP(E91,'04_PRODUCTOS'!B:F,5,FALSE)),IF(D91="Especial",IF(VLOOKUP(E91,'04_PRODUCTOS'!B:G,6,FALSE)="",VLOOKUP(E91,'04_PRODUCTOS'!B:E,4,FALSE),VLOOKUP(E91,'04_PRODUCTOS'!B:G,6,FALSE)),VLOOKUP(E91,'04_PRODUCTOS'!B:E,4,FALSE))),"")</f>
        <v/>
      </c>
      <c r="H91" t="str">
        <f t="shared" si="7"/>
        <v/>
      </c>
      <c r="I91" t="str">
        <f>IFERROR(H91-(F91*VLOOKUP(E91,'04_PRODUCTOS'!B:D,3,FALSE)),"")</f>
        <v/>
      </c>
      <c r="J91" t="str">
        <f t="shared" si="8"/>
        <v/>
      </c>
    </row>
    <row r="92" spans="1:10" x14ac:dyDescent="0.25">
      <c r="A92" t="str">
        <f t="shared" si="6"/>
        <v/>
      </c>
      <c r="B92" t="str">
        <f t="shared" ca="1" si="9"/>
        <v/>
      </c>
      <c r="G92" t="str">
        <f>IFERROR(IF(D92="Mayorista",IF(VLOOKUP(E92,'04_PRODUCTOS'!B:F,5,FALSE)="",VLOOKUP(E92,'04_PRODUCTOS'!B:E,4,FALSE),VLOOKUP(E92,'04_PRODUCTOS'!B:F,5,FALSE)),IF(D92="Especial",IF(VLOOKUP(E92,'04_PRODUCTOS'!B:G,6,FALSE)="",VLOOKUP(E92,'04_PRODUCTOS'!B:E,4,FALSE),VLOOKUP(E92,'04_PRODUCTOS'!B:G,6,FALSE)),VLOOKUP(E92,'04_PRODUCTOS'!B:E,4,FALSE))),"")</f>
        <v/>
      </c>
      <c r="H92" t="str">
        <f t="shared" si="7"/>
        <v/>
      </c>
      <c r="I92" t="str">
        <f>IFERROR(H92-(F92*VLOOKUP(E92,'04_PRODUCTOS'!B:D,3,FALSE)),"")</f>
        <v/>
      </c>
      <c r="J92" t="str">
        <f t="shared" si="8"/>
        <v/>
      </c>
    </row>
    <row r="93" spans="1:10" x14ac:dyDescent="0.25">
      <c r="A93" t="str">
        <f t="shared" si="6"/>
        <v/>
      </c>
      <c r="B93" t="str">
        <f t="shared" ca="1" si="9"/>
        <v/>
      </c>
      <c r="G93" t="str">
        <f>IFERROR(IF(D93="Mayorista",IF(VLOOKUP(E93,'04_PRODUCTOS'!B:F,5,FALSE)="",VLOOKUP(E93,'04_PRODUCTOS'!B:E,4,FALSE),VLOOKUP(E93,'04_PRODUCTOS'!B:F,5,FALSE)),IF(D93="Especial",IF(VLOOKUP(E93,'04_PRODUCTOS'!B:G,6,FALSE)="",VLOOKUP(E93,'04_PRODUCTOS'!B:E,4,FALSE),VLOOKUP(E93,'04_PRODUCTOS'!B:G,6,FALSE)),VLOOKUP(E93,'04_PRODUCTOS'!B:E,4,FALSE))),"")</f>
        <v/>
      </c>
      <c r="H93" t="str">
        <f t="shared" si="7"/>
        <v/>
      </c>
      <c r="I93" t="str">
        <f>IFERROR(H93-(F93*VLOOKUP(E93,'04_PRODUCTOS'!B:D,3,FALSE)),"")</f>
        <v/>
      </c>
      <c r="J93" t="str">
        <f t="shared" si="8"/>
        <v/>
      </c>
    </row>
    <row r="94" spans="1:10" x14ac:dyDescent="0.25">
      <c r="A94" t="str">
        <f t="shared" si="6"/>
        <v/>
      </c>
      <c r="B94" t="str">
        <f t="shared" ca="1" si="9"/>
        <v/>
      </c>
      <c r="G94" t="str">
        <f>IFERROR(IF(D94="Mayorista",IF(VLOOKUP(E94,'04_PRODUCTOS'!B:F,5,FALSE)="",VLOOKUP(E94,'04_PRODUCTOS'!B:E,4,FALSE),VLOOKUP(E94,'04_PRODUCTOS'!B:F,5,FALSE)),IF(D94="Especial",IF(VLOOKUP(E94,'04_PRODUCTOS'!B:G,6,FALSE)="",VLOOKUP(E94,'04_PRODUCTOS'!B:E,4,FALSE),VLOOKUP(E94,'04_PRODUCTOS'!B:G,6,FALSE)),VLOOKUP(E94,'04_PRODUCTOS'!B:E,4,FALSE))),"")</f>
        <v/>
      </c>
      <c r="H94" t="str">
        <f t="shared" si="7"/>
        <v/>
      </c>
      <c r="I94" t="str">
        <f>IFERROR(H94-(F94*VLOOKUP(E94,'04_PRODUCTOS'!B:D,3,FALSE)),"")</f>
        <v/>
      </c>
      <c r="J94" t="str">
        <f t="shared" si="8"/>
        <v/>
      </c>
    </row>
    <row r="95" spans="1:10" x14ac:dyDescent="0.25">
      <c r="A95" t="str">
        <f t="shared" si="6"/>
        <v/>
      </c>
      <c r="B95" t="str">
        <f t="shared" ca="1" si="9"/>
        <v/>
      </c>
      <c r="G95" t="str">
        <f>IFERROR(IF(D95="Mayorista",IF(VLOOKUP(E95,'04_PRODUCTOS'!B:F,5,FALSE)="",VLOOKUP(E95,'04_PRODUCTOS'!B:E,4,FALSE),VLOOKUP(E95,'04_PRODUCTOS'!B:F,5,FALSE)),IF(D95="Especial",IF(VLOOKUP(E95,'04_PRODUCTOS'!B:G,6,FALSE)="",VLOOKUP(E95,'04_PRODUCTOS'!B:E,4,FALSE),VLOOKUP(E95,'04_PRODUCTOS'!B:G,6,FALSE)),VLOOKUP(E95,'04_PRODUCTOS'!B:E,4,FALSE))),"")</f>
        <v/>
      </c>
      <c r="H95" t="str">
        <f t="shared" si="7"/>
        <v/>
      </c>
      <c r="I95" t="str">
        <f>IFERROR(H95-(F95*VLOOKUP(E95,'04_PRODUCTOS'!B:D,3,FALSE)),"")</f>
        <v/>
      </c>
      <c r="J95" t="str">
        <f t="shared" si="8"/>
        <v/>
      </c>
    </row>
    <row r="96" spans="1:10" x14ac:dyDescent="0.25">
      <c r="A96" t="str">
        <f t="shared" si="6"/>
        <v/>
      </c>
      <c r="B96" t="str">
        <f t="shared" ca="1" si="9"/>
        <v/>
      </c>
      <c r="G96" t="str">
        <f>IFERROR(IF(D96="Mayorista",IF(VLOOKUP(E96,'04_PRODUCTOS'!B:F,5,FALSE)="",VLOOKUP(E96,'04_PRODUCTOS'!B:E,4,FALSE),VLOOKUP(E96,'04_PRODUCTOS'!B:F,5,FALSE)),IF(D96="Especial",IF(VLOOKUP(E96,'04_PRODUCTOS'!B:G,6,FALSE)="",VLOOKUP(E96,'04_PRODUCTOS'!B:E,4,FALSE),VLOOKUP(E96,'04_PRODUCTOS'!B:G,6,FALSE)),VLOOKUP(E96,'04_PRODUCTOS'!B:E,4,FALSE))),"")</f>
        <v/>
      </c>
      <c r="H96" t="str">
        <f t="shared" si="7"/>
        <v/>
      </c>
      <c r="I96" t="str">
        <f>IFERROR(H96-(F96*VLOOKUP(E96,'04_PRODUCTOS'!B:D,3,FALSE)),"")</f>
        <v/>
      </c>
      <c r="J96" t="str">
        <f t="shared" si="8"/>
        <v/>
      </c>
    </row>
    <row r="97" spans="1:10" x14ac:dyDescent="0.25">
      <c r="A97" t="str">
        <f t="shared" si="6"/>
        <v/>
      </c>
      <c r="B97" t="str">
        <f t="shared" ca="1" si="9"/>
        <v/>
      </c>
      <c r="G97" t="str">
        <f>IFERROR(IF(D97="Mayorista",IF(VLOOKUP(E97,'04_PRODUCTOS'!B:F,5,FALSE)="",VLOOKUP(E97,'04_PRODUCTOS'!B:E,4,FALSE),VLOOKUP(E97,'04_PRODUCTOS'!B:F,5,FALSE)),IF(D97="Especial",IF(VLOOKUP(E97,'04_PRODUCTOS'!B:G,6,FALSE)="",VLOOKUP(E97,'04_PRODUCTOS'!B:E,4,FALSE),VLOOKUP(E97,'04_PRODUCTOS'!B:G,6,FALSE)),VLOOKUP(E97,'04_PRODUCTOS'!B:E,4,FALSE))),"")</f>
        <v/>
      </c>
      <c r="H97" t="str">
        <f t="shared" si="7"/>
        <v/>
      </c>
      <c r="I97" t="str">
        <f>IFERROR(H97-(F97*VLOOKUP(E97,'04_PRODUCTOS'!B:D,3,FALSE)),"")</f>
        <v/>
      </c>
      <c r="J97" t="str">
        <f t="shared" si="8"/>
        <v/>
      </c>
    </row>
    <row r="98" spans="1:10" x14ac:dyDescent="0.25">
      <c r="A98" t="str">
        <f t="shared" ref="A98:A129" si="10">IF(C98="","","VEN"&amp;TEXT(ROW()-1,"000000"))</f>
        <v/>
      </c>
      <c r="B98" t="str">
        <f t="shared" ca="1" si="9"/>
        <v/>
      </c>
      <c r="G98" t="str">
        <f>IFERROR(IF(D98="Mayorista",IF(VLOOKUP(E98,'04_PRODUCTOS'!B:F,5,FALSE)="",VLOOKUP(E98,'04_PRODUCTOS'!B:E,4,FALSE),VLOOKUP(E98,'04_PRODUCTOS'!B:F,5,FALSE)),IF(D98="Especial",IF(VLOOKUP(E98,'04_PRODUCTOS'!B:G,6,FALSE)="",VLOOKUP(E98,'04_PRODUCTOS'!B:E,4,FALSE),VLOOKUP(E98,'04_PRODUCTOS'!B:G,6,FALSE)),VLOOKUP(E98,'04_PRODUCTOS'!B:E,4,FALSE))),"")</f>
        <v/>
      </c>
      <c r="H98" t="str">
        <f t="shared" si="7"/>
        <v/>
      </c>
      <c r="I98" t="str">
        <f>IFERROR(H98-(F98*VLOOKUP(E98,'04_PRODUCTOS'!B:D,3,FALSE)),"")</f>
        <v/>
      </c>
      <c r="J98" t="str">
        <f t="shared" si="8"/>
        <v/>
      </c>
    </row>
    <row r="99" spans="1:10" x14ac:dyDescent="0.25">
      <c r="A99" t="str">
        <f t="shared" si="10"/>
        <v/>
      </c>
      <c r="B99" t="str">
        <f t="shared" ca="1" si="9"/>
        <v/>
      </c>
      <c r="G99" t="str">
        <f>IFERROR(IF(D99="Mayorista",IF(VLOOKUP(E99,'04_PRODUCTOS'!B:F,5,FALSE)="",VLOOKUP(E99,'04_PRODUCTOS'!B:E,4,FALSE),VLOOKUP(E99,'04_PRODUCTOS'!B:F,5,FALSE)),IF(D99="Especial",IF(VLOOKUP(E99,'04_PRODUCTOS'!B:G,6,FALSE)="",VLOOKUP(E99,'04_PRODUCTOS'!B:E,4,FALSE),VLOOKUP(E99,'04_PRODUCTOS'!B:G,6,FALSE)),VLOOKUP(E99,'04_PRODUCTOS'!B:E,4,FALSE))),"")</f>
        <v/>
      </c>
      <c r="H99" t="str">
        <f t="shared" si="7"/>
        <v/>
      </c>
      <c r="I99" t="str">
        <f>IFERROR(H99-(F99*VLOOKUP(E99,'04_PRODUCTOS'!B:D,3,FALSE)),"")</f>
        <v/>
      </c>
      <c r="J99" t="str">
        <f t="shared" si="8"/>
        <v/>
      </c>
    </row>
    <row r="100" spans="1:10" x14ac:dyDescent="0.25">
      <c r="A100" t="str">
        <f t="shared" si="10"/>
        <v/>
      </c>
      <c r="B100" t="str">
        <f t="shared" ca="1" si="9"/>
        <v/>
      </c>
      <c r="G100" t="str">
        <f>IFERROR(IF(D100="Mayorista",IF(VLOOKUP(E100,'04_PRODUCTOS'!B:F,5,FALSE)="",VLOOKUP(E100,'04_PRODUCTOS'!B:E,4,FALSE),VLOOKUP(E100,'04_PRODUCTOS'!B:F,5,FALSE)),IF(D100="Especial",IF(VLOOKUP(E100,'04_PRODUCTOS'!B:G,6,FALSE)="",VLOOKUP(E100,'04_PRODUCTOS'!B:E,4,FALSE),VLOOKUP(E100,'04_PRODUCTOS'!B:G,6,FALSE)),VLOOKUP(E100,'04_PRODUCTOS'!B:E,4,FALSE))),"")</f>
        <v/>
      </c>
      <c r="H100" t="str">
        <f t="shared" si="7"/>
        <v/>
      </c>
      <c r="I100" t="str">
        <f>IFERROR(H100-(F100*VLOOKUP(E100,'04_PRODUCTOS'!B:D,3,FALSE)),"")</f>
        <v/>
      </c>
      <c r="J100" t="str">
        <f t="shared" si="8"/>
        <v/>
      </c>
    </row>
    <row r="101" spans="1:10" x14ac:dyDescent="0.25">
      <c r="A101" t="str">
        <f t="shared" si="10"/>
        <v/>
      </c>
      <c r="B101" t="str">
        <f t="shared" ca="1" si="9"/>
        <v/>
      </c>
      <c r="G101" t="str">
        <f>IFERROR(IF(D101="Mayorista",IF(VLOOKUP(E101,'04_PRODUCTOS'!B:F,5,FALSE)="",VLOOKUP(E101,'04_PRODUCTOS'!B:E,4,FALSE),VLOOKUP(E101,'04_PRODUCTOS'!B:F,5,FALSE)),IF(D101="Especial",IF(VLOOKUP(E101,'04_PRODUCTOS'!B:G,6,FALSE)="",VLOOKUP(E101,'04_PRODUCTOS'!B:E,4,FALSE),VLOOKUP(E101,'04_PRODUCTOS'!B:G,6,FALSE)),VLOOKUP(E101,'04_PRODUCTOS'!B:E,4,FALSE))),"")</f>
        <v/>
      </c>
      <c r="H101" t="str">
        <f t="shared" si="7"/>
        <v/>
      </c>
      <c r="I101" t="str">
        <f>IFERROR(H101-(F101*VLOOKUP(E101,'04_PRODUCTOS'!B:D,3,FALSE)),"")</f>
        <v/>
      </c>
      <c r="J101" t="str">
        <f t="shared" si="8"/>
        <v/>
      </c>
    </row>
    <row r="102" spans="1:10" x14ac:dyDescent="0.25">
      <c r="A102" t="str">
        <f t="shared" si="10"/>
        <v/>
      </c>
      <c r="G102" t="str">
        <f>IFERROR(IF(D102="Mayorista",IF(VLOOKUP(E102,'04_PRODUCTOS'!B:F,5,FALSE)="",VLOOKUP(E102,'04_PRODUCTOS'!B:E,4,FALSE),VLOOKUP(E102,'04_PRODUCTOS'!B:F,5,FALSE)),IF(D102="Especial",IF(VLOOKUP(E102,'04_PRODUCTOS'!B:G,6,FALSE)="",VLOOKUP(E102,'04_PRODUCTOS'!B:E,4,FALSE),VLOOKUP(E102,'04_PRODUCTOS'!B:G,6,FALSE)),VLOOKUP(E102,'04_PRODUCTOS'!B:E,4,FALSE))),"")</f>
        <v/>
      </c>
      <c r="H102" t="str">
        <f t="shared" si="7"/>
        <v/>
      </c>
      <c r="I102" t="str">
        <f>IFERROR(H102-(F102*VLOOKUP(E102,'04_PRODUCTOS'!B:D,3,FALSE)),"")</f>
        <v/>
      </c>
      <c r="J102" t="str">
        <f t="shared" si="8"/>
        <v/>
      </c>
    </row>
    <row r="103" spans="1:10" x14ac:dyDescent="0.25">
      <c r="A103" t="str">
        <f t="shared" si="10"/>
        <v/>
      </c>
      <c r="G103" t="str">
        <f>IFERROR(IF(D103="Mayorista",IF(VLOOKUP(E103,'04_PRODUCTOS'!B:F,5,FALSE)="",VLOOKUP(E103,'04_PRODUCTOS'!B:E,4,FALSE),VLOOKUP(E103,'04_PRODUCTOS'!B:F,5,FALSE)),IF(D103="Especial",IF(VLOOKUP(E103,'04_PRODUCTOS'!B:G,6,FALSE)="",VLOOKUP(E103,'04_PRODUCTOS'!B:E,4,FALSE),VLOOKUP(E103,'04_PRODUCTOS'!B:G,6,FALSE)),VLOOKUP(E103,'04_PRODUCTOS'!B:E,4,FALSE))),"")</f>
        <v/>
      </c>
      <c r="H103" t="str">
        <f t="shared" si="7"/>
        <v/>
      </c>
      <c r="I103" t="str">
        <f>IFERROR(H103-(F103*VLOOKUP(E103,'04_PRODUCTOS'!B:D,3,FALSE)),"")</f>
        <v/>
      </c>
      <c r="J103" t="str">
        <f t="shared" si="8"/>
        <v/>
      </c>
    </row>
    <row r="104" spans="1:10" x14ac:dyDescent="0.25">
      <c r="A104" t="str">
        <f t="shared" si="10"/>
        <v/>
      </c>
      <c r="G104" t="str">
        <f>IFERROR(IF(D104="Mayorista",IF(VLOOKUP(E104,'04_PRODUCTOS'!B:F,5,FALSE)="",VLOOKUP(E104,'04_PRODUCTOS'!B:E,4,FALSE),VLOOKUP(E104,'04_PRODUCTOS'!B:F,5,FALSE)),IF(D104="Especial",IF(VLOOKUP(E104,'04_PRODUCTOS'!B:G,6,FALSE)="",VLOOKUP(E104,'04_PRODUCTOS'!B:E,4,FALSE),VLOOKUP(E104,'04_PRODUCTOS'!B:G,6,FALSE)),VLOOKUP(E104,'04_PRODUCTOS'!B:E,4,FALSE))),"")</f>
        <v/>
      </c>
      <c r="H104" t="str">
        <f t="shared" si="7"/>
        <v/>
      </c>
      <c r="I104" t="str">
        <f>IFERROR(H104-(F104*VLOOKUP(E104,'04_PRODUCTOS'!B:D,3,FALSE)),"")</f>
        <v/>
      </c>
      <c r="J104" t="str">
        <f t="shared" si="8"/>
        <v/>
      </c>
    </row>
    <row r="105" spans="1:10" x14ac:dyDescent="0.25">
      <c r="A105" t="str">
        <f t="shared" si="10"/>
        <v/>
      </c>
      <c r="G105" t="str">
        <f>IFERROR(IF(D105="Mayorista",IF(VLOOKUP(E105,'04_PRODUCTOS'!B:F,5,FALSE)="",VLOOKUP(E105,'04_PRODUCTOS'!B:E,4,FALSE),VLOOKUP(E105,'04_PRODUCTOS'!B:F,5,FALSE)),IF(D105="Especial",IF(VLOOKUP(E105,'04_PRODUCTOS'!B:G,6,FALSE)="",VLOOKUP(E105,'04_PRODUCTOS'!B:E,4,FALSE),VLOOKUP(E105,'04_PRODUCTOS'!B:G,6,FALSE)),VLOOKUP(E105,'04_PRODUCTOS'!B:E,4,FALSE))),"")</f>
        <v/>
      </c>
      <c r="H105" t="str">
        <f t="shared" si="7"/>
        <v/>
      </c>
      <c r="I105" t="str">
        <f>IFERROR(H105-(F105*VLOOKUP(E105,'04_PRODUCTOS'!B:D,3,FALSE)),"")</f>
        <v/>
      </c>
      <c r="J105" t="str">
        <f t="shared" si="8"/>
        <v/>
      </c>
    </row>
    <row r="106" spans="1:10" x14ac:dyDescent="0.25">
      <c r="A106" t="str">
        <f t="shared" si="10"/>
        <v/>
      </c>
      <c r="G106" t="str">
        <f>IFERROR(IF(D106="Mayorista",IF(VLOOKUP(E106,'04_PRODUCTOS'!B:F,5,FALSE)="",VLOOKUP(E106,'04_PRODUCTOS'!B:E,4,FALSE),VLOOKUP(E106,'04_PRODUCTOS'!B:F,5,FALSE)),IF(D106="Especial",IF(VLOOKUP(E106,'04_PRODUCTOS'!B:G,6,FALSE)="",VLOOKUP(E106,'04_PRODUCTOS'!B:E,4,FALSE),VLOOKUP(E106,'04_PRODUCTOS'!B:G,6,FALSE)),VLOOKUP(E106,'04_PRODUCTOS'!B:E,4,FALSE))),"")</f>
        <v/>
      </c>
      <c r="H106" t="str">
        <f t="shared" si="7"/>
        <v/>
      </c>
      <c r="I106" t="str">
        <f>IFERROR(H106-(F106*VLOOKUP(E106,'04_PRODUCTOS'!B:D,3,FALSE)),"")</f>
        <v/>
      </c>
      <c r="J106" t="str">
        <f t="shared" si="8"/>
        <v/>
      </c>
    </row>
    <row r="107" spans="1:10" x14ac:dyDescent="0.25">
      <c r="A107" t="str">
        <f t="shared" si="10"/>
        <v/>
      </c>
      <c r="G107" t="str">
        <f>IFERROR(IF(D107="Mayorista",IF(VLOOKUP(E107,'04_PRODUCTOS'!B:F,5,FALSE)="",VLOOKUP(E107,'04_PRODUCTOS'!B:E,4,FALSE),VLOOKUP(E107,'04_PRODUCTOS'!B:F,5,FALSE)),IF(D107="Especial",IF(VLOOKUP(E107,'04_PRODUCTOS'!B:G,6,FALSE)="",VLOOKUP(E107,'04_PRODUCTOS'!B:E,4,FALSE),VLOOKUP(E107,'04_PRODUCTOS'!B:G,6,FALSE)),VLOOKUP(E107,'04_PRODUCTOS'!B:E,4,FALSE))),"")</f>
        <v/>
      </c>
      <c r="H107" t="str">
        <f t="shared" si="7"/>
        <v/>
      </c>
      <c r="I107" t="str">
        <f>IFERROR(H107-(F107*VLOOKUP(E107,'04_PRODUCTOS'!B:D,3,FALSE)),"")</f>
        <v/>
      </c>
      <c r="J107" t="str">
        <f t="shared" si="8"/>
        <v/>
      </c>
    </row>
    <row r="108" spans="1:10" x14ac:dyDescent="0.25">
      <c r="A108" t="str">
        <f t="shared" si="10"/>
        <v/>
      </c>
      <c r="G108" t="str">
        <f>IFERROR(IF(D108="Mayorista",IF(VLOOKUP(E108,'04_PRODUCTOS'!B:F,5,FALSE)="",VLOOKUP(E108,'04_PRODUCTOS'!B:E,4,FALSE),VLOOKUP(E108,'04_PRODUCTOS'!B:F,5,FALSE)),IF(D108="Especial",IF(VLOOKUP(E108,'04_PRODUCTOS'!B:G,6,FALSE)="",VLOOKUP(E108,'04_PRODUCTOS'!B:E,4,FALSE),VLOOKUP(E108,'04_PRODUCTOS'!B:G,6,FALSE)),VLOOKUP(E108,'04_PRODUCTOS'!B:E,4,FALSE))),"")</f>
        <v/>
      </c>
      <c r="H108" t="str">
        <f t="shared" si="7"/>
        <v/>
      </c>
      <c r="I108" t="str">
        <f>IFERROR(H108-(F108*VLOOKUP(E108,'04_PRODUCTOS'!B:D,3,FALSE)),"")</f>
        <v/>
      </c>
      <c r="J108" t="str">
        <f t="shared" si="8"/>
        <v/>
      </c>
    </row>
    <row r="109" spans="1:10" x14ac:dyDescent="0.25">
      <c r="A109" t="str">
        <f t="shared" si="10"/>
        <v/>
      </c>
      <c r="G109" t="str">
        <f>IFERROR(IF(D109="Mayorista",IF(VLOOKUP(E109,'04_PRODUCTOS'!B:F,5,FALSE)="",VLOOKUP(E109,'04_PRODUCTOS'!B:E,4,FALSE),VLOOKUP(E109,'04_PRODUCTOS'!B:F,5,FALSE)),IF(D109="Especial",IF(VLOOKUP(E109,'04_PRODUCTOS'!B:G,6,FALSE)="",VLOOKUP(E109,'04_PRODUCTOS'!B:E,4,FALSE),VLOOKUP(E109,'04_PRODUCTOS'!B:G,6,FALSE)),VLOOKUP(E109,'04_PRODUCTOS'!B:E,4,FALSE))),"")</f>
        <v/>
      </c>
      <c r="H109" t="str">
        <f t="shared" si="7"/>
        <v/>
      </c>
      <c r="I109" t="str">
        <f>IFERROR(H109-(F109*VLOOKUP(E109,'04_PRODUCTOS'!B:D,3,FALSE)),"")</f>
        <v/>
      </c>
      <c r="J109" t="str">
        <f t="shared" si="8"/>
        <v/>
      </c>
    </row>
    <row r="110" spans="1:10" x14ac:dyDescent="0.25">
      <c r="A110" t="str">
        <f t="shared" si="10"/>
        <v/>
      </c>
      <c r="G110" t="str">
        <f>IFERROR(IF(D110="Mayorista",IF(VLOOKUP(E110,'04_PRODUCTOS'!B:F,5,FALSE)="",VLOOKUP(E110,'04_PRODUCTOS'!B:E,4,FALSE),VLOOKUP(E110,'04_PRODUCTOS'!B:F,5,FALSE)),IF(D110="Especial",IF(VLOOKUP(E110,'04_PRODUCTOS'!B:G,6,FALSE)="",VLOOKUP(E110,'04_PRODUCTOS'!B:E,4,FALSE),VLOOKUP(E110,'04_PRODUCTOS'!B:G,6,FALSE)),VLOOKUP(E110,'04_PRODUCTOS'!B:E,4,FALSE))),"")</f>
        <v/>
      </c>
      <c r="H110" t="str">
        <f t="shared" si="7"/>
        <v/>
      </c>
      <c r="I110" t="str">
        <f>IFERROR(H110-(F110*VLOOKUP(E110,'04_PRODUCTOS'!B:D,3,FALSE)),"")</f>
        <v/>
      </c>
      <c r="J110" t="str">
        <f t="shared" si="8"/>
        <v/>
      </c>
    </row>
    <row r="111" spans="1:10" x14ac:dyDescent="0.25">
      <c r="A111" t="str">
        <f t="shared" si="10"/>
        <v/>
      </c>
      <c r="G111" t="str">
        <f>IFERROR(IF(D111="Mayorista",IF(VLOOKUP(E111,'04_PRODUCTOS'!B:F,5,FALSE)="",VLOOKUP(E111,'04_PRODUCTOS'!B:E,4,FALSE),VLOOKUP(E111,'04_PRODUCTOS'!B:F,5,FALSE)),IF(D111="Especial",IF(VLOOKUP(E111,'04_PRODUCTOS'!B:G,6,FALSE)="",VLOOKUP(E111,'04_PRODUCTOS'!B:E,4,FALSE),VLOOKUP(E111,'04_PRODUCTOS'!B:G,6,FALSE)),VLOOKUP(E111,'04_PRODUCTOS'!B:E,4,FALSE))),"")</f>
        <v/>
      </c>
      <c r="H111" t="str">
        <f t="shared" si="7"/>
        <v/>
      </c>
      <c r="I111" t="str">
        <f>IFERROR(H111-(F111*VLOOKUP(E111,'04_PRODUCTOS'!B:D,3,FALSE)),"")</f>
        <v/>
      </c>
      <c r="J111" t="str">
        <f t="shared" si="8"/>
        <v/>
      </c>
    </row>
    <row r="112" spans="1:10" x14ac:dyDescent="0.25">
      <c r="A112" t="str">
        <f t="shared" si="10"/>
        <v/>
      </c>
      <c r="G112" t="str">
        <f>IFERROR(IF(D112="Mayorista",IF(VLOOKUP(E112,'04_PRODUCTOS'!B:F,5,FALSE)="",VLOOKUP(E112,'04_PRODUCTOS'!B:E,4,FALSE),VLOOKUP(E112,'04_PRODUCTOS'!B:F,5,FALSE)),IF(D112="Especial",IF(VLOOKUP(E112,'04_PRODUCTOS'!B:G,6,FALSE)="",VLOOKUP(E112,'04_PRODUCTOS'!B:E,4,FALSE),VLOOKUP(E112,'04_PRODUCTOS'!B:G,6,FALSE)),VLOOKUP(E112,'04_PRODUCTOS'!B:E,4,FALSE))),"")</f>
        <v/>
      </c>
      <c r="H112" t="str">
        <f t="shared" si="7"/>
        <v/>
      </c>
      <c r="I112" t="str">
        <f>IFERROR(H112-(F112*VLOOKUP(E112,'04_PRODUCTOS'!B:D,3,FALSE)),"")</f>
        <v/>
      </c>
      <c r="J112" t="str">
        <f t="shared" si="8"/>
        <v/>
      </c>
    </row>
    <row r="113" spans="1:10" x14ac:dyDescent="0.25">
      <c r="A113" t="str">
        <f t="shared" si="10"/>
        <v/>
      </c>
      <c r="G113" t="str">
        <f>IFERROR(IF(D113="Mayorista",IF(VLOOKUP(E113,'04_PRODUCTOS'!B:F,5,FALSE)="",VLOOKUP(E113,'04_PRODUCTOS'!B:E,4,FALSE),VLOOKUP(E113,'04_PRODUCTOS'!B:F,5,FALSE)),IF(D113="Especial",IF(VLOOKUP(E113,'04_PRODUCTOS'!B:G,6,FALSE)="",VLOOKUP(E113,'04_PRODUCTOS'!B:E,4,FALSE),VLOOKUP(E113,'04_PRODUCTOS'!B:G,6,FALSE)),VLOOKUP(E113,'04_PRODUCTOS'!B:E,4,FALSE))),"")</f>
        <v/>
      </c>
      <c r="H113" t="str">
        <f t="shared" si="7"/>
        <v/>
      </c>
      <c r="I113" t="str">
        <f>IFERROR(H113-(F113*VLOOKUP(E113,'04_PRODUCTOS'!B:D,3,FALSE)),"")</f>
        <v/>
      </c>
      <c r="J113" t="str">
        <f t="shared" si="8"/>
        <v/>
      </c>
    </row>
    <row r="114" spans="1:10" x14ac:dyDescent="0.25">
      <c r="A114" t="str">
        <f t="shared" si="10"/>
        <v/>
      </c>
      <c r="G114" t="str">
        <f>IFERROR(IF(D114="Mayorista",IF(VLOOKUP(E114,'04_PRODUCTOS'!B:F,5,FALSE)="",VLOOKUP(E114,'04_PRODUCTOS'!B:E,4,FALSE),VLOOKUP(E114,'04_PRODUCTOS'!B:F,5,FALSE)),IF(D114="Especial",IF(VLOOKUP(E114,'04_PRODUCTOS'!B:G,6,FALSE)="",VLOOKUP(E114,'04_PRODUCTOS'!B:E,4,FALSE),VLOOKUP(E114,'04_PRODUCTOS'!B:G,6,FALSE)),VLOOKUP(E114,'04_PRODUCTOS'!B:E,4,FALSE))),"")</f>
        <v/>
      </c>
      <c r="H114" t="str">
        <f t="shared" si="7"/>
        <v/>
      </c>
      <c r="I114" t="str">
        <f>IFERROR(H114-(F114*VLOOKUP(E114,'04_PRODUCTOS'!B:D,3,FALSE)),"")</f>
        <v/>
      </c>
      <c r="J114" t="str">
        <f t="shared" si="8"/>
        <v/>
      </c>
    </row>
    <row r="115" spans="1:10" x14ac:dyDescent="0.25">
      <c r="A115" t="str">
        <f t="shared" si="10"/>
        <v/>
      </c>
      <c r="G115" t="str">
        <f>IFERROR(IF(D115="Mayorista",IF(VLOOKUP(E115,'04_PRODUCTOS'!B:F,5,FALSE)="",VLOOKUP(E115,'04_PRODUCTOS'!B:E,4,FALSE),VLOOKUP(E115,'04_PRODUCTOS'!B:F,5,FALSE)),IF(D115="Especial",IF(VLOOKUP(E115,'04_PRODUCTOS'!B:G,6,FALSE)="",VLOOKUP(E115,'04_PRODUCTOS'!B:E,4,FALSE),VLOOKUP(E115,'04_PRODUCTOS'!B:G,6,FALSE)),VLOOKUP(E115,'04_PRODUCTOS'!B:E,4,FALSE))),"")</f>
        <v/>
      </c>
      <c r="H115" t="str">
        <f t="shared" si="7"/>
        <v/>
      </c>
      <c r="I115" t="str">
        <f>IFERROR(H115-(F115*VLOOKUP(E115,'04_PRODUCTOS'!B:D,3,FALSE)),"")</f>
        <v/>
      </c>
      <c r="J115" t="str">
        <f t="shared" si="8"/>
        <v/>
      </c>
    </row>
    <row r="116" spans="1:10" x14ac:dyDescent="0.25">
      <c r="A116" t="str">
        <f t="shared" si="10"/>
        <v/>
      </c>
      <c r="G116" t="str">
        <f>IFERROR(IF(D116="Mayorista",IF(VLOOKUP(E116,'04_PRODUCTOS'!B:F,5,FALSE)="",VLOOKUP(E116,'04_PRODUCTOS'!B:E,4,FALSE),VLOOKUP(E116,'04_PRODUCTOS'!B:F,5,FALSE)),IF(D116="Especial",IF(VLOOKUP(E116,'04_PRODUCTOS'!B:G,6,FALSE)="",VLOOKUP(E116,'04_PRODUCTOS'!B:E,4,FALSE),VLOOKUP(E116,'04_PRODUCTOS'!B:G,6,FALSE)),VLOOKUP(E116,'04_PRODUCTOS'!B:E,4,FALSE))),"")</f>
        <v/>
      </c>
      <c r="H116" t="str">
        <f t="shared" si="7"/>
        <v/>
      </c>
      <c r="I116" t="str">
        <f>IFERROR(H116-(F116*VLOOKUP(E116,'04_PRODUCTOS'!B:D,3,FALSE)),"")</f>
        <v/>
      </c>
      <c r="J116" t="str">
        <f t="shared" si="8"/>
        <v/>
      </c>
    </row>
    <row r="117" spans="1:10" x14ac:dyDescent="0.25">
      <c r="A117" t="str">
        <f t="shared" si="10"/>
        <v/>
      </c>
      <c r="G117" t="str">
        <f>IFERROR(IF(D117="Mayorista",IF(VLOOKUP(E117,'04_PRODUCTOS'!B:F,5,FALSE)="",VLOOKUP(E117,'04_PRODUCTOS'!B:E,4,FALSE),VLOOKUP(E117,'04_PRODUCTOS'!B:F,5,FALSE)),IF(D117="Especial",IF(VLOOKUP(E117,'04_PRODUCTOS'!B:G,6,FALSE)="",VLOOKUP(E117,'04_PRODUCTOS'!B:E,4,FALSE),VLOOKUP(E117,'04_PRODUCTOS'!B:G,6,FALSE)),VLOOKUP(E117,'04_PRODUCTOS'!B:E,4,FALSE))),"")</f>
        <v/>
      </c>
      <c r="H117" t="str">
        <f t="shared" si="7"/>
        <v/>
      </c>
      <c r="I117" t="str">
        <f>IFERROR(H117-(F117*VLOOKUP(E117,'04_PRODUCTOS'!B:D,3,FALSE)),"")</f>
        <v/>
      </c>
      <c r="J117" t="str">
        <f t="shared" si="8"/>
        <v/>
      </c>
    </row>
    <row r="118" spans="1:10" x14ac:dyDescent="0.25">
      <c r="A118" t="str">
        <f t="shared" si="10"/>
        <v/>
      </c>
      <c r="G118" t="str">
        <f>IFERROR(IF(D118="Mayorista",IF(VLOOKUP(E118,'04_PRODUCTOS'!B:F,5,FALSE)="",VLOOKUP(E118,'04_PRODUCTOS'!B:E,4,FALSE),VLOOKUP(E118,'04_PRODUCTOS'!B:F,5,FALSE)),IF(D118="Especial",IF(VLOOKUP(E118,'04_PRODUCTOS'!B:G,6,FALSE)="",VLOOKUP(E118,'04_PRODUCTOS'!B:E,4,FALSE),VLOOKUP(E118,'04_PRODUCTOS'!B:G,6,FALSE)),VLOOKUP(E118,'04_PRODUCTOS'!B:E,4,FALSE))),"")</f>
        <v/>
      </c>
      <c r="H118" t="str">
        <f t="shared" si="7"/>
        <v/>
      </c>
      <c r="I118" t="str">
        <f>IFERROR(H118-(F118*VLOOKUP(E118,'04_PRODUCTOS'!B:D,3,FALSE)),"")</f>
        <v/>
      </c>
      <c r="J118" t="str">
        <f t="shared" si="8"/>
        <v/>
      </c>
    </row>
    <row r="119" spans="1:10" x14ac:dyDescent="0.25">
      <c r="A119" t="str">
        <f t="shared" si="10"/>
        <v/>
      </c>
      <c r="G119" t="str">
        <f>IFERROR(IF(D119="Mayorista",IF(VLOOKUP(E119,'04_PRODUCTOS'!B:F,5,FALSE)="",VLOOKUP(E119,'04_PRODUCTOS'!B:E,4,FALSE),VLOOKUP(E119,'04_PRODUCTOS'!B:F,5,FALSE)),IF(D119="Especial",IF(VLOOKUP(E119,'04_PRODUCTOS'!B:G,6,FALSE)="",VLOOKUP(E119,'04_PRODUCTOS'!B:E,4,FALSE),VLOOKUP(E119,'04_PRODUCTOS'!B:G,6,FALSE)),VLOOKUP(E119,'04_PRODUCTOS'!B:E,4,FALSE))),"")</f>
        <v/>
      </c>
      <c r="H119" t="str">
        <f t="shared" si="7"/>
        <v/>
      </c>
      <c r="I119" t="str">
        <f>IFERROR(H119-(F119*VLOOKUP(E119,'04_PRODUCTOS'!B:D,3,FALSE)),"")</f>
        <v/>
      </c>
      <c r="J119" t="str">
        <f t="shared" si="8"/>
        <v/>
      </c>
    </row>
    <row r="120" spans="1:10" x14ac:dyDescent="0.25">
      <c r="A120" t="str">
        <f t="shared" si="10"/>
        <v/>
      </c>
      <c r="G120" t="str">
        <f>IFERROR(IF(D120="Mayorista",IF(VLOOKUP(E120,'04_PRODUCTOS'!B:F,5,FALSE)="",VLOOKUP(E120,'04_PRODUCTOS'!B:E,4,FALSE),VLOOKUP(E120,'04_PRODUCTOS'!B:F,5,FALSE)),IF(D120="Especial",IF(VLOOKUP(E120,'04_PRODUCTOS'!B:G,6,FALSE)="",VLOOKUP(E120,'04_PRODUCTOS'!B:E,4,FALSE),VLOOKUP(E120,'04_PRODUCTOS'!B:G,6,FALSE)),VLOOKUP(E120,'04_PRODUCTOS'!B:E,4,FALSE))),"")</f>
        <v/>
      </c>
      <c r="H120" t="str">
        <f t="shared" si="7"/>
        <v/>
      </c>
      <c r="I120" t="str">
        <f>IFERROR(H120-(F120*VLOOKUP(E120,'04_PRODUCTOS'!B:D,3,FALSE)),"")</f>
        <v/>
      </c>
      <c r="J120" t="str">
        <f t="shared" si="8"/>
        <v/>
      </c>
    </row>
    <row r="121" spans="1:10" x14ac:dyDescent="0.25">
      <c r="A121" t="str">
        <f t="shared" si="10"/>
        <v/>
      </c>
      <c r="G121" t="str">
        <f>IFERROR(IF(D121="Mayorista",IF(VLOOKUP(E121,'04_PRODUCTOS'!B:F,5,FALSE)="",VLOOKUP(E121,'04_PRODUCTOS'!B:E,4,FALSE),VLOOKUP(E121,'04_PRODUCTOS'!B:F,5,FALSE)),IF(D121="Especial",IF(VLOOKUP(E121,'04_PRODUCTOS'!B:G,6,FALSE)="",VLOOKUP(E121,'04_PRODUCTOS'!B:E,4,FALSE),VLOOKUP(E121,'04_PRODUCTOS'!B:G,6,FALSE)),VLOOKUP(E121,'04_PRODUCTOS'!B:E,4,FALSE))),"")</f>
        <v/>
      </c>
      <c r="H121" t="str">
        <f t="shared" si="7"/>
        <v/>
      </c>
      <c r="I121" t="str">
        <f>IFERROR(H121-(F121*VLOOKUP(E121,'04_PRODUCTOS'!B:D,3,FALSE)),"")</f>
        <v/>
      </c>
      <c r="J121" t="str">
        <f t="shared" si="8"/>
        <v/>
      </c>
    </row>
    <row r="122" spans="1:10" x14ac:dyDescent="0.25">
      <c r="A122" t="str">
        <f t="shared" si="10"/>
        <v/>
      </c>
      <c r="G122" t="str">
        <f>IFERROR(IF(D122="Mayorista",IF(VLOOKUP(E122,'04_PRODUCTOS'!B:F,5,FALSE)="",VLOOKUP(E122,'04_PRODUCTOS'!B:E,4,FALSE),VLOOKUP(E122,'04_PRODUCTOS'!B:F,5,FALSE)),IF(D122="Especial",IF(VLOOKUP(E122,'04_PRODUCTOS'!B:G,6,FALSE)="",VLOOKUP(E122,'04_PRODUCTOS'!B:E,4,FALSE),VLOOKUP(E122,'04_PRODUCTOS'!B:G,6,FALSE)),VLOOKUP(E122,'04_PRODUCTOS'!B:E,4,FALSE))),"")</f>
        <v/>
      </c>
      <c r="H122" t="str">
        <f t="shared" si="7"/>
        <v/>
      </c>
      <c r="I122" t="str">
        <f>IFERROR(H122-(F122*VLOOKUP(E122,'04_PRODUCTOS'!B:D,3,FALSE)),"")</f>
        <v/>
      </c>
      <c r="J122" t="str">
        <f t="shared" si="8"/>
        <v/>
      </c>
    </row>
    <row r="123" spans="1:10" x14ac:dyDescent="0.25">
      <c r="A123" t="str">
        <f t="shared" si="10"/>
        <v/>
      </c>
      <c r="G123" t="str">
        <f>IFERROR(IF(D123="Mayorista",IF(VLOOKUP(E123,'04_PRODUCTOS'!B:F,5,FALSE)="",VLOOKUP(E123,'04_PRODUCTOS'!B:E,4,FALSE),VLOOKUP(E123,'04_PRODUCTOS'!B:F,5,FALSE)),IF(D123="Especial",IF(VLOOKUP(E123,'04_PRODUCTOS'!B:G,6,FALSE)="",VLOOKUP(E123,'04_PRODUCTOS'!B:E,4,FALSE),VLOOKUP(E123,'04_PRODUCTOS'!B:G,6,FALSE)),VLOOKUP(E123,'04_PRODUCTOS'!B:E,4,FALSE))),"")</f>
        <v/>
      </c>
      <c r="H123" t="str">
        <f t="shared" si="7"/>
        <v/>
      </c>
      <c r="I123" t="str">
        <f>IFERROR(H123-(F123*VLOOKUP(E123,'04_PRODUCTOS'!B:D,3,FALSE)),"")</f>
        <v/>
      </c>
      <c r="J123" t="str">
        <f t="shared" si="8"/>
        <v/>
      </c>
    </row>
    <row r="124" spans="1:10" x14ac:dyDescent="0.25">
      <c r="A124" t="str">
        <f t="shared" si="10"/>
        <v/>
      </c>
      <c r="G124" t="str">
        <f>IFERROR(IF(D124="Mayorista",IF(VLOOKUP(E124,'04_PRODUCTOS'!B:F,5,FALSE)="",VLOOKUP(E124,'04_PRODUCTOS'!B:E,4,FALSE),VLOOKUP(E124,'04_PRODUCTOS'!B:F,5,FALSE)),IF(D124="Especial",IF(VLOOKUP(E124,'04_PRODUCTOS'!B:G,6,FALSE)="",VLOOKUP(E124,'04_PRODUCTOS'!B:E,4,FALSE),VLOOKUP(E124,'04_PRODUCTOS'!B:G,6,FALSE)),VLOOKUP(E124,'04_PRODUCTOS'!B:E,4,FALSE))),"")</f>
        <v/>
      </c>
      <c r="H124" t="str">
        <f t="shared" si="7"/>
        <v/>
      </c>
      <c r="I124" t="str">
        <f>IFERROR(H124-(F124*VLOOKUP(E124,'04_PRODUCTOS'!B:D,3,FALSE)),"")</f>
        <v/>
      </c>
      <c r="J124" t="str">
        <f t="shared" si="8"/>
        <v/>
      </c>
    </row>
    <row r="125" spans="1:10" x14ac:dyDescent="0.25">
      <c r="A125" t="str">
        <f t="shared" si="10"/>
        <v/>
      </c>
      <c r="G125" t="str">
        <f>IFERROR(IF(D125="Mayorista",IF(VLOOKUP(E125,'04_PRODUCTOS'!B:F,5,FALSE)="",VLOOKUP(E125,'04_PRODUCTOS'!B:E,4,FALSE),VLOOKUP(E125,'04_PRODUCTOS'!B:F,5,FALSE)),IF(D125="Especial",IF(VLOOKUP(E125,'04_PRODUCTOS'!B:G,6,FALSE)="",VLOOKUP(E125,'04_PRODUCTOS'!B:E,4,FALSE),VLOOKUP(E125,'04_PRODUCTOS'!B:G,6,FALSE)),VLOOKUP(E125,'04_PRODUCTOS'!B:E,4,FALSE))),"")</f>
        <v/>
      </c>
      <c r="H125" t="str">
        <f t="shared" si="7"/>
        <v/>
      </c>
      <c r="I125" t="str">
        <f>IFERROR(H125-(F125*VLOOKUP(E125,'04_PRODUCTOS'!B:D,3,FALSE)),"")</f>
        <v/>
      </c>
      <c r="J125" t="str">
        <f t="shared" si="8"/>
        <v/>
      </c>
    </row>
    <row r="126" spans="1:10" x14ac:dyDescent="0.25">
      <c r="A126" t="str">
        <f t="shared" si="10"/>
        <v/>
      </c>
      <c r="G126" t="str">
        <f>IFERROR(IF(D126="Mayorista",IF(VLOOKUP(E126,'04_PRODUCTOS'!B:F,5,FALSE)="",VLOOKUP(E126,'04_PRODUCTOS'!B:E,4,FALSE),VLOOKUP(E126,'04_PRODUCTOS'!B:F,5,FALSE)),IF(D126="Especial",IF(VLOOKUP(E126,'04_PRODUCTOS'!B:G,6,FALSE)="",VLOOKUP(E126,'04_PRODUCTOS'!B:E,4,FALSE),VLOOKUP(E126,'04_PRODUCTOS'!B:G,6,FALSE)),VLOOKUP(E126,'04_PRODUCTOS'!B:E,4,FALSE))),"")</f>
        <v/>
      </c>
      <c r="H126" t="str">
        <f t="shared" si="7"/>
        <v/>
      </c>
      <c r="I126" t="str">
        <f>IFERROR(H126-(F126*VLOOKUP(E126,'04_PRODUCTOS'!B:D,3,FALSE)),"")</f>
        <v/>
      </c>
      <c r="J126" t="str">
        <f t="shared" si="8"/>
        <v/>
      </c>
    </row>
    <row r="127" spans="1:10" x14ac:dyDescent="0.25">
      <c r="A127" t="str">
        <f t="shared" si="10"/>
        <v/>
      </c>
      <c r="G127" t="str">
        <f>IFERROR(IF(D127="Mayorista",IF(VLOOKUP(E127,'04_PRODUCTOS'!B:F,5,FALSE)="",VLOOKUP(E127,'04_PRODUCTOS'!B:E,4,FALSE),VLOOKUP(E127,'04_PRODUCTOS'!B:F,5,FALSE)),IF(D127="Especial",IF(VLOOKUP(E127,'04_PRODUCTOS'!B:G,6,FALSE)="",VLOOKUP(E127,'04_PRODUCTOS'!B:E,4,FALSE),VLOOKUP(E127,'04_PRODUCTOS'!B:G,6,FALSE)),VLOOKUP(E127,'04_PRODUCTOS'!B:E,4,FALSE))),"")</f>
        <v/>
      </c>
      <c r="H127" t="str">
        <f t="shared" si="7"/>
        <v/>
      </c>
      <c r="I127" t="str">
        <f>IFERROR(H127-(F127*VLOOKUP(E127,'04_PRODUCTOS'!B:D,3,FALSE)),"")</f>
        <v/>
      </c>
      <c r="J127" t="str">
        <f t="shared" si="8"/>
        <v/>
      </c>
    </row>
    <row r="128" spans="1:10" x14ac:dyDescent="0.25">
      <c r="A128" t="str">
        <f t="shared" si="10"/>
        <v/>
      </c>
      <c r="G128" t="str">
        <f>IFERROR(IF(D128="Mayorista",IF(VLOOKUP(E128,'04_PRODUCTOS'!B:F,5,FALSE)="",VLOOKUP(E128,'04_PRODUCTOS'!B:E,4,FALSE),VLOOKUP(E128,'04_PRODUCTOS'!B:F,5,FALSE)),IF(D128="Especial",IF(VLOOKUP(E128,'04_PRODUCTOS'!B:G,6,FALSE)="",VLOOKUP(E128,'04_PRODUCTOS'!B:E,4,FALSE),VLOOKUP(E128,'04_PRODUCTOS'!B:G,6,FALSE)),VLOOKUP(E128,'04_PRODUCTOS'!B:E,4,FALSE))),"")</f>
        <v/>
      </c>
      <c r="H128" t="str">
        <f t="shared" si="7"/>
        <v/>
      </c>
      <c r="I128" t="str">
        <f>IFERROR(H128-(F128*VLOOKUP(E128,'04_PRODUCTOS'!B:D,3,FALSE)),"")</f>
        <v/>
      </c>
      <c r="J128" t="str">
        <f t="shared" si="8"/>
        <v/>
      </c>
    </row>
    <row r="129" spans="1:10" x14ac:dyDescent="0.25">
      <c r="A129" t="str">
        <f t="shared" si="10"/>
        <v/>
      </c>
      <c r="G129" t="str">
        <f>IFERROR(IF(D129="Mayorista",IF(VLOOKUP(E129,'04_PRODUCTOS'!B:F,5,FALSE)="",VLOOKUP(E129,'04_PRODUCTOS'!B:E,4,FALSE),VLOOKUP(E129,'04_PRODUCTOS'!B:F,5,FALSE)),IF(D129="Especial",IF(VLOOKUP(E129,'04_PRODUCTOS'!B:G,6,FALSE)="",VLOOKUP(E129,'04_PRODUCTOS'!B:E,4,FALSE),VLOOKUP(E129,'04_PRODUCTOS'!B:G,6,FALSE)),VLOOKUP(E129,'04_PRODUCTOS'!B:E,4,FALSE))),"")</f>
        <v/>
      </c>
      <c r="H129" t="str">
        <f t="shared" si="7"/>
        <v/>
      </c>
      <c r="I129" t="str">
        <f>IFERROR(H129-(F129*VLOOKUP(E129,'04_PRODUCTOS'!B:D,3,FALSE)),"")</f>
        <v/>
      </c>
      <c r="J129" t="str">
        <f t="shared" si="8"/>
        <v/>
      </c>
    </row>
    <row r="130" spans="1:10" x14ac:dyDescent="0.25">
      <c r="A130" t="str">
        <f t="shared" ref="A130:A161" si="11">IF(C130="","","VEN"&amp;TEXT(ROW()-1,"000000"))</f>
        <v/>
      </c>
      <c r="G130" t="str">
        <f>IFERROR(IF(D130="Mayorista",IF(VLOOKUP(E130,'04_PRODUCTOS'!B:F,5,FALSE)="",VLOOKUP(E130,'04_PRODUCTOS'!B:E,4,FALSE),VLOOKUP(E130,'04_PRODUCTOS'!B:F,5,FALSE)),IF(D130="Especial",IF(VLOOKUP(E130,'04_PRODUCTOS'!B:G,6,FALSE)="",VLOOKUP(E130,'04_PRODUCTOS'!B:E,4,FALSE),VLOOKUP(E130,'04_PRODUCTOS'!B:G,6,FALSE)),VLOOKUP(E130,'04_PRODUCTOS'!B:E,4,FALSE))),"")</f>
        <v/>
      </c>
      <c r="H130" t="str">
        <f t="shared" ref="H130:H193" si="12">IF(AND(F130&lt;&gt;"",G130&lt;&gt;""),F130*G130,"")</f>
        <v/>
      </c>
      <c r="I130" t="str">
        <f>IFERROR(H130-(F130*VLOOKUP(E130,'04_PRODUCTOS'!B:D,3,FALSE)),"")</f>
        <v/>
      </c>
      <c r="J130" t="str">
        <f t="shared" ref="J130:J193" si="13">IFERROR(I130/H130,"")</f>
        <v/>
      </c>
    </row>
    <row r="131" spans="1:10" x14ac:dyDescent="0.25">
      <c r="A131" t="str">
        <f t="shared" si="11"/>
        <v/>
      </c>
      <c r="G131" t="str">
        <f>IFERROR(IF(D131="Mayorista",IF(VLOOKUP(E131,'04_PRODUCTOS'!B:F,5,FALSE)="",VLOOKUP(E131,'04_PRODUCTOS'!B:E,4,FALSE),VLOOKUP(E131,'04_PRODUCTOS'!B:F,5,FALSE)),IF(D131="Especial",IF(VLOOKUP(E131,'04_PRODUCTOS'!B:G,6,FALSE)="",VLOOKUP(E131,'04_PRODUCTOS'!B:E,4,FALSE),VLOOKUP(E131,'04_PRODUCTOS'!B:G,6,FALSE)),VLOOKUP(E131,'04_PRODUCTOS'!B:E,4,FALSE))),"")</f>
        <v/>
      </c>
      <c r="H131" t="str">
        <f t="shared" si="12"/>
        <v/>
      </c>
      <c r="I131" t="str">
        <f>IFERROR(H131-(F131*VLOOKUP(E131,'04_PRODUCTOS'!B:D,3,FALSE)),"")</f>
        <v/>
      </c>
      <c r="J131" t="str">
        <f t="shared" si="13"/>
        <v/>
      </c>
    </row>
    <row r="132" spans="1:10" x14ac:dyDescent="0.25">
      <c r="A132" t="str">
        <f t="shared" si="11"/>
        <v/>
      </c>
      <c r="G132" t="str">
        <f>IFERROR(IF(D132="Mayorista",IF(VLOOKUP(E132,'04_PRODUCTOS'!B:F,5,FALSE)="",VLOOKUP(E132,'04_PRODUCTOS'!B:E,4,FALSE),VLOOKUP(E132,'04_PRODUCTOS'!B:F,5,FALSE)),IF(D132="Especial",IF(VLOOKUP(E132,'04_PRODUCTOS'!B:G,6,FALSE)="",VLOOKUP(E132,'04_PRODUCTOS'!B:E,4,FALSE),VLOOKUP(E132,'04_PRODUCTOS'!B:G,6,FALSE)),VLOOKUP(E132,'04_PRODUCTOS'!B:E,4,FALSE))),"")</f>
        <v/>
      </c>
      <c r="H132" t="str">
        <f t="shared" si="12"/>
        <v/>
      </c>
      <c r="I132" t="str">
        <f>IFERROR(H132-(F132*VLOOKUP(E132,'04_PRODUCTOS'!B:D,3,FALSE)),"")</f>
        <v/>
      </c>
      <c r="J132" t="str">
        <f t="shared" si="13"/>
        <v/>
      </c>
    </row>
    <row r="133" spans="1:10" x14ac:dyDescent="0.25">
      <c r="A133" t="str">
        <f t="shared" si="11"/>
        <v/>
      </c>
      <c r="G133" t="str">
        <f>IFERROR(IF(D133="Mayorista",IF(VLOOKUP(E133,'04_PRODUCTOS'!B:F,5,FALSE)="",VLOOKUP(E133,'04_PRODUCTOS'!B:E,4,FALSE),VLOOKUP(E133,'04_PRODUCTOS'!B:F,5,FALSE)),IF(D133="Especial",IF(VLOOKUP(E133,'04_PRODUCTOS'!B:G,6,FALSE)="",VLOOKUP(E133,'04_PRODUCTOS'!B:E,4,FALSE),VLOOKUP(E133,'04_PRODUCTOS'!B:G,6,FALSE)),VLOOKUP(E133,'04_PRODUCTOS'!B:E,4,FALSE))),"")</f>
        <v/>
      </c>
      <c r="H133" t="str">
        <f t="shared" si="12"/>
        <v/>
      </c>
      <c r="I133" t="str">
        <f>IFERROR(H133-(F133*VLOOKUP(E133,'04_PRODUCTOS'!B:D,3,FALSE)),"")</f>
        <v/>
      </c>
      <c r="J133" t="str">
        <f t="shared" si="13"/>
        <v/>
      </c>
    </row>
    <row r="134" spans="1:10" x14ac:dyDescent="0.25">
      <c r="A134" t="str">
        <f t="shared" si="11"/>
        <v/>
      </c>
      <c r="G134" t="str">
        <f>IFERROR(IF(D134="Mayorista",IF(VLOOKUP(E134,'04_PRODUCTOS'!B:F,5,FALSE)="",VLOOKUP(E134,'04_PRODUCTOS'!B:E,4,FALSE),VLOOKUP(E134,'04_PRODUCTOS'!B:F,5,FALSE)),IF(D134="Especial",IF(VLOOKUP(E134,'04_PRODUCTOS'!B:G,6,FALSE)="",VLOOKUP(E134,'04_PRODUCTOS'!B:E,4,FALSE),VLOOKUP(E134,'04_PRODUCTOS'!B:G,6,FALSE)),VLOOKUP(E134,'04_PRODUCTOS'!B:E,4,FALSE))),"")</f>
        <v/>
      </c>
      <c r="H134" t="str">
        <f t="shared" si="12"/>
        <v/>
      </c>
      <c r="I134" t="str">
        <f>IFERROR(H134-(F134*VLOOKUP(E134,'04_PRODUCTOS'!B:D,3,FALSE)),"")</f>
        <v/>
      </c>
      <c r="J134" t="str">
        <f t="shared" si="13"/>
        <v/>
      </c>
    </row>
    <row r="135" spans="1:10" x14ac:dyDescent="0.25">
      <c r="A135" t="str">
        <f t="shared" si="11"/>
        <v/>
      </c>
      <c r="G135" t="str">
        <f>IFERROR(IF(D135="Mayorista",IF(VLOOKUP(E135,'04_PRODUCTOS'!B:F,5,FALSE)="",VLOOKUP(E135,'04_PRODUCTOS'!B:E,4,FALSE),VLOOKUP(E135,'04_PRODUCTOS'!B:F,5,FALSE)),IF(D135="Especial",IF(VLOOKUP(E135,'04_PRODUCTOS'!B:G,6,FALSE)="",VLOOKUP(E135,'04_PRODUCTOS'!B:E,4,FALSE),VLOOKUP(E135,'04_PRODUCTOS'!B:G,6,FALSE)),VLOOKUP(E135,'04_PRODUCTOS'!B:E,4,FALSE))),"")</f>
        <v/>
      </c>
      <c r="H135" t="str">
        <f t="shared" si="12"/>
        <v/>
      </c>
      <c r="I135" t="str">
        <f>IFERROR(H135-(F135*VLOOKUP(E135,'04_PRODUCTOS'!B:D,3,FALSE)),"")</f>
        <v/>
      </c>
      <c r="J135" t="str">
        <f t="shared" si="13"/>
        <v/>
      </c>
    </row>
    <row r="136" spans="1:10" x14ac:dyDescent="0.25">
      <c r="A136" t="str">
        <f t="shared" si="11"/>
        <v/>
      </c>
      <c r="G136" t="str">
        <f>IFERROR(IF(D136="Mayorista",IF(VLOOKUP(E136,'04_PRODUCTOS'!B:F,5,FALSE)="",VLOOKUP(E136,'04_PRODUCTOS'!B:E,4,FALSE),VLOOKUP(E136,'04_PRODUCTOS'!B:F,5,FALSE)),IF(D136="Especial",IF(VLOOKUP(E136,'04_PRODUCTOS'!B:G,6,FALSE)="",VLOOKUP(E136,'04_PRODUCTOS'!B:E,4,FALSE),VLOOKUP(E136,'04_PRODUCTOS'!B:G,6,FALSE)),VLOOKUP(E136,'04_PRODUCTOS'!B:E,4,FALSE))),"")</f>
        <v/>
      </c>
      <c r="H136" t="str">
        <f t="shared" si="12"/>
        <v/>
      </c>
      <c r="I136" t="str">
        <f>IFERROR(H136-(F136*VLOOKUP(E136,'04_PRODUCTOS'!B:D,3,FALSE)),"")</f>
        <v/>
      </c>
      <c r="J136" t="str">
        <f t="shared" si="13"/>
        <v/>
      </c>
    </row>
    <row r="137" spans="1:10" x14ac:dyDescent="0.25">
      <c r="A137" t="str">
        <f t="shared" si="11"/>
        <v/>
      </c>
      <c r="G137" t="str">
        <f>IFERROR(IF(D137="Mayorista",IF(VLOOKUP(E137,'04_PRODUCTOS'!B:F,5,FALSE)="",VLOOKUP(E137,'04_PRODUCTOS'!B:E,4,FALSE),VLOOKUP(E137,'04_PRODUCTOS'!B:F,5,FALSE)),IF(D137="Especial",IF(VLOOKUP(E137,'04_PRODUCTOS'!B:G,6,FALSE)="",VLOOKUP(E137,'04_PRODUCTOS'!B:E,4,FALSE),VLOOKUP(E137,'04_PRODUCTOS'!B:G,6,FALSE)),VLOOKUP(E137,'04_PRODUCTOS'!B:E,4,FALSE))),"")</f>
        <v/>
      </c>
      <c r="H137" t="str">
        <f t="shared" si="12"/>
        <v/>
      </c>
      <c r="I137" t="str">
        <f>IFERROR(H137-(F137*VLOOKUP(E137,'04_PRODUCTOS'!B:D,3,FALSE)),"")</f>
        <v/>
      </c>
      <c r="J137" t="str">
        <f t="shared" si="13"/>
        <v/>
      </c>
    </row>
    <row r="138" spans="1:10" x14ac:dyDescent="0.25">
      <c r="A138" t="str">
        <f t="shared" si="11"/>
        <v/>
      </c>
      <c r="G138" t="str">
        <f>IFERROR(IF(D138="Mayorista",IF(VLOOKUP(E138,'04_PRODUCTOS'!B:F,5,FALSE)="",VLOOKUP(E138,'04_PRODUCTOS'!B:E,4,FALSE),VLOOKUP(E138,'04_PRODUCTOS'!B:F,5,FALSE)),IF(D138="Especial",IF(VLOOKUP(E138,'04_PRODUCTOS'!B:G,6,FALSE)="",VLOOKUP(E138,'04_PRODUCTOS'!B:E,4,FALSE),VLOOKUP(E138,'04_PRODUCTOS'!B:G,6,FALSE)),VLOOKUP(E138,'04_PRODUCTOS'!B:E,4,FALSE))),"")</f>
        <v/>
      </c>
      <c r="H138" t="str">
        <f t="shared" si="12"/>
        <v/>
      </c>
      <c r="I138" t="str">
        <f>IFERROR(H138-(F138*VLOOKUP(E138,'04_PRODUCTOS'!B:D,3,FALSE)),"")</f>
        <v/>
      </c>
      <c r="J138" t="str">
        <f t="shared" si="13"/>
        <v/>
      </c>
    </row>
    <row r="139" spans="1:10" x14ac:dyDescent="0.25">
      <c r="A139" t="str">
        <f t="shared" si="11"/>
        <v/>
      </c>
      <c r="G139" t="str">
        <f>IFERROR(IF(D139="Mayorista",IF(VLOOKUP(E139,'04_PRODUCTOS'!B:F,5,FALSE)="",VLOOKUP(E139,'04_PRODUCTOS'!B:E,4,FALSE),VLOOKUP(E139,'04_PRODUCTOS'!B:F,5,FALSE)),IF(D139="Especial",IF(VLOOKUP(E139,'04_PRODUCTOS'!B:G,6,FALSE)="",VLOOKUP(E139,'04_PRODUCTOS'!B:E,4,FALSE),VLOOKUP(E139,'04_PRODUCTOS'!B:G,6,FALSE)),VLOOKUP(E139,'04_PRODUCTOS'!B:E,4,FALSE))),"")</f>
        <v/>
      </c>
      <c r="H139" t="str">
        <f t="shared" si="12"/>
        <v/>
      </c>
      <c r="I139" t="str">
        <f>IFERROR(H139-(F139*VLOOKUP(E139,'04_PRODUCTOS'!B:D,3,FALSE)),"")</f>
        <v/>
      </c>
      <c r="J139" t="str">
        <f t="shared" si="13"/>
        <v/>
      </c>
    </row>
    <row r="140" spans="1:10" x14ac:dyDescent="0.25">
      <c r="A140" t="str">
        <f t="shared" si="11"/>
        <v/>
      </c>
      <c r="G140" t="str">
        <f>IFERROR(IF(D140="Mayorista",IF(VLOOKUP(E140,'04_PRODUCTOS'!B:F,5,FALSE)="",VLOOKUP(E140,'04_PRODUCTOS'!B:E,4,FALSE),VLOOKUP(E140,'04_PRODUCTOS'!B:F,5,FALSE)),IF(D140="Especial",IF(VLOOKUP(E140,'04_PRODUCTOS'!B:G,6,FALSE)="",VLOOKUP(E140,'04_PRODUCTOS'!B:E,4,FALSE),VLOOKUP(E140,'04_PRODUCTOS'!B:G,6,FALSE)),VLOOKUP(E140,'04_PRODUCTOS'!B:E,4,FALSE))),"")</f>
        <v/>
      </c>
      <c r="H140" t="str">
        <f t="shared" si="12"/>
        <v/>
      </c>
      <c r="I140" t="str">
        <f>IFERROR(H140-(F140*VLOOKUP(E140,'04_PRODUCTOS'!B:D,3,FALSE)),"")</f>
        <v/>
      </c>
      <c r="J140" t="str">
        <f t="shared" si="13"/>
        <v/>
      </c>
    </row>
    <row r="141" spans="1:10" x14ac:dyDescent="0.25">
      <c r="A141" t="str">
        <f t="shared" si="11"/>
        <v/>
      </c>
      <c r="G141" t="str">
        <f>IFERROR(IF(D141="Mayorista",IF(VLOOKUP(E141,'04_PRODUCTOS'!B:F,5,FALSE)="",VLOOKUP(E141,'04_PRODUCTOS'!B:E,4,FALSE),VLOOKUP(E141,'04_PRODUCTOS'!B:F,5,FALSE)),IF(D141="Especial",IF(VLOOKUP(E141,'04_PRODUCTOS'!B:G,6,FALSE)="",VLOOKUP(E141,'04_PRODUCTOS'!B:E,4,FALSE),VLOOKUP(E141,'04_PRODUCTOS'!B:G,6,FALSE)),VLOOKUP(E141,'04_PRODUCTOS'!B:E,4,FALSE))),"")</f>
        <v/>
      </c>
      <c r="H141" t="str">
        <f t="shared" si="12"/>
        <v/>
      </c>
      <c r="I141" t="str">
        <f>IFERROR(H141-(F141*VLOOKUP(E141,'04_PRODUCTOS'!B:D,3,FALSE)),"")</f>
        <v/>
      </c>
      <c r="J141" t="str">
        <f t="shared" si="13"/>
        <v/>
      </c>
    </row>
    <row r="142" spans="1:10" x14ac:dyDescent="0.25">
      <c r="A142" t="str">
        <f t="shared" si="11"/>
        <v/>
      </c>
      <c r="G142" t="str">
        <f>IFERROR(IF(D142="Mayorista",IF(VLOOKUP(E142,'04_PRODUCTOS'!B:F,5,FALSE)="",VLOOKUP(E142,'04_PRODUCTOS'!B:E,4,FALSE),VLOOKUP(E142,'04_PRODUCTOS'!B:F,5,FALSE)),IF(D142="Especial",IF(VLOOKUP(E142,'04_PRODUCTOS'!B:G,6,FALSE)="",VLOOKUP(E142,'04_PRODUCTOS'!B:E,4,FALSE),VLOOKUP(E142,'04_PRODUCTOS'!B:G,6,FALSE)),VLOOKUP(E142,'04_PRODUCTOS'!B:E,4,FALSE))),"")</f>
        <v/>
      </c>
      <c r="H142" t="str">
        <f t="shared" si="12"/>
        <v/>
      </c>
      <c r="I142" t="str">
        <f>IFERROR(H142-(F142*VLOOKUP(E142,'04_PRODUCTOS'!B:D,3,FALSE)),"")</f>
        <v/>
      </c>
      <c r="J142" t="str">
        <f t="shared" si="13"/>
        <v/>
      </c>
    </row>
    <row r="143" spans="1:10" x14ac:dyDescent="0.25">
      <c r="A143" t="str">
        <f t="shared" si="11"/>
        <v/>
      </c>
      <c r="G143" t="str">
        <f>IFERROR(IF(D143="Mayorista",IF(VLOOKUP(E143,'04_PRODUCTOS'!B:F,5,FALSE)="",VLOOKUP(E143,'04_PRODUCTOS'!B:E,4,FALSE),VLOOKUP(E143,'04_PRODUCTOS'!B:F,5,FALSE)),IF(D143="Especial",IF(VLOOKUP(E143,'04_PRODUCTOS'!B:G,6,FALSE)="",VLOOKUP(E143,'04_PRODUCTOS'!B:E,4,FALSE),VLOOKUP(E143,'04_PRODUCTOS'!B:G,6,FALSE)),VLOOKUP(E143,'04_PRODUCTOS'!B:E,4,FALSE))),"")</f>
        <v/>
      </c>
      <c r="H143" t="str">
        <f t="shared" si="12"/>
        <v/>
      </c>
      <c r="I143" t="str">
        <f>IFERROR(H143-(F143*VLOOKUP(E143,'04_PRODUCTOS'!B:D,3,FALSE)),"")</f>
        <v/>
      </c>
      <c r="J143" t="str">
        <f t="shared" si="13"/>
        <v/>
      </c>
    </row>
    <row r="144" spans="1:10" x14ac:dyDescent="0.25">
      <c r="A144" t="str">
        <f t="shared" si="11"/>
        <v/>
      </c>
      <c r="G144" t="str">
        <f>IFERROR(IF(D144="Mayorista",IF(VLOOKUP(E144,'04_PRODUCTOS'!B:F,5,FALSE)="",VLOOKUP(E144,'04_PRODUCTOS'!B:E,4,FALSE),VLOOKUP(E144,'04_PRODUCTOS'!B:F,5,FALSE)),IF(D144="Especial",IF(VLOOKUP(E144,'04_PRODUCTOS'!B:G,6,FALSE)="",VLOOKUP(E144,'04_PRODUCTOS'!B:E,4,FALSE),VLOOKUP(E144,'04_PRODUCTOS'!B:G,6,FALSE)),VLOOKUP(E144,'04_PRODUCTOS'!B:E,4,FALSE))),"")</f>
        <v/>
      </c>
      <c r="H144" t="str">
        <f t="shared" si="12"/>
        <v/>
      </c>
      <c r="I144" t="str">
        <f>IFERROR(H144-(F144*VLOOKUP(E144,'04_PRODUCTOS'!B:D,3,FALSE)),"")</f>
        <v/>
      </c>
      <c r="J144" t="str">
        <f t="shared" si="13"/>
        <v/>
      </c>
    </row>
    <row r="145" spans="1:10" x14ac:dyDescent="0.25">
      <c r="A145" t="str">
        <f t="shared" si="11"/>
        <v/>
      </c>
      <c r="G145" t="str">
        <f>IFERROR(IF(D145="Mayorista",IF(VLOOKUP(E145,'04_PRODUCTOS'!B:F,5,FALSE)="",VLOOKUP(E145,'04_PRODUCTOS'!B:E,4,FALSE),VLOOKUP(E145,'04_PRODUCTOS'!B:F,5,FALSE)),IF(D145="Especial",IF(VLOOKUP(E145,'04_PRODUCTOS'!B:G,6,FALSE)="",VLOOKUP(E145,'04_PRODUCTOS'!B:E,4,FALSE),VLOOKUP(E145,'04_PRODUCTOS'!B:G,6,FALSE)),VLOOKUP(E145,'04_PRODUCTOS'!B:E,4,FALSE))),"")</f>
        <v/>
      </c>
      <c r="H145" t="str">
        <f t="shared" si="12"/>
        <v/>
      </c>
      <c r="I145" t="str">
        <f>IFERROR(H145-(F145*VLOOKUP(E145,'04_PRODUCTOS'!B:D,3,FALSE)),"")</f>
        <v/>
      </c>
      <c r="J145" t="str">
        <f t="shared" si="13"/>
        <v/>
      </c>
    </row>
    <row r="146" spans="1:10" x14ac:dyDescent="0.25">
      <c r="A146" t="str">
        <f t="shared" si="11"/>
        <v/>
      </c>
      <c r="G146" t="str">
        <f>IFERROR(IF(D146="Mayorista",IF(VLOOKUP(E146,'04_PRODUCTOS'!B:F,5,FALSE)="",VLOOKUP(E146,'04_PRODUCTOS'!B:E,4,FALSE),VLOOKUP(E146,'04_PRODUCTOS'!B:F,5,FALSE)),IF(D146="Especial",IF(VLOOKUP(E146,'04_PRODUCTOS'!B:G,6,FALSE)="",VLOOKUP(E146,'04_PRODUCTOS'!B:E,4,FALSE),VLOOKUP(E146,'04_PRODUCTOS'!B:G,6,FALSE)),VLOOKUP(E146,'04_PRODUCTOS'!B:E,4,FALSE))),"")</f>
        <v/>
      </c>
      <c r="H146" t="str">
        <f t="shared" si="12"/>
        <v/>
      </c>
      <c r="I146" t="str">
        <f>IFERROR(H146-(F146*VLOOKUP(E146,'04_PRODUCTOS'!B:D,3,FALSE)),"")</f>
        <v/>
      </c>
      <c r="J146" t="str">
        <f t="shared" si="13"/>
        <v/>
      </c>
    </row>
    <row r="147" spans="1:10" x14ac:dyDescent="0.25">
      <c r="A147" t="str">
        <f t="shared" si="11"/>
        <v/>
      </c>
      <c r="G147" t="str">
        <f>IFERROR(IF(D147="Mayorista",IF(VLOOKUP(E147,'04_PRODUCTOS'!B:F,5,FALSE)="",VLOOKUP(E147,'04_PRODUCTOS'!B:E,4,FALSE),VLOOKUP(E147,'04_PRODUCTOS'!B:F,5,FALSE)),IF(D147="Especial",IF(VLOOKUP(E147,'04_PRODUCTOS'!B:G,6,FALSE)="",VLOOKUP(E147,'04_PRODUCTOS'!B:E,4,FALSE),VLOOKUP(E147,'04_PRODUCTOS'!B:G,6,FALSE)),VLOOKUP(E147,'04_PRODUCTOS'!B:E,4,FALSE))),"")</f>
        <v/>
      </c>
      <c r="H147" t="str">
        <f t="shared" si="12"/>
        <v/>
      </c>
      <c r="I147" t="str">
        <f>IFERROR(H147-(F147*VLOOKUP(E147,'04_PRODUCTOS'!B:D,3,FALSE)),"")</f>
        <v/>
      </c>
      <c r="J147" t="str">
        <f t="shared" si="13"/>
        <v/>
      </c>
    </row>
    <row r="148" spans="1:10" x14ac:dyDescent="0.25">
      <c r="A148" t="str">
        <f t="shared" si="11"/>
        <v/>
      </c>
      <c r="G148" t="str">
        <f>IFERROR(IF(D148="Mayorista",IF(VLOOKUP(E148,'04_PRODUCTOS'!B:F,5,FALSE)="",VLOOKUP(E148,'04_PRODUCTOS'!B:E,4,FALSE),VLOOKUP(E148,'04_PRODUCTOS'!B:F,5,FALSE)),IF(D148="Especial",IF(VLOOKUP(E148,'04_PRODUCTOS'!B:G,6,FALSE)="",VLOOKUP(E148,'04_PRODUCTOS'!B:E,4,FALSE),VLOOKUP(E148,'04_PRODUCTOS'!B:G,6,FALSE)),VLOOKUP(E148,'04_PRODUCTOS'!B:E,4,FALSE))),"")</f>
        <v/>
      </c>
      <c r="H148" t="str">
        <f t="shared" si="12"/>
        <v/>
      </c>
      <c r="I148" t="str">
        <f>IFERROR(H148-(F148*VLOOKUP(E148,'04_PRODUCTOS'!B:D,3,FALSE)),"")</f>
        <v/>
      </c>
      <c r="J148" t="str">
        <f t="shared" si="13"/>
        <v/>
      </c>
    </row>
    <row r="149" spans="1:10" x14ac:dyDescent="0.25">
      <c r="A149" t="str">
        <f t="shared" si="11"/>
        <v/>
      </c>
      <c r="G149" t="str">
        <f>IFERROR(IF(D149="Mayorista",IF(VLOOKUP(E149,'04_PRODUCTOS'!B:F,5,FALSE)="",VLOOKUP(E149,'04_PRODUCTOS'!B:E,4,FALSE),VLOOKUP(E149,'04_PRODUCTOS'!B:F,5,FALSE)),IF(D149="Especial",IF(VLOOKUP(E149,'04_PRODUCTOS'!B:G,6,FALSE)="",VLOOKUP(E149,'04_PRODUCTOS'!B:E,4,FALSE),VLOOKUP(E149,'04_PRODUCTOS'!B:G,6,FALSE)),VLOOKUP(E149,'04_PRODUCTOS'!B:E,4,FALSE))),"")</f>
        <v/>
      </c>
      <c r="H149" t="str">
        <f t="shared" si="12"/>
        <v/>
      </c>
      <c r="I149" t="str">
        <f>IFERROR(H149-(F149*VLOOKUP(E149,'04_PRODUCTOS'!B:D,3,FALSE)),"")</f>
        <v/>
      </c>
      <c r="J149" t="str">
        <f t="shared" si="13"/>
        <v/>
      </c>
    </row>
    <row r="150" spans="1:10" x14ac:dyDescent="0.25">
      <c r="A150" t="str">
        <f t="shared" si="11"/>
        <v/>
      </c>
      <c r="G150" t="str">
        <f>IFERROR(IF(D150="Mayorista",IF(VLOOKUP(E150,'04_PRODUCTOS'!B:F,5,FALSE)="",VLOOKUP(E150,'04_PRODUCTOS'!B:E,4,FALSE),VLOOKUP(E150,'04_PRODUCTOS'!B:F,5,FALSE)),IF(D150="Especial",IF(VLOOKUP(E150,'04_PRODUCTOS'!B:G,6,FALSE)="",VLOOKUP(E150,'04_PRODUCTOS'!B:E,4,FALSE),VLOOKUP(E150,'04_PRODUCTOS'!B:G,6,FALSE)),VLOOKUP(E150,'04_PRODUCTOS'!B:E,4,FALSE))),"")</f>
        <v/>
      </c>
      <c r="H150" t="str">
        <f t="shared" si="12"/>
        <v/>
      </c>
      <c r="I150" t="str">
        <f>IFERROR(H150-(F150*VLOOKUP(E150,'04_PRODUCTOS'!B:D,3,FALSE)),"")</f>
        <v/>
      </c>
      <c r="J150" t="str">
        <f t="shared" si="13"/>
        <v/>
      </c>
    </row>
    <row r="151" spans="1:10" x14ac:dyDescent="0.25">
      <c r="A151" t="str">
        <f t="shared" si="11"/>
        <v/>
      </c>
      <c r="G151" t="str">
        <f>IFERROR(IF(D151="Mayorista",IF(VLOOKUP(E151,'04_PRODUCTOS'!B:F,5,FALSE)="",VLOOKUP(E151,'04_PRODUCTOS'!B:E,4,FALSE),VLOOKUP(E151,'04_PRODUCTOS'!B:F,5,FALSE)),IF(D151="Especial",IF(VLOOKUP(E151,'04_PRODUCTOS'!B:G,6,FALSE)="",VLOOKUP(E151,'04_PRODUCTOS'!B:E,4,FALSE),VLOOKUP(E151,'04_PRODUCTOS'!B:G,6,FALSE)),VLOOKUP(E151,'04_PRODUCTOS'!B:E,4,FALSE))),"")</f>
        <v/>
      </c>
      <c r="H151" t="str">
        <f t="shared" si="12"/>
        <v/>
      </c>
      <c r="I151" t="str">
        <f>IFERROR(H151-(F151*VLOOKUP(E151,'04_PRODUCTOS'!B:D,3,FALSE)),"")</f>
        <v/>
      </c>
      <c r="J151" t="str">
        <f t="shared" si="13"/>
        <v/>
      </c>
    </row>
    <row r="152" spans="1:10" x14ac:dyDescent="0.25">
      <c r="A152" t="str">
        <f t="shared" si="11"/>
        <v/>
      </c>
      <c r="G152" t="str">
        <f>IFERROR(IF(D152="Mayorista",IF(VLOOKUP(E152,'04_PRODUCTOS'!B:F,5,FALSE)="",VLOOKUP(E152,'04_PRODUCTOS'!B:E,4,FALSE),VLOOKUP(E152,'04_PRODUCTOS'!B:F,5,FALSE)),IF(D152="Especial",IF(VLOOKUP(E152,'04_PRODUCTOS'!B:G,6,FALSE)="",VLOOKUP(E152,'04_PRODUCTOS'!B:E,4,FALSE),VLOOKUP(E152,'04_PRODUCTOS'!B:G,6,FALSE)),VLOOKUP(E152,'04_PRODUCTOS'!B:E,4,FALSE))),"")</f>
        <v/>
      </c>
      <c r="H152" t="str">
        <f t="shared" si="12"/>
        <v/>
      </c>
      <c r="I152" t="str">
        <f>IFERROR(H152-(F152*VLOOKUP(E152,'04_PRODUCTOS'!B:D,3,FALSE)),"")</f>
        <v/>
      </c>
      <c r="J152" t="str">
        <f t="shared" si="13"/>
        <v/>
      </c>
    </row>
    <row r="153" spans="1:10" x14ac:dyDescent="0.25">
      <c r="A153" t="str">
        <f t="shared" si="11"/>
        <v/>
      </c>
      <c r="G153" t="str">
        <f>IFERROR(IF(D153="Mayorista",IF(VLOOKUP(E153,'04_PRODUCTOS'!B:F,5,FALSE)="",VLOOKUP(E153,'04_PRODUCTOS'!B:E,4,FALSE),VLOOKUP(E153,'04_PRODUCTOS'!B:F,5,FALSE)),IF(D153="Especial",IF(VLOOKUP(E153,'04_PRODUCTOS'!B:G,6,FALSE)="",VLOOKUP(E153,'04_PRODUCTOS'!B:E,4,FALSE),VLOOKUP(E153,'04_PRODUCTOS'!B:G,6,FALSE)),VLOOKUP(E153,'04_PRODUCTOS'!B:E,4,FALSE))),"")</f>
        <v/>
      </c>
      <c r="H153" t="str">
        <f t="shared" si="12"/>
        <v/>
      </c>
      <c r="I153" t="str">
        <f>IFERROR(H153-(F153*VLOOKUP(E153,'04_PRODUCTOS'!B:D,3,FALSE)),"")</f>
        <v/>
      </c>
      <c r="J153" t="str">
        <f t="shared" si="13"/>
        <v/>
      </c>
    </row>
    <row r="154" spans="1:10" x14ac:dyDescent="0.25">
      <c r="A154" t="str">
        <f t="shared" si="11"/>
        <v/>
      </c>
      <c r="G154" t="str">
        <f>IFERROR(IF(D154="Mayorista",IF(VLOOKUP(E154,'04_PRODUCTOS'!B:F,5,FALSE)="",VLOOKUP(E154,'04_PRODUCTOS'!B:E,4,FALSE),VLOOKUP(E154,'04_PRODUCTOS'!B:F,5,FALSE)),IF(D154="Especial",IF(VLOOKUP(E154,'04_PRODUCTOS'!B:G,6,FALSE)="",VLOOKUP(E154,'04_PRODUCTOS'!B:E,4,FALSE),VLOOKUP(E154,'04_PRODUCTOS'!B:G,6,FALSE)),VLOOKUP(E154,'04_PRODUCTOS'!B:E,4,FALSE))),"")</f>
        <v/>
      </c>
      <c r="H154" t="str">
        <f t="shared" si="12"/>
        <v/>
      </c>
      <c r="I154" t="str">
        <f>IFERROR(H154-(F154*VLOOKUP(E154,'04_PRODUCTOS'!B:D,3,FALSE)),"")</f>
        <v/>
      </c>
      <c r="J154" t="str">
        <f t="shared" si="13"/>
        <v/>
      </c>
    </row>
    <row r="155" spans="1:10" x14ac:dyDescent="0.25">
      <c r="A155" t="str">
        <f t="shared" si="11"/>
        <v/>
      </c>
      <c r="G155" t="str">
        <f>IFERROR(IF(D155="Mayorista",IF(VLOOKUP(E155,'04_PRODUCTOS'!B:F,5,FALSE)="",VLOOKUP(E155,'04_PRODUCTOS'!B:E,4,FALSE),VLOOKUP(E155,'04_PRODUCTOS'!B:F,5,FALSE)),IF(D155="Especial",IF(VLOOKUP(E155,'04_PRODUCTOS'!B:G,6,FALSE)="",VLOOKUP(E155,'04_PRODUCTOS'!B:E,4,FALSE),VLOOKUP(E155,'04_PRODUCTOS'!B:G,6,FALSE)),VLOOKUP(E155,'04_PRODUCTOS'!B:E,4,FALSE))),"")</f>
        <v/>
      </c>
      <c r="H155" t="str">
        <f t="shared" si="12"/>
        <v/>
      </c>
      <c r="I155" t="str">
        <f>IFERROR(H155-(F155*VLOOKUP(E155,'04_PRODUCTOS'!B:D,3,FALSE)),"")</f>
        <v/>
      </c>
      <c r="J155" t="str">
        <f t="shared" si="13"/>
        <v/>
      </c>
    </row>
    <row r="156" spans="1:10" x14ac:dyDescent="0.25">
      <c r="A156" t="str">
        <f t="shared" si="11"/>
        <v/>
      </c>
      <c r="G156" t="str">
        <f>IFERROR(IF(D156="Mayorista",IF(VLOOKUP(E156,'04_PRODUCTOS'!B:F,5,FALSE)="",VLOOKUP(E156,'04_PRODUCTOS'!B:E,4,FALSE),VLOOKUP(E156,'04_PRODUCTOS'!B:F,5,FALSE)),IF(D156="Especial",IF(VLOOKUP(E156,'04_PRODUCTOS'!B:G,6,FALSE)="",VLOOKUP(E156,'04_PRODUCTOS'!B:E,4,FALSE),VLOOKUP(E156,'04_PRODUCTOS'!B:G,6,FALSE)),VLOOKUP(E156,'04_PRODUCTOS'!B:E,4,FALSE))),"")</f>
        <v/>
      </c>
      <c r="H156" t="str">
        <f t="shared" si="12"/>
        <v/>
      </c>
      <c r="I156" t="str">
        <f>IFERROR(H156-(F156*VLOOKUP(E156,'04_PRODUCTOS'!B:D,3,FALSE)),"")</f>
        <v/>
      </c>
      <c r="J156" t="str">
        <f t="shared" si="13"/>
        <v/>
      </c>
    </row>
    <row r="157" spans="1:10" x14ac:dyDescent="0.25">
      <c r="A157" t="str">
        <f t="shared" si="11"/>
        <v/>
      </c>
      <c r="G157" t="str">
        <f>IFERROR(IF(D157="Mayorista",IF(VLOOKUP(E157,'04_PRODUCTOS'!B:F,5,FALSE)="",VLOOKUP(E157,'04_PRODUCTOS'!B:E,4,FALSE),VLOOKUP(E157,'04_PRODUCTOS'!B:F,5,FALSE)),IF(D157="Especial",IF(VLOOKUP(E157,'04_PRODUCTOS'!B:G,6,FALSE)="",VLOOKUP(E157,'04_PRODUCTOS'!B:E,4,FALSE),VLOOKUP(E157,'04_PRODUCTOS'!B:G,6,FALSE)),VLOOKUP(E157,'04_PRODUCTOS'!B:E,4,FALSE))),"")</f>
        <v/>
      </c>
      <c r="H157" t="str">
        <f t="shared" si="12"/>
        <v/>
      </c>
      <c r="I157" t="str">
        <f>IFERROR(H157-(F157*VLOOKUP(E157,'04_PRODUCTOS'!B:D,3,FALSE)),"")</f>
        <v/>
      </c>
      <c r="J157" t="str">
        <f t="shared" si="13"/>
        <v/>
      </c>
    </row>
    <row r="158" spans="1:10" x14ac:dyDescent="0.25">
      <c r="A158" t="str">
        <f t="shared" si="11"/>
        <v/>
      </c>
      <c r="G158" t="str">
        <f>IFERROR(IF(D158="Mayorista",IF(VLOOKUP(E158,'04_PRODUCTOS'!B:F,5,FALSE)="",VLOOKUP(E158,'04_PRODUCTOS'!B:E,4,FALSE),VLOOKUP(E158,'04_PRODUCTOS'!B:F,5,FALSE)),IF(D158="Especial",IF(VLOOKUP(E158,'04_PRODUCTOS'!B:G,6,FALSE)="",VLOOKUP(E158,'04_PRODUCTOS'!B:E,4,FALSE),VLOOKUP(E158,'04_PRODUCTOS'!B:G,6,FALSE)),VLOOKUP(E158,'04_PRODUCTOS'!B:E,4,FALSE))),"")</f>
        <v/>
      </c>
      <c r="H158" t="str">
        <f t="shared" si="12"/>
        <v/>
      </c>
      <c r="I158" t="str">
        <f>IFERROR(H158-(F158*VLOOKUP(E158,'04_PRODUCTOS'!B:D,3,FALSE)),"")</f>
        <v/>
      </c>
      <c r="J158" t="str">
        <f t="shared" si="13"/>
        <v/>
      </c>
    </row>
    <row r="159" spans="1:10" x14ac:dyDescent="0.25">
      <c r="A159" t="str">
        <f t="shared" si="11"/>
        <v/>
      </c>
      <c r="G159" t="str">
        <f>IFERROR(IF(D159="Mayorista",IF(VLOOKUP(E159,'04_PRODUCTOS'!B:F,5,FALSE)="",VLOOKUP(E159,'04_PRODUCTOS'!B:E,4,FALSE),VLOOKUP(E159,'04_PRODUCTOS'!B:F,5,FALSE)),IF(D159="Especial",IF(VLOOKUP(E159,'04_PRODUCTOS'!B:G,6,FALSE)="",VLOOKUP(E159,'04_PRODUCTOS'!B:E,4,FALSE),VLOOKUP(E159,'04_PRODUCTOS'!B:G,6,FALSE)),VLOOKUP(E159,'04_PRODUCTOS'!B:E,4,FALSE))),"")</f>
        <v/>
      </c>
      <c r="H159" t="str">
        <f t="shared" si="12"/>
        <v/>
      </c>
      <c r="I159" t="str">
        <f>IFERROR(H159-(F159*VLOOKUP(E159,'04_PRODUCTOS'!B:D,3,FALSE)),"")</f>
        <v/>
      </c>
      <c r="J159" t="str">
        <f t="shared" si="13"/>
        <v/>
      </c>
    </row>
    <row r="160" spans="1:10" x14ac:dyDescent="0.25">
      <c r="A160" t="str">
        <f t="shared" si="11"/>
        <v/>
      </c>
      <c r="G160" t="str">
        <f>IFERROR(IF(D160="Mayorista",IF(VLOOKUP(E160,'04_PRODUCTOS'!B:F,5,FALSE)="",VLOOKUP(E160,'04_PRODUCTOS'!B:E,4,FALSE),VLOOKUP(E160,'04_PRODUCTOS'!B:F,5,FALSE)),IF(D160="Especial",IF(VLOOKUP(E160,'04_PRODUCTOS'!B:G,6,FALSE)="",VLOOKUP(E160,'04_PRODUCTOS'!B:E,4,FALSE),VLOOKUP(E160,'04_PRODUCTOS'!B:G,6,FALSE)),VLOOKUP(E160,'04_PRODUCTOS'!B:E,4,FALSE))),"")</f>
        <v/>
      </c>
      <c r="H160" t="str">
        <f t="shared" si="12"/>
        <v/>
      </c>
      <c r="I160" t="str">
        <f>IFERROR(H160-(F160*VLOOKUP(E160,'04_PRODUCTOS'!B:D,3,FALSE)),"")</f>
        <v/>
      </c>
      <c r="J160" t="str">
        <f t="shared" si="13"/>
        <v/>
      </c>
    </row>
    <row r="161" spans="1:10" x14ac:dyDescent="0.25">
      <c r="A161" t="str">
        <f t="shared" si="11"/>
        <v/>
      </c>
      <c r="G161" t="str">
        <f>IFERROR(IF(D161="Mayorista",IF(VLOOKUP(E161,'04_PRODUCTOS'!B:F,5,FALSE)="",VLOOKUP(E161,'04_PRODUCTOS'!B:E,4,FALSE),VLOOKUP(E161,'04_PRODUCTOS'!B:F,5,FALSE)),IF(D161="Especial",IF(VLOOKUP(E161,'04_PRODUCTOS'!B:G,6,FALSE)="",VLOOKUP(E161,'04_PRODUCTOS'!B:E,4,FALSE),VLOOKUP(E161,'04_PRODUCTOS'!B:G,6,FALSE)),VLOOKUP(E161,'04_PRODUCTOS'!B:E,4,FALSE))),"")</f>
        <v/>
      </c>
      <c r="H161" t="str">
        <f t="shared" si="12"/>
        <v/>
      </c>
      <c r="I161" t="str">
        <f>IFERROR(H161-(F161*VLOOKUP(E161,'04_PRODUCTOS'!B:D,3,FALSE)),"")</f>
        <v/>
      </c>
      <c r="J161" t="str">
        <f t="shared" si="13"/>
        <v/>
      </c>
    </row>
    <row r="162" spans="1:10" x14ac:dyDescent="0.25">
      <c r="A162" t="str">
        <f t="shared" ref="A162:A193" si="14">IF(C162="","","VEN"&amp;TEXT(ROW()-1,"000000"))</f>
        <v/>
      </c>
      <c r="G162" t="str">
        <f>IFERROR(IF(D162="Mayorista",IF(VLOOKUP(E162,'04_PRODUCTOS'!B:F,5,FALSE)="",VLOOKUP(E162,'04_PRODUCTOS'!B:E,4,FALSE),VLOOKUP(E162,'04_PRODUCTOS'!B:F,5,FALSE)),IF(D162="Especial",IF(VLOOKUP(E162,'04_PRODUCTOS'!B:G,6,FALSE)="",VLOOKUP(E162,'04_PRODUCTOS'!B:E,4,FALSE),VLOOKUP(E162,'04_PRODUCTOS'!B:G,6,FALSE)),VLOOKUP(E162,'04_PRODUCTOS'!B:E,4,FALSE))),"")</f>
        <v/>
      </c>
      <c r="H162" t="str">
        <f t="shared" si="12"/>
        <v/>
      </c>
      <c r="I162" t="str">
        <f>IFERROR(H162-(F162*VLOOKUP(E162,'04_PRODUCTOS'!B:D,3,FALSE)),"")</f>
        <v/>
      </c>
      <c r="J162" t="str">
        <f t="shared" si="13"/>
        <v/>
      </c>
    </row>
    <row r="163" spans="1:10" x14ac:dyDescent="0.25">
      <c r="A163" t="str">
        <f t="shared" si="14"/>
        <v/>
      </c>
      <c r="G163" t="str">
        <f>IFERROR(IF(D163="Mayorista",IF(VLOOKUP(E163,'04_PRODUCTOS'!B:F,5,FALSE)="",VLOOKUP(E163,'04_PRODUCTOS'!B:E,4,FALSE),VLOOKUP(E163,'04_PRODUCTOS'!B:F,5,FALSE)),IF(D163="Especial",IF(VLOOKUP(E163,'04_PRODUCTOS'!B:G,6,FALSE)="",VLOOKUP(E163,'04_PRODUCTOS'!B:E,4,FALSE),VLOOKUP(E163,'04_PRODUCTOS'!B:G,6,FALSE)),VLOOKUP(E163,'04_PRODUCTOS'!B:E,4,FALSE))),"")</f>
        <v/>
      </c>
      <c r="H163" t="str">
        <f t="shared" si="12"/>
        <v/>
      </c>
      <c r="I163" t="str">
        <f>IFERROR(H163-(F163*VLOOKUP(E163,'04_PRODUCTOS'!B:D,3,FALSE)),"")</f>
        <v/>
      </c>
      <c r="J163" t="str">
        <f t="shared" si="13"/>
        <v/>
      </c>
    </row>
    <row r="164" spans="1:10" x14ac:dyDescent="0.25">
      <c r="A164" t="str">
        <f t="shared" si="14"/>
        <v/>
      </c>
      <c r="G164" t="str">
        <f>IFERROR(IF(D164="Mayorista",IF(VLOOKUP(E164,'04_PRODUCTOS'!B:F,5,FALSE)="",VLOOKUP(E164,'04_PRODUCTOS'!B:E,4,FALSE),VLOOKUP(E164,'04_PRODUCTOS'!B:F,5,FALSE)),IF(D164="Especial",IF(VLOOKUP(E164,'04_PRODUCTOS'!B:G,6,FALSE)="",VLOOKUP(E164,'04_PRODUCTOS'!B:E,4,FALSE),VLOOKUP(E164,'04_PRODUCTOS'!B:G,6,FALSE)),VLOOKUP(E164,'04_PRODUCTOS'!B:E,4,FALSE))),"")</f>
        <v/>
      </c>
      <c r="H164" t="str">
        <f t="shared" si="12"/>
        <v/>
      </c>
      <c r="I164" t="str">
        <f>IFERROR(H164-(F164*VLOOKUP(E164,'04_PRODUCTOS'!B:D,3,FALSE)),"")</f>
        <v/>
      </c>
      <c r="J164" t="str">
        <f t="shared" si="13"/>
        <v/>
      </c>
    </row>
    <row r="165" spans="1:10" x14ac:dyDescent="0.25">
      <c r="A165" t="str">
        <f t="shared" si="14"/>
        <v/>
      </c>
      <c r="G165" t="str">
        <f>IFERROR(IF(D165="Mayorista",IF(VLOOKUP(E165,'04_PRODUCTOS'!B:F,5,FALSE)="",VLOOKUP(E165,'04_PRODUCTOS'!B:E,4,FALSE),VLOOKUP(E165,'04_PRODUCTOS'!B:F,5,FALSE)),IF(D165="Especial",IF(VLOOKUP(E165,'04_PRODUCTOS'!B:G,6,FALSE)="",VLOOKUP(E165,'04_PRODUCTOS'!B:E,4,FALSE),VLOOKUP(E165,'04_PRODUCTOS'!B:G,6,FALSE)),VLOOKUP(E165,'04_PRODUCTOS'!B:E,4,FALSE))),"")</f>
        <v/>
      </c>
      <c r="H165" t="str">
        <f t="shared" si="12"/>
        <v/>
      </c>
      <c r="I165" t="str">
        <f>IFERROR(H165-(F165*VLOOKUP(E165,'04_PRODUCTOS'!B:D,3,FALSE)),"")</f>
        <v/>
      </c>
      <c r="J165" t="str">
        <f t="shared" si="13"/>
        <v/>
      </c>
    </row>
    <row r="166" spans="1:10" x14ac:dyDescent="0.25">
      <c r="A166" t="str">
        <f t="shared" si="14"/>
        <v/>
      </c>
      <c r="G166" t="str">
        <f>IFERROR(IF(D166="Mayorista",IF(VLOOKUP(E166,'04_PRODUCTOS'!B:F,5,FALSE)="",VLOOKUP(E166,'04_PRODUCTOS'!B:E,4,FALSE),VLOOKUP(E166,'04_PRODUCTOS'!B:F,5,FALSE)),IF(D166="Especial",IF(VLOOKUP(E166,'04_PRODUCTOS'!B:G,6,FALSE)="",VLOOKUP(E166,'04_PRODUCTOS'!B:E,4,FALSE),VLOOKUP(E166,'04_PRODUCTOS'!B:G,6,FALSE)),VLOOKUP(E166,'04_PRODUCTOS'!B:E,4,FALSE))),"")</f>
        <v/>
      </c>
      <c r="H166" t="str">
        <f t="shared" si="12"/>
        <v/>
      </c>
      <c r="I166" t="str">
        <f>IFERROR(H166-(F166*VLOOKUP(E166,'04_PRODUCTOS'!B:D,3,FALSE)),"")</f>
        <v/>
      </c>
      <c r="J166" t="str">
        <f t="shared" si="13"/>
        <v/>
      </c>
    </row>
    <row r="167" spans="1:10" x14ac:dyDescent="0.25">
      <c r="A167" t="str">
        <f t="shared" si="14"/>
        <v/>
      </c>
      <c r="G167" t="str">
        <f>IFERROR(IF(D167="Mayorista",IF(VLOOKUP(E167,'04_PRODUCTOS'!B:F,5,FALSE)="",VLOOKUP(E167,'04_PRODUCTOS'!B:E,4,FALSE),VLOOKUP(E167,'04_PRODUCTOS'!B:F,5,FALSE)),IF(D167="Especial",IF(VLOOKUP(E167,'04_PRODUCTOS'!B:G,6,FALSE)="",VLOOKUP(E167,'04_PRODUCTOS'!B:E,4,FALSE),VLOOKUP(E167,'04_PRODUCTOS'!B:G,6,FALSE)),VLOOKUP(E167,'04_PRODUCTOS'!B:E,4,FALSE))),"")</f>
        <v/>
      </c>
      <c r="H167" t="str">
        <f t="shared" si="12"/>
        <v/>
      </c>
      <c r="I167" t="str">
        <f>IFERROR(H167-(F167*VLOOKUP(E167,'04_PRODUCTOS'!B:D,3,FALSE)),"")</f>
        <v/>
      </c>
      <c r="J167" t="str">
        <f t="shared" si="13"/>
        <v/>
      </c>
    </row>
    <row r="168" spans="1:10" x14ac:dyDescent="0.25">
      <c r="A168" t="str">
        <f t="shared" si="14"/>
        <v/>
      </c>
      <c r="G168" t="str">
        <f>IFERROR(IF(D168="Mayorista",IF(VLOOKUP(E168,'04_PRODUCTOS'!B:F,5,FALSE)="",VLOOKUP(E168,'04_PRODUCTOS'!B:E,4,FALSE),VLOOKUP(E168,'04_PRODUCTOS'!B:F,5,FALSE)),IF(D168="Especial",IF(VLOOKUP(E168,'04_PRODUCTOS'!B:G,6,FALSE)="",VLOOKUP(E168,'04_PRODUCTOS'!B:E,4,FALSE),VLOOKUP(E168,'04_PRODUCTOS'!B:G,6,FALSE)),VLOOKUP(E168,'04_PRODUCTOS'!B:E,4,FALSE))),"")</f>
        <v/>
      </c>
      <c r="H168" t="str">
        <f t="shared" si="12"/>
        <v/>
      </c>
      <c r="I168" t="str">
        <f>IFERROR(H168-(F168*VLOOKUP(E168,'04_PRODUCTOS'!B:D,3,FALSE)),"")</f>
        <v/>
      </c>
      <c r="J168" t="str">
        <f t="shared" si="13"/>
        <v/>
      </c>
    </row>
    <row r="169" spans="1:10" x14ac:dyDescent="0.25">
      <c r="A169" t="str">
        <f t="shared" si="14"/>
        <v/>
      </c>
      <c r="G169" t="str">
        <f>IFERROR(IF(D169="Mayorista",IF(VLOOKUP(E169,'04_PRODUCTOS'!B:F,5,FALSE)="",VLOOKUP(E169,'04_PRODUCTOS'!B:E,4,FALSE),VLOOKUP(E169,'04_PRODUCTOS'!B:F,5,FALSE)),IF(D169="Especial",IF(VLOOKUP(E169,'04_PRODUCTOS'!B:G,6,FALSE)="",VLOOKUP(E169,'04_PRODUCTOS'!B:E,4,FALSE),VLOOKUP(E169,'04_PRODUCTOS'!B:G,6,FALSE)),VLOOKUP(E169,'04_PRODUCTOS'!B:E,4,FALSE))),"")</f>
        <v/>
      </c>
      <c r="H169" t="str">
        <f t="shared" si="12"/>
        <v/>
      </c>
      <c r="I169" t="str">
        <f>IFERROR(H169-(F169*VLOOKUP(E169,'04_PRODUCTOS'!B:D,3,FALSE)),"")</f>
        <v/>
      </c>
      <c r="J169" t="str">
        <f t="shared" si="13"/>
        <v/>
      </c>
    </row>
    <row r="170" spans="1:10" x14ac:dyDescent="0.25">
      <c r="A170" t="str">
        <f t="shared" si="14"/>
        <v/>
      </c>
      <c r="G170" t="str">
        <f>IFERROR(IF(D170="Mayorista",IF(VLOOKUP(E170,'04_PRODUCTOS'!B:F,5,FALSE)="",VLOOKUP(E170,'04_PRODUCTOS'!B:E,4,FALSE),VLOOKUP(E170,'04_PRODUCTOS'!B:F,5,FALSE)),IF(D170="Especial",IF(VLOOKUP(E170,'04_PRODUCTOS'!B:G,6,FALSE)="",VLOOKUP(E170,'04_PRODUCTOS'!B:E,4,FALSE),VLOOKUP(E170,'04_PRODUCTOS'!B:G,6,FALSE)),VLOOKUP(E170,'04_PRODUCTOS'!B:E,4,FALSE))),"")</f>
        <v/>
      </c>
      <c r="H170" t="str">
        <f t="shared" si="12"/>
        <v/>
      </c>
      <c r="I170" t="str">
        <f>IFERROR(H170-(F170*VLOOKUP(E170,'04_PRODUCTOS'!B:D,3,FALSE)),"")</f>
        <v/>
      </c>
      <c r="J170" t="str">
        <f t="shared" si="13"/>
        <v/>
      </c>
    </row>
    <row r="171" spans="1:10" x14ac:dyDescent="0.25">
      <c r="A171" t="str">
        <f t="shared" si="14"/>
        <v/>
      </c>
      <c r="G171" t="str">
        <f>IFERROR(IF(D171="Mayorista",IF(VLOOKUP(E171,'04_PRODUCTOS'!B:F,5,FALSE)="",VLOOKUP(E171,'04_PRODUCTOS'!B:E,4,FALSE),VLOOKUP(E171,'04_PRODUCTOS'!B:F,5,FALSE)),IF(D171="Especial",IF(VLOOKUP(E171,'04_PRODUCTOS'!B:G,6,FALSE)="",VLOOKUP(E171,'04_PRODUCTOS'!B:E,4,FALSE),VLOOKUP(E171,'04_PRODUCTOS'!B:G,6,FALSE)),VLOOKUP(E171,'04_PRODUCTOS'!B:E,4,FALSE))),"")</f>
        <v/>
      </c>
      <c r="H171" t="str">
        <f t="shared" si="12"/>
        <v/>
      </c>
      <c r="I171" t="str">
        <f>IFERROR(H171-(F171*VLOOKUP(E171,'04_PRODUCTOS'!B:D,3,FALSE)),"")</f>
        <v/>
      </c>
      <c r="J171" t="str">
        <f t="shared" si="13"/>
        <v/>
      </c>
    </row>
    <row r="172" spans="1:10" x14ac:dyDescent="0.25">
      <c r="A172" t="str">
        <f t="shared" si="14"/>
        <v/>
      </c>
      <c r="G172" t="str">
        <f>IFERROR(IF(D172="Mayorista",IF(VLOOKUP(E172,'04_PRODUCTOS'!B:F,5,FALSE)="",VLOOKUP(E172,'04_PRODUCTOS'!B:E,4,FALSE),VLOOKUP(E172,'04_PRODUCTOS'!B:F,5,FALSE)),IF(D172="Especial",IF(VLOOKUP(E172,'04_PRODUCTOS'!B:G,6,FALSE)="",VLOOKUP(E172,'04_PRODUCTOS'!B:E,4,FALSE),VLOOKUP(E172,'04_PRODUCTOS'!B:G,6,FALSE)),VLOOKUP(E172,'04_PRODUCTOS'!B:E,4,FALSE))),"")</f>
        <v/>
      </c>
      <c r="H172" t="str">
        <f t="shared" si="12"/>
        <v/>
      </c>
      <c r="I172" t="str">
        <f>IFERROR(H172-(F172*VLOOKUP(E172,'04_PRODUCTOS'!B:D,3,FALSE)),"")</f>
        <v/>
      </c>
      <c r="J172" t="str">
        <f t="shared" si="13"/>
        <v/>
      </c>
    </row>
    <row r="173" spans="1:10" x14ac:dyDescent="0.25">
      <c r="A173" t="str">
        <f t="shared" si="14"/>
        <v/>
      </c>
      <c r="G173" t="str">
        <f>IFERROR(IF(D173="Mayorista",IF(VLOOKUP(E173,'04_PRODUCTOS'!B:F,5,FALSE)="",VLOOKUP(E173,'04_PRODUCTOS'!B:E,4,FALSE),VLOOKUP(E173,'04_PRODUCTOS'!B:F,5,FALSE)),IF(D173="Especial",IF(VLOOKUP(E173,'04_PRODUCTOS'!B:G,6,FALSE)="",VLOOKUP(E173,'04_PRODUCTOS'!B:E,4,FALSE),VLOOKUP(E173,'04_PRODUCTOS'!B:G,6,FALSE)),VLOOKUP(E173,'04_PRODUCTOS'!B:E,4,FALSE))),"")</f>
        <v/>
      </c>
      <c r="H173" t="str">
        <f t="shared" si="12"/>
        <v/>
      </c>
      <c r="I173" t="str">
        <f>IFERROR(H173-(F173*VLOOKUP(E173,'04_PRODUCTOS'!B:D,3,FALSE)),"")</f>
        <v/>
      </c>
      <c r="J173" t="str">
        <f t="shared" si="13"/>
        <v/>
      </c>
    </row>
    <row r="174" spans="1:10" x14ac:dyDescent="0.25">
      <c r="A174" t="str">
        <f t="shared" si="14"/>
        <v/>
      </c>
      <c r="G174" t="str">
        <f>IFERROR(IF(D174="Mayorista",IF(VLOOKUP(E174,'04_PRODUCTOS'!B:F,5,FALSE)="",VLOOKUP(E174,'04_PRODUCTOS'!B:E,4,FALSE),VLOOKUP(E174,'04_PRODUCTOS'!B:F,5,FALSE)),IF(D174="Especial",IF(VLOOKUP(E174,'04_PRODUCTOS'!B:G,6,FALSE)="",VLOOKUP(E174,'04_PRODUCTOS'!B:E,4,FALSE),VLOOKUP(E174,'04_PRODUCTOS'!B:G,6,FALSE)),VLOOKUP(E174,'04_PRODUCTOS'!B:E,4,FALSE))),"")</f>
        <v/>
      </c>
      <c r="H174" t="str">
        <f t="shared" si="12"/>
        <v/>
      </c>
      <c r="I174" t="str">
        <f>IFERROR(H174-(F174*VLOOKUP(E174,'04_PRODUCTOS'!B:D,3,FALSE)),"")</f>
        <v/>
      </c>
      <c r="J174" t="str">
        <f t="shared" si="13"/>
        <v/>
      </c>
    </row>
    <row r="175" spans="1:10" x14ac:dyDescent="0.25">
      <c r="A175" t="str">
        <f t="shared" si="14"/>
        <v/>
      </c>
      <c r="G175" t="str">
        <f>IFERROR(IF(D175="Mayorista",IF(VLOOKUP(E175,'04_PRODUCTOS'!B:F,5,FALSE)="",VLOOKUP(E175,'04_PRODUCTOS'!B:E,4,FALSE),VLOOKUP(E175,'04_PRODUCTOS'!B:F,5,FALSE)),IF(D175="Especial",IF(VLOOKUP(E175,'04_PRODUCTOS'!B:G,6,FALSE)="",VLOOKUP(E175,'04_PRODUCTOS'!B:E,4,FALSE),VLOOKUP(E175,'04_PRODUCTOS'!B:G,6,FALSE)),VLOOKUP(E175,'04_PRODUCTOS'!B:E,4,FALSE))),"")</f>
        <v/>
      </c>
      <c r="H175" t="str">
        <f t="shared" si="12"/>
        <v/>
      </c>
      <c r="I175" t="str">
        <f>IFERROR(H175-(F175*VLOOKUP(E175,'04_PRODUCTOS'!B:D,3,FALSE)),"")</f>
        <v/>
      </c>
      <c r="J175" t="str">
        <f t="shared" si="13"/>
        <v/>
      </c>
    </row>
    <row r="176" spans="1:10" x14ac:dyDescent="0.25">
      <c r="A176" t="str">
        <f t="shared" si="14"/>
        <v/>
      </c>
      <c r="G176" t="str">
        <f>IFERROR(IF(D176="Mayorista",IF(VLOOKUP(E176,'04_PRODUCTOS'!B:F,5,FALSE)="",VLOOKUP(E176,'04_PRODUCTOS'!B:E,4,FALSE),VLOOKUP(E176,'04_PRODUCTOS'!B:F,5,FALSE)),IF(D176="Especial",IF(VLOOKUP(E176,'04_PRODUCTOS'!B:G,6,FALSE)="",VLOOKUP(E176,'04_PRODUCTOS'!B:E,4,FALSE),VLOOKUP(E176,'04_PRODUCTOS'!B:G,6,FALSE)),VLOOKUP(E176,'04_PRODUCTOS'!B:E,4,FALSE))),"")</f>
        <v/>
      </c>
      <c r="H176" t="str">
        <f t="shared" si="12"/>
        <v/>
      </c>
      <c r="I176" t="str">
        <f>IFERROR(H176-(F176*VLOOKUP(E176,'04_PRODUCTOS'!B:D,3,FALSE)),"")</f>
        <v/>
      </c>
      <c r="J176" t="str">
        <f t="shared" si="13"/>
        <v/>
      </c>
    </row>
    <row r="177" spans="1:10" x14ac:dyDescent="0.25">
      <c r="A177" t="str">
        <f t="shared" si="14"/>
        <v/>
      </c>
      <c r="G177" t="str">
        <f>IFERROR(IF(D177="Mayorista",IF(VLOOKUP(E177,'04_PRODUCTOS'!B:F,5,FALSE)="",VLOOKUP(E177,'04_PRODUCTOS'!B:E,4,FALSE),VLOOKUP(E177,'04_PRODUCTOS'!B:F,5,FALSE)),IF(D177="Especial",IF(VLOOKUP(E177,'04_PRODUCTOS'!B:G,6,FALSE)="",VLOOKUP(E177,'04_PRODUCTOS'!B:E,4,FALSE),VLOOKUP(E177,'04_PRODUCTOS'!B:G,6,FALSE)),VLOOKUP(E177,'04_PRODUCTOS'!B:E,4,FALSE))),"")</f>
        <v/>
      </c>
      <c r="H177" t="str">
        <f t="shared" si="12"/>
        <v/>
      </c>
      <c r="I177" t="str">
        <f>IFERROR(H177-(F177*VLOOKUP(E177,'04_PRODUCTOS'!B:D,3,FALSE)),"")</f>
        <v/>
      </c>
      <c r="J177" t="str">
        <f t="shared" si="13"/>
        <v/>
      </c>
    </row>
    <row r="178" spans="1:10" x14ac:dyDescent="0.25">
      <c r="A178" t="str">
        <f t="shared" si="14"/>
        <v/>
      </c>
      <c r="G178" t="str">
        <f>IFERROR(IF(D178="Mayorista",IF(VLOOKUP(E178,'04_PRODUCTOS'!B:F,5,FALSE)="",VLOOKUP(E178,'04_PRODUCTOS'!B:E,4,FALSE),VLOOKUP(E178,'04_PRODUCTOS'!B:F,5,FALSE)),IF(D178="Especial",IF(VLOOKUP(E178,'04_PRODUCTOS'!B:G,6,FALSE)="",VLOOKUP(E178,'04_PRODUCTOS'!B:E,4,FALSE),VLOOKUP(E178,'04_PRODUCTOS'!B:G,6,FALSE)),VLOOKUP(E178,'04_PRODUCTOS'!B:E,4,FALSE))),"")</f>
        <v/>
      </c>
      <c r="H178" t="str">
        <f t="shared" si="12"/>
        <v/>
      </c>
      <c r="I178" t="str">
        <f>IFERROR(H178-(F178*VLOOKUP(E178,'04_PRODUCTOS'!B:D,3,FALSE)),"")</f>
        <v/>
      </c>
      <c r="J178" t="str">
        <f t="shared" si="13"/>
        <v/>
      </c>
    </row>
    <row r="179" spans="1:10" x14ac:dyDescent="0.25">
      <c r="A179" t="str">
        <f t="shared" si="14"/>
        <v/>
      </c>
      <c r="G179" t="str">
        <f>IFERROR(IF(D179="Mayorista",IF(VLOOKUP(E179,'04_PRODUCTOS'!B:F,5,FALSE)="",VLOOKUP(E179,'04_PRODUCTOS'!B:E,4,FALSE),VLOOKUP(E179,'04_PRODUCTOS'!B:F,5,FALSE)),IF(D179="Especial",IF(VLOOKUP(E179,'04_PRODUCTOS'!B:G,6,FALSE)="",VLOOKUP(E179,'04_PRODUCTOS'!B:E,4,FALSE),VLOOKUP(E179,'04_PRODUCTOS'!B:G,6,FALSE)),VLOOKUP(E179,'04_PRODUCTOS'!B:E,4,FALSE))),"")</f>
        <v/>
      </c>
      <c r="H179" t="str">
        <f t="shared" si="12"/>
        <v/>
      </c>
      <c r="I179" t="str">
        <f>IFERROR(H179-(F179*VLOOKUP(E179,'04_PRODUCTOS'!B:D,3,FALSE)),"")</f>
        <v/>
      </c>
      <c r="J179" t="str">
        <f t="shared" si="13"/>
        <v/>
      </c>
    </row>
    <row r="180" spans="1:10" x14ac:dyDescent="0.25">
      <c r="A180" t="str">
        <f t="shared" si="14"/>
        <v/>
      </c>
      <c r="G180" t="str">
        <f>IFERROR(IF(D180="Mayorista",IF(VLOOKUP(E180,'04_PRODUCTOS'!B:F,5,FALSE)="",VLOOKUP(E180,'04_PRODUCTOS'!B:E,4,FALSE),VLOOKUP(E180,'04_PRODUCTOS'!B:F,5,FALSE)),IF(D180="Especial",IF(VLOOKUP(E180,'04_PRODUCTOS'!B:G,6,FALSE)="",VLOOKUP(E180,'04_PRODUCTOS'!B:E,4,FALSE),VLOOKUP(E180,'04_PRODUCTOS'!B:G,6,FALSE)),VLOOKUP(E180,'04_PRODUCTOS'!B:E,4,FALSE))),"")</f>
        <v/>
      </c>
      <c r="H180" t="str">
        <f t="shared" si="12"/>
        <v/>
      </c>
      <c r="I180" t="str">
        <f>IFERROR(H180-(F180*VLOOKUP(E180,'04_PRODUCTOS'!B:D,3,FALSE)),"")</f>
        <v/>
      </c>
      <c r="J180" t="str">
        <f t="shared" si="13"/>
        <v/>
      </c>
    </row>
    <row r="181" spans="1:10" x14ac:dyDescent="0.25">
      <c r="A181" t="str">
        <f t="shared" si="14"/>
        <v/>
      </c>
      <c r="G181" t="str">
        <f>IFERROR(IF(D181="Mayorista",IF(VLOOKUP(E181,'04_PRODUCTOS'!B:F,5,FALSE)="",VLOOKUP(E181,'04_PRODUCTOS'!B:E,4,FALSE),VLOOKUP(E181,'04_PRODUCTOS'!B:F,5,FALSE)),IF(D181="Especial",IF(VLOOKUP(E181,'04_PRODUCTOS'!B:G,6,FALSE)="",VLOOKUP(E181,'04_PRODUCTOS'!B:E,4,FALSE),VLOOKUP(E181,'04_PRODUCTOS'!B:G,6,FALSE)),VLOOKUP(E181,'04_PRODUCTOS'!B:E,4,FALSE))),"")</f>
        <v/>
      </c>
      <c r="H181" t="str">
        <f t="shared" si="12"/>
        <v/>
      </c>
      <c r="I181" t="str">
        <f>IFERROR(H181-(F181*VLOOKUP(E181,'04_PRODUCTOS'!B:D,3,FALSE)),"")</f>
        <v/>
      </c>
      <c r="J181" t="str">
        <f t="shared" si="13"/>
        <v/>
      </c>
    </row>
    <row r="182" spans="1:10" x14ac:dyDescent="0.25">
      <c r="A182" t="str">
        <f t="shared" si="14"/>
        <v/>
      </c>
      <c r="G182" t="str">
        <f>IFERROR(IF(D182="Mayorista",IF(VLOOKUP(E182,'04_PRODUCTOS'!B:F,5,FALSE)="",VLOOKUP(E182,'04_PRODUCTOS'!B:E,4,FALSE),VLOOKUP(E182,'04_PRODUCTOS'!B:F,5,FALSE)),IF(D182="Especial",IF(VLOOKUP(E182,'04_PRODUCTOS'!B:G,6,FALSE)="",VLOOKUP(E182,'04_PRODUCTOS'!B:E,4,FALSE),VLOOKUP(E182,'04_PRODUCTOS'!B:G,6,FALSE)),VLOOKUP(E182,'04_PRODUCTOS'!B:E,4,FALSE))),"")</f>
        <v/>
      </c>
      <c r="H182" t="str">
        <f t="shared" si="12"/>
        <v/>
      </c>
      <c r="I182" t="str">
        <f>IFERROR(H182-(F182*VLOOKUP(E182,'04_PRODUCTOS'!B:D,3,FALSE)),"")</f>
        <v/>
      </c>
      <c r="J182" t="str">
        <f t="shared" si="13"/>
        <v/>
      </c>
    </row>
    <row r="183" spans="1:10" x14ac:dyDescent="0.25">
      <c r="A183" t="str">
        <f t="shared" si="14"/>
        <v/>
      </c>
      <c r="G183" t="str">
        <f>IFERROR(IF(D183="Mayorista",IF(VLOOKUP(E183,'04_PRODUCTOS'!B:F,5,FALSE)="",VLOOKUP(E183,'04_PRODUCTOS'!B:E,4,FALSE),VLOOKUP(E183,'04_PRODUCTOS'!B:F,5,FALSE)),IF(D183="Especial",IF(VLOOKUP(E183,'04_PRODUCTOS'!B:G,6,FALSE)="",VLOOKUP(E183,'04_PRODUCTOS'!B:E,4,FALSE),VLOOKUP(E183,'04_PRODUCTOS'!B:G,6,FALSE)),VLOOKUP(E183,'04_PRODUCTOS'!B:E,4,FALSE))),"")</f>
        <v/>
      </c>
      <c r="H183" t="str">
        <f t="shared" si="12"/>
        <v/>
      </c>
      <c r="I183" t="str">
        <f>IFERROR(H183-(F183*VLOOKUP(E183,'04_PRODUCTOS'!B:D,3,FALSE)),"")</f>
        <v/>
      </c>
      <c r="J183" t="str">
        <f t="shared" si="13"/>
        <v/>
      </c>
    </row>
    <row r="184" spans="1:10" x14ac:dyDescent="0.25">
      <c r="A184" t="str">
        <f t="shared" si="14"/>
        <v/>
      </c>
      <c r="G184" t="str">
        <f>IFERROR(IF(D184="Mayorista",IF(VLOOKUP(E184,'04_PRODUCTOS'!B:F,5,FALSE)="",VLOOKUP(E184,'04_PRODUCTOS'!B:E,4,FALSE),VLOOKUP(E184,'04_PRODUCTOS'!B:F,5,FALSE)),IF(D184="Especial",IF(VLOOKUP(E184,'04_PRODUCTOS'!B:G,6,FALSE)="",VLOOKUP(E184,'04_PRODUCTOS'!B:E,4,FALSE),VLOOKUP(E184,'04_PRODUCTOS'!B:G,6,FALSE)),VLOOKUP(E184,'04_PRODUCTOS'!B:E,4,FALSE))),"")</f>
        <v/>
      </c>
      <c r="H184" t="str">
        <f t="shared" si="12"/>
        <v/>
      </c>
      <c r="I184" t="str">
        <f>IFERROR(H184-(F184*VLOOKUP(E184,'04_PRODUCTOS'!B:D,3,FALSE)),"")</f>
        <v/>
      </c>
      <c r="J184" t="str">
        <f t="shared" si="13"/>
        <v/>
      </c>
    </row>
    <row r="185" spans="1:10" x14ac:dyDescent="0.25">
      <c r="A185" t="str">
        <f t="shared" si="14"/>
        <v/>
      </c>
      <c r="G185" t="str">
        <f>IFERROR(IF(D185="Mayorista",IF(VLOOKUP(E185,'04_PRODUCTOS'!B:F,5,FALSE)="",VLOOKUP(E185,'04_PRODUCTOS'!B:E,4,FALSE),VLOOKUP(E185,'04_PRODUCTOS'!B:F,5,FALSE)),IF(D185="Especial",IF(VLOOKUP(E185,'04_PRODUCTOS'!B:G,6,FALSE)="",VLOOKUP(E185,'04_PRODUCTOS'!B:E,4,FALSE),VLOOKUP(E185,'04_PRODUCTOS'!B:G,6,FALSE)),VLOOKUP(E185,'04_PRODUCTOS'!B:E,4,FALSE))),"")</f>
        <v/>
      </c>
      <c r="H185" t="str">
        <f t="shared" si="12"/>
        <v/>
      </c>
      <c r="I185" t="str">
        <f>IFERROR(H185-(F185*VLOOKUP(E185,'04_PRODUCTOS'!B:D,3,FALSE)),"")</f>
        <v/>
      </c>
      <c r="J185" t="str">
        <f t="shared" si="13"/>
        <v/>
      </c>
    </row>
    <row r="186" spans="1:10" x14ac:dyDescent="0.25">
      <c r="A186" t="str">
        <f t="shared" si="14"/>
        <v/>
      </c>
      <c r="G186" t="str">
        <f>IFERROR(IF(D186="Mayorista",IF(VLOOKUP(E186,'04_PRODUCTOS'!B:F,5,FALSE)="",VLOOKUP(E186,'04_PRODUCTOS'!B:E,4,FALSE),VLOOKUP(E186,'04_PRODUCTOS'!B:F,5,FALSE)),IF(D186="Especial",IF(VLOOKUP(E186,'04_PRODUCTOS'!B:G,6,FALSE)="",VLOOKUP(E186,'04_PRODUCTOS'!B:E,4,FALSE),VLOOKUP(E186,'04_PRODUCTOS'!B:G,6,FALSE)),VLOOKUP(E186,'04_PRODUCTOS'!B:E,4,FALSE))),"")</f>
        <v/>
      </c>
      <c r="H186" t="str">
        <f t="shared" si="12"/>
        <v/>
      </c>
      <c r="I186" t="str">
        <f>IFERROR(H186-(F186*VLOOKUP(E186,'04_PRODUCTOS'!B:D,3,FALSE)),"")</f>
        <v/>
      </c>
      <c r="J186" t="str">
        <f t="shared" si="13"/>
        <v/>
      </c>
    </row>
    <row r="187" spans="1:10" x14ac:dyDescent="0.25">
      <c r="A187" t="str">
        <f t="shared" si="14"/>
        <v/>
      </c>
      <c r="G187" t="str">
        <f>IFERROR(IF(D187="Mayorista",IF(VLOOKUP(E187,'04_PRODUCTOS'!B:F,5,FALSE)="",VLOOKUP(E187,'04_PRODUCTOS'!B:E,4,FALSE),VLOOKUP(E187,'04_PRODUCTOS'!B:F,5,FALSE)),IF(D187="Especial",IF(VLOOKUP(E187,'04_PRODUCTOS'!B:G,6,FALSE)="",VLOOKUP(E187,'04_PRODUCTOS'!B:E,4,FALSE),VLOOKUP(E187,'04_PRODUCTOS'!B:G,6,FALSE)),VLOOKUP(E187,'04_PRODUCTOS'!B:E,4,FALSE))),"")</f>
        <v/>
      </c>
      <c r="H187" t="str">
        <f t="shared" si="12"/>
        <v/>
      </c>
      <c r="I187" t="str">
        <f>IFERROR(H187-(F187*VLOOKUP(E187,'04_PRODUCTOS'!B:D,3,FALSE)),"")</f>
        <v/>
      </c>
      <c r="J187" t="str">
        <f t="shared" si="13"/>
        <v/>
      </c>
    </row>
    <row r="188" spans="1:10" x14ac:dyDescent="0.25">
      <c r="A188" t="str">
        <f t="shared" si="14"/>
        <v/>
      </c>
      <c r="G188" t="str">
        <f>IFERROR(IF(D188="Mayorista",IF(VLOOKUP(E188,'04_PRODUCTOS'!B:F,5,FALSE)="",VLOOKUP(E188,'04_PRODUCTOS'!B:E,4,FALSE),VLOOKUP(E188,'04_PRODUCTOS'!B:F,5,FALSE)),IF(D188="Especial",IF(VLOOKUP(E188,'04_PRODUCTOS'!B:G,6,FALSE)="",VLOOKUP(E188,'04_PRODUCTOS'!B:E,4,FALSE),VLOOKUP(E188,'04_PRODUCTOS'!B:G,6,FALSE)),VLOOKUP(E188,'04_PRODUCTOS'!B:E,4,FALSE))),"")</f>
        <v/>
      </c>
      <c r="H188" t="str">
        <f t="shared" si="12"/>
        <v/>
      </c>
      <c r="I188" t="str">
        <f>IFERROR(H188-(F188*VLOOKUP(E188,'04_PRODUCTOS'!B:D,3,FALSE)),"")</f>
        <v/>
      </c>
      <c r="J188" t="str">
        <f t="shared" si="13"/>
        <v/>
      </c>
    </row>
    <row r="189" spans="1:10" x14ac:dyDescent="0.25">
      <c r="A189" t="str">
        <f t="shared" si="14"/>
        <v/>
      </c>
      <c r="G189" t="str">
        <f>IFERROR(IF(D189="Mayorista",IF(VLOOKUP(E189,'04_PRODUCTOS'!B:F,5,FALSE)="",VLOOKUP(E189,'04_PRODUCTOS'!B:E,4,FALSE),VLOOKUP(E189,'04_PRODUCTOS'!B:F,5,FALSE)),IF(D189="Especial",IF(VLOOKUP(E189,'04_PRODUCTOS'!B:G,6,FALSE)="",VLOOKUP(E189,'04_PRODUCTOS'!B:E,4,FALSE),VLOOKUP(E189,'04_PRODUCTOS'!B:G,6,FALSE)),VLOOKUP(E189,'04_PRODUCTOS'!B:E,4,FALSE))),"")</f>
        <v/>
      </c>
      <c r="H189" t="str">
        <f t="shared" si="12"/>
        <v/>
      </c>
      <c r="I189" t="str">
        <f>IFERROR(H189-(F189*VLOOKUP(E189,'04_PRODUCTOS'!B:D,3,FALSE)),"")</f>
        <v/>
      </c>
      <c r="J189" t="str">
        <f t="shared" si="13"/>
        <v/>
      </c>
    </row>
    <row r="190" spans="1:10" x14ac:dyDescent="0.25">
      <c r="A190" t="str">
        <f t="shared" si="14"/>
        <v/>
      </c>
      <c r="G190" t="str">
        <f>IFERROR(IF(D190="Mayorista",IF(VLOOKUP(E190,'04_PRODUCTOS'!B:F,5,FALSE)="",VLOOKUP(E190,'04_PRODUCTOS'!B:E,4,FALSE),VLOOKUP(E190,'04_PRODUCTOS'!B:F,5,FALSE)),IF(D190="Especial",IF(VLOOKUP(E190,'04_PRODUCTOS'!B:G,6,FALSE)="",VLOOKUP(E190,'04_PRODUCTOS'!B:E,4,FALSE),VLOOKUP(E190,'04_PRODUCTOS'!B:G,6,FALSE)),VLOOKUP(E190,'04_PRODUCTOS'!B:E,4,FALSE))),"")</f>
        <v/>
      </c>
      <c r="H190" t="str">
        <f t="shared" si="12"/>
        <v/>
      </c>
      <c r="I190" t="str">
        <f>IFERROR(H190-(F190*VLOOKUP(E190,'04_PRODUCTOS'!B:D,3,FALSE)),"")</f>
        <v/>
      </c>
      <c r="J190" t="str">
        <f t="shared" si="13"/>
        <v/>
      </c>
    </row>
    <row r="191" spans="1:10" x14ac:dyDescent="0.25">
      <c r="A191" t="str">
        <f t="shared" si="14"/>
        <v/>
      </c>
      <c r="G191" t="str">
        <f>IFERROR(IF(D191="Mayorista",IF(VLOOKUP(E191,'04_PRODUCTOS'!B:F,5,FALSE)="",VLOOKUP(E191,'04_PRODUCTOS'!B:E,4,FALSE),VLOOKUP(E191,'04_PRODUCTOS'!B:F,5,FALSE)),IF(D191="Especial",IF(VLOOKUP(E191,'04_PRODUCTOS'!B:G,6,FALSE)="",VLOOKUP(E191,'04_PRODUCTOS'!B:E,4,FALSE),VLOOKUP(E191,'04_PRODUCTOS'!B:G,6,FALSE)),VLOOKUP(E191,'04_PRODUCTOS'!B:E,4,FALSE))),"")</f>
        <v/>
      </c>
      <c r="H191" t="str">
        <f t="shared" si="12"/>
        <v/>
      </c>
      <c r="I191" t="str">
        <f>IFERROR(H191-(F191*VLOOKUP(E191,'04_PRODUCTOS'!B:D,3,FALSE)),"")</f>
        <v/>
      </c>
      <c r="J191" t="str">
        <f t="shared" si="13"/>
        <v/>
      </c>
    </row>
    <row r="192" spans="1:10" x14ac:dyDescent="0.25">
      <c r="A192" t="str">
        <f t="shared" si="14"/>
        <v/>
      </c>
      <c r="G192" t="str">
        <f>IFERROR(IF(D192="Mayorista",IF(VLOOKUP(E192,'04_PRODUCTOS'!B:F,5,FALSE)="",VLOOKUP(E192,'04_PRODUCTOS'!B:E,4,FALSE),VLOOKUP(E192,'04_PRODUCTOS'!B:F,5,FALSE)),IF(D192="Especial",IF(VLOOKUP(E192,'04_PRODUCTOS'!B:G,6,FALSE)="",VLOOKUP(E192,'04_PRODUCTOS'!B:E,4,FALSE),VLOOKUP(E192,'04_PRODUCTOS'!B:G,6,FALSE)),VLOOKUP(E192,'04_PRODUCTOS'!B:E,4,FALSE))),"")</f>
        <v/>
      </c>
      <c r="H192" t="str">
        <f t="shared" si="12"/>
        <v/>
      </c>
      <c r="I192" t="str">
        <f>IFERROR(H192-(F192*VLOOKUP(E192,'04_PRODUCTOS'!B:D,3,FALSE)),"")</f>
        <v/>
      </c>
      <c r="J192" t="str">
        <f t="shared" si="13"/>
        <v/>
      </c>
    </row>
    <row r="193" spans="1:10" x14ac:dyDescent="0.25">
      <c r="A193" t="str">
        <f t="shared" si="14"/>
        <v/>
      </c>
      <c r="G193" t="str">
        <f>IFERROR(IF(D193="Mayorista",IF(VLOOKUP(E193,'04_PRODUCTOS'!B:F,5,FALSE)="",VLOOKUP(E193,'04_PRODUCTOS'!B:E,4,FALSE),VLOOKUP(E193,'04_PRODUCTOS'!B:F,5,FALSE)),IF(D193="Especial",IF(VLOOKUP(E193,'04_PRODUCTOS'!B:G,6,FALSE)="",VLOOKUP(E193,'04_PRODUCTOS'!B:E,4,FALSE),VLOOKUP(E193,'04_PRODUCTOS'!B:G,6,FALSE)),VLOOKUP(E193,'04_PRODUCTOS'!B:E,4,FALSE))),"")</f>
        <v/>
      </c>
      <c r="H193" t="str">
        <f t="shared" si="12"/>
        <v/>
      </c>
      <c r="I193" t="str">
        <f>IFERROR(H193-(F193*VLOOKUP(E193,'04_PRODUCTOS'!B:D,3,FALSE)),"")</f>
        <v/>
      </c>
      <c r="J193" t="str">
        <f t="shared" si="13"/>
        <v/>
      </c>
    </row>
    <row r="194" spans="1:10" x14ac:dyDescent="0.25">
      <c r="A194" t="str">
        <f t="shared" ref="A194:A201" si="15">IF(C194="","","VEN"&amp;TEXT(ROW()-1,"000000"))</f>
        <v/>
      </c>
      <c r="G194" t="str">
        <f>IFERROR(IF(D194="Mayorista",IF(VLOOKUP(E194,'04_PRODUCTOS'!B:F,5,FALSE)="",VLOOKUP(E194,'04_PRODUCTOS'!B:E,4,FALSE),VLOOKUP(E194,'04_PRODUCTOS'!B:F,5,FALSE)),IF(D194="Especial",IF(VLOOKUP(E194,'04_PRODUCTOS'!B:G,6,FALSE)="",VLOOKUP(E194,'04_PRODUCTOS'!B:E,4,FALSE),VLOOKUP(E194,'04_PRODUCTOS'!B:G,6,FALSE)),VLOOKUP(E194,'04_PRODUCTOS'!B:E,4,FALSE))),"")</f>
        <v/>
      </c>
      <c r="H194" t="str">
        <f t="shared" ref="H194:H257" si="16">IF(AND(F194&lt;&gt;"",G194&lt;&gt;""),F194*G194,"")</f>
        <v/>
      </c>
      <c r="I194" t="str">
        <f>IFERROR(H194-(F194*VLOOKUP(E194,'04_PRODUCTOS'!B:D,3,FALSE)),"")</f>
        <v/>
      </c>
      <c r="J194" t="str">
        <f t="shared" ref="J194:J257" si="17">IFERROR(I194/H194,"")</f>
        <v/>
      </c>
    </row>
    <row r="195" spans="1:10" x14ac:dyDescent="0.25">
      <c r="A195" t="str">
        <f t="shared" si="15"/>
        <v/>
      </c>
      <c r="G195" t="str">
        <f>IFERROR(IF(D195="Mayorista",IF(VLOOKUP(E195,'04_PRODUCTOS'!B:F,5,FALSE)="",VLOOKUP(E195,'04_PRODUCTOS'!B:E,4,FALSE),VLOOKUP(E195,'04_PRODUCTOS'!B:F,5,FALSE)),IF(D195="Especial",IF(VLOOKUP(E195,'04_PRODUCTOS'!B:G,6,FALSE)="",VLOOKUP(E195,'04_PRODUCTOS'!B:E,4,FALSE),VLOOKUP(E195,'04_PRODUCTOS'!B:G,6,FALSE)),VLOOKUP(E195,'04_PRODUCTOS'!B:E,4,FALSE))),"")</f>
        <v/>
      </c>
      <c r="H195" t="str">
        <f t="shared" si="16"/>
        <v/>
      </c>
      <c r="I195" t="str">
        <f>IFERROR(H195-(F195*VLOOKUP(E195,'04_PRODUCTOS'!B:D,3,FALSE)),"")</f>
        <v/>
      </c>
      <c r="J195" t="str">
        <f t="shared" si="17"/>
        <v/>
      </c>
    </row>
    <row r="196" spans="1:10" x14ac:dyDescent="0.25">
      <c r="A196" t="str">
        <f t="shared" si="15"/>
        <v/>
      </c>
      <c r="G196" t="str">
        <f>IFERROR(IF(D196="Mayorista",IF(VLOOKUP(E196,'04_PRODUCTOS'!B:F,5,FALSE)="",VLOOKUP(E196,'04_PRODUCTOS'!B:E,4,FALSE),VLOOKUP(E196,'04_PRODUCTOS'!B:F,5,FALSE)),IF(D196="Especial",IF(VLOOKUP(E196,'04_PRODUCTOS'!B:G,6,FALSE)="",VLOOKUP(E196,'04_PRODUCTOS'!B:E,4,FALSE),VLOOKUP(E196,'04_PRODUCTOS'!B:G,6,FALSE)),VLOOKUP(E196,'04_PRODUCTOS'!B:E,4,FALSE))),"")</f>
        <v/>
      </c>
      <c r="H196" t="str">
        <f t="shared" si="16"/>
        <v/>
      </c>
      <c r="I196" t="str">
        <f>IFERROR(H196-(F196*VLOOKUP(E196,'04_PRODUCTOS'!B:D,3,FALSE)),"")</f>
        <v/>
      </c>
      <c r="J196" t="str">
        <f t="shared" si="17"/>
        <v/>
      </c>
    </row>
    <row r="197" spans="1:10" x14ac:dyDescent="0.25">
      <c r="A197" t="str">
        <f t="shared" si="15"/>
        <v/>
      </c>
      <c r="G197" t="str">
        <f>IFERROR(IF(D197="Mayorista",IF(VLOOKUP(E197,'04_PRODUCTOS'!B:F,5,FALSE)="",VLOOKUP(E197,'04_PRODUCTOS'!B:E,4,FALSE),VLOOKUP(E197,'04_PRODUCTOS'!B:F,5,FALSE)),IF(D197="Especial",IF(VLOOKUP(E197,'04_PRODUCTOS'!B:G,6,FALSE)="",VLOOKUP(E197,'04_PRODUCTOS'!B:E,4,FALSE),VLOOKUP(E197,'04_PRODUCTOS'!B:G,6,FALSE)),VLOOKUP(E197,'04_PRODUCTOS'!B:E,4,FALSE))),"")</f>
        <v/>
      </c>
      <c r="H197" t="str">
        <f t="shared" si="16"/>
        <v/>
      </c>
      <c r="I197" t="str">
        <f>IFERROR(H197-(F197*VLOOKUP(E197,'04_PRODUCTOS'!B:D,3,FALSE)),"")</f>
        <v/>
      </c>
      <c r="J197" t="str">
        <f t="shared" si="17"/>
        <v/>
      </c>
    </row>
    <row r="198" spans="1:10" x14ac:dyDescent="0.25">
      <c r="A198" t="str">
        <f t="shared" si="15"/>
        <v/>
      </c>
      <c r="G198" t="str">
        <f>IFERROR(IF(D198="Mayorista",IF(VLOOKUP(E198,'04_PRODUCTOS'!B:F,5,FALSE)="",VLOOKUP(E198,'04_PRODUCTOS'!B:E,4,FALSE),VLOOKUP(E198,'04_PRODUCTOS'!B:F,5,FALSE)),IF(D198="Especial",IF(VLOOKUP(E198,'04_PRODUCTOS'!B:G,6,FALSE)="",VLOOKUP(E198,'04_PRODUCTOS'!B:E,4,FALSE),VLOOKUP(E198,'04_PRODUCTOS'!B:G,6,FALSE)),VLOOKUP(E198,'04_PRODUCTOS'!B:E,4,FALSE))),"")</f>
        <v/>
      </c>
      <c r="H198" t="str">
        <f t="shared" si="16"/>
        <v/>
      </c>
      <c r="I198" t="str">
        <f>IFERROR(H198-(F198*VLOOKUP(E198,'04_PRODUCTOS'!B:D,3,FALSE)),"")</f>
        <v/>
      </c>
      <c r="J198" t="str">
        <f t="shared" si="17"/>
        <v/>
      </c>
    </row>
    <row r="199" spans="1:10" x14ac:dyDescent="0.25">
      <c r="A199" t="str">
        <f t="shared" si="15"/>
        <v/>
      </c>
      <c r="G199" t="str">
        <f>IFERROR(IF(D199="Mayorista",IF(VLOOKUP(E199,'04_PRODUCTOS'!B:F,5,FALSE)="",VLOOKUP(E199,'04_PRODUCTOS'!B:E,4,FALSE),VLOOKUP(E199,'04_PRODUCTOS'!B:F,5,FALSE)),IF(D199="Especial",IF(VLOOKUP(E199,'04_PRODUCTOS'!B:G,6,FALSE)="",VLOOKUP(E199,'04_PRODUCTOS'!B:E,4,FALSE),VLOOKUP(E199,'04_PRODUCTOS'!B:G,6,FALSE)),VLOOKUP(E199,'04_PRODUCTOS'!B:E,4,FALSE))),"")</f>
        <v/>
      </c>
      <c r="H199" t="str">
        <f t="shared" si="16"/>
        <v/>
      </c>
      <c r="I199" t="str">
        <f>IFERROR(H199-(F199*VLOOKUP(E199,'04_PRODUCTOS'!B:D,3,FALSE)),"")</f>
        <v/>
      </c>
      <c r="J199" t="str">
        <f t="shared" si="17"/>
        <v/>
      </c>
    </row>
    <row r="200" spans="1:10" x14ac:dyDescent="0.25">
      <c r="A200" t="str">
        <f t="shared" si="15"/>
        <v/>
      </c>
      <c r="G200" t="str">
        <f>IFERROR(IF(D200="Mayorista",IF(VLOOKUP(E200,'04_PRODUCTOS'!B:F,5,FALSE)="",VLOOKUP(E200,'04_PRODUCTOS'!B:E,4,FALSE),VLOOKUP(E200,'04_PRODUCTOS'!B:F,5,FALSE)),IF(D200="Especial",IF(VLOOKUP(E200,'04_PRODUCTOS'!B:G,6,FALSE)="",VLOOKUP(E200,'04_PRODUCTOS'!B:E,4,FALSE),VLOOKUP(E200,'04_PRODUCTOS'!B:G,6,FALSE)),VLOOKUP(E200,'04_PRODUCTOS'!B:E,4,FALSE))),"")</f>
        <v/>
      </c>
      <c r="H200" t="str">
        <f t="shared" si="16"/>
        <v/>
      </c>
      <c r="I200" t="str">
        <f>IFERROR(H200-(F200*VLOOKUP(E200,'04_PRODUCTOS'!B:D,3,FALSE)),"")</f>
        <v/>
      </c>
      <c r="J200" t="str">
        <f t="shared" si="17"/>
        <v/>
      </c>
    </row>
    <row r="201" spans="1:10" x14ac:dyDescent="0.25">
      <c r="A201" t="str">
        <f t="shared" si="15"/>
        <v/>
      </c>
      <c r="G201" t="str">
        <f>IFERROR(IF(D201="Mayorista",IF(VLOOKUP(E201,'04_PRODUCTOS'!B:F,5,FALSE)="",VLOOKUP(E201,'04_PRODUCTOS'!B:E,4,FALSE),VLOOKUP(E201,'04_PRODUCTOS'!B:F,5,FALSE)),IF(D201="Especial",IF(VLOOKUP(E201,'04_PRODUCTOS'!B:G,6,FALSE)="",VLOOKUP(E201,'04_PRODUCTOS'!B:E,4,FALSE),VLOOKUP(E201,'04_PRODUCTOS'!B:G,6,FALSE)),VLOOKUP(E201,'04_PRODUCTOS'!B:E,4,FALSE))),"")</f>
        <v/>
      </c>
      <c r="H201" t="str">
        <f t="shared" si="16"/>
        <v/>
      </c>
      <c r="I201" t="str">
        <f>IFERROR(H201-(F201*VLOOKUP(E201,'04_PRODUCTOS'!B:D,3,FALSE)),"")</f>
        <v/>
      </c>
      <c r="J201" t="str">
        <f t="shared" si="17"/>
        <v/>
      </c>
    </row>
    <row r="202" spans="1:10" x14ac:dyDescent="0.25">
      <c r="G202" t="str">
        <f>IFERROR(IF(D202="Mayorista",IF(VLOOKUP(E202,'04_PRODUCTOS'!B:F,5,FALSE)="",VLOOKUP(E202,'04_PRODUCTOS'!B:E,4,FALSE),VLOOKUP(E202,'04_PRODUCTOS'!B:F,5,FALSE)),IF(D202="Especial",IF(VLOOKUP(E202,'04_PRODUCTOS'!B:G,6,FALSE)="",VLOOKUP(E202,'04_PRODUCTOS'!B:E,4,FALSE),VLOOKUP(E202,'04_PRODUCTOS'!B:G,6,FALSE)),VLOOKUP(E202,'04_PRODUCTOS'!B:E,4,FALSE))),"")</f>
        <v/>
      </c>
      <c r="H202" t="str">
        <f t="shared" si="16"/>
        <v/>
      </c>
      <c r="I202" t="str">
        <f>IFERROR(H202-(F202*VLOOKUP(E202,'04_PRODUCTOS'!B:D,3,FALSE)),"")</f>
        <v/>
      </c>
      <c r="J202" t="str">
        <f t="shared" si="17"/>
        <v/>
      </c>
    </row>
    <row r="203" spans="1:10" x14ac:dyDescent="0.25">
      <c r="G203" t="str">
        <f>IFERROR(IF(D203="Mayorista",IF(VLOOKUP(E203,'04_PRODUCTOS'!B:F,5,FALSE)="",VLOOKUP(E203,'04_PRODUCTOS'!B:E,4,FALSE),VLOOKUP(E203,'04_PRODUCTOS'!B:F,5,FALSE)),IF(D203="Especial",IF(VLOOKUP(E203,'04_PRODUCTOS'!B:G,6,FALSE)="",VLOOKUP(E203,'04_PRODUCTOS'!B:E,4,FALSE),VLOOKUP(E203,'04_PRODUCTOS'!B:G,6,FALSE)),VLOOKUP(E203,'04_PRODUCTOS'!B:E,4,FALSE))),"")</f>
        <v/>
      </c>
      <c r="H203" t="str">
        <f t="shared" si="16"/>
        <v/>
      </c>
      <c r="I203" t="str">
        <f>IFERROR(H203-(F203*VLOOKUP(E203,'04_PRODUCTOS'!B:D,3,FALSE)),"")</f>
        <v/>
      </c>
      <c r="J203" t="str">
        <f t="shared" si="17"/>
        <v/>
      </c>
    </row>
    <row r="204" spans="1:10" x14ac:dyDescent="0.25">
      <c r="G204" t="str">
        <f>IFERROR(IF(D204="Mayorista",IF(VLOOKUP(E204,'04_PRODUCTOS'!B:F,5,FALSE)="",VLOOKUP(E204,'04_PRODUCTOS'!B:E,4,FALSE),VLOOKUP(E204,'04_PRODUCTOS'!B:F,5,FALSE)),IF(D204="Especial",IF(VLOOKUP(E204,'04_PRODUCTOS'!B:G,6,FALSE)="",VLOOKUP(E204,'04_PRODUCTOS'!B:E,4,FALSE),VLOOKUP(E204,'04_PRODUCTOS'!B:G,6,FALSE)),VLOOKUP(E204,'04_PRODUCTOS'!B:E,4,FALSE))),"")</f>
        <v/>
      </c>
      <c r="H204" t="str">
        <f t="shared" si="16"/>
        <v/>
      </c>
      <c r="I204" t="str">
        <f>IFERROR(H204-(F204*VLOOKUP(E204,'04_PRODUCTOS'!B:D,3,FALSE)),"")</f>
        <v/>
      </c>
      <c r="J204" t="str">
        <f t="shared" si="17"/>
        <v/>
      </c>
    </row>
    <row r="205" spans="1:10" x14ac:dyDescent="0.25">
      <c r="G205" t="str">
        <f>IFERROR(IF(D205="Mayorista",IF(VLOOKUP(E205,'04_PRODUCTOS'!B:F,5,FALSE)="",VLOOKUP(E205,'04_PRODUCTOS'!B:E,4,FALSE),VLOOKUP(E205,'04_PRODUCTOS'!B:F,5,FALSE)),IF(D205="Especial",IF(VLOOKUP(E205,'04_PRODUCTOS'!B:G,6,FALSE)="",VLOOKUP(E205,'04_PRODUCTOS'!B:E,4,FALSE),VLOOKUP(E205,'04_PRODUCTOS'!B:G,6,FALSE)),VLOOKUP(E205,'04_PRODUCTOS'!B:E,4,FALSE))),"")</f>
        <v/>
      </c>
      <c r="H205" t="str">
        <f t="shared" si="16"/>
        <v/>
      </c>
      <c r="I205" t="str">
        <f>IFERROR(H205-(F205*VLOOKUP(E205,'04_PRODUCTOS'!B:D,3,FALSE)),"")</f>
        <v/>
      </c>
      <c r="J205" t="str">
        <f t="shared" si="17"/>
        <v/>
      </c>
    </row>
    <row r="206" spans="1:10" x14ac:dyDescent="0.25">
      <c r="G206" t="str">
        <f>IFERROR(IF(D206="Mayorista",IF(VLOOKUP(E206,'04_PRODUCTOS'!B:F,5,FALSE)="",VLOOKUP(E206,'04_PRODUCTOS'!B:E,4,FALSE),VLOOKUP(E206,'04_PRODUCTOS'!B:F,5,FALSE)),IF(D206="Especial",IF(VLOOKUP(E206,'04_PRODUCTOS'!B:G,6,FALSE)="",VLOOKUP(E206,'04_PRODUCTOS'!B:E,4,FALSE),VLOOKUP(E206,'04_PRODUCTOS'!B:G,6,FALSE)),VLOOKUP(E206,'04_PRODUCTOS'!B:E,4,FALSE))),"")</f>
        <v/>
      </c>
      <c r="H206" t="str">
        <f t="shared" si="16"/>
        <v/>
      </c>
      <c r="I206" t="str">
        <f>IFERROR(H206-(F206*VLOOKUP(E206,'04_PRODUCTOS'!B:D,3,FALSE)),"")</f>
        <v/>
      </c>
      <c r="J206" t="str">
        <f t="shared" si="17"/>
        <v/>
      </c>
    </row>
    <row r="207" spans="1:10" x14ac:dyDescent="0.25">
      <c r="G207" t="str">
        <f>IFERROR(IF(D207="Mayorista",IF(VLOOKUP(E207,'04_PRODUCTOS'!B:F,5,FALSE)="",VLOOKUP(E207,'04_PRODUCTOS'!B:E,4,FALSE),VLOOKUP(E207,'04_PRODUCTOS'!B:F,5,FALSE)),IF(D207="Especial",IF(VLOOKUP(E207,'04_PRODUCTOS'!B:G,6,FALSE)="",VLOOKUP(E207,'04_PRODUCTOS'!B:E,4,FALSE),VLOOKUP(E207,'04_PRODUCTOS'!B:G,6,FALSE)),VLOOKUP(E207,'04_PRODUCTOS'!B:E,4,FALSE))),"")</f>
        <v/>
      </c>
      <c r="H207" t="str">
        <f t="shared" si="16"/>
        <v/>
      </c>
      <c r="I207" t="str">
        <f>IFERROR(H207-(F207*VLOOKUP(E207,'04_PRODUCTOS'!B:D,3,FALSE)),"")</f>
        <v/>
      </c>
      <c r="J207" t="str">
        <f t="shared" si="17"/>
        <v/>
      </c>
    </row>
    <row r="208" spans="1:10" x14ac:dyDescent="0.25">
      <c r="G208" t="str">
        <f>IFERROR(IF(D208="Mayorista",IF(VLOOKUP(E208,'04_PRODUCTOS'!B:F,5,FALSE)="",VLOOKUP(E208,'04_PRODUCTOS'!B:E,4,FALSE),VLOOKUP(E208,'04_PRODUCTOS'!B:F,5,FALSE)),IF(D208="Especial",IF(VLOOKUP(E208,'04_PRODUCTOS'!B:G,6,FALSE)="",VLOOKUP(E208,'04_PRODUCTOS'!B:E,4,FALSE),VLOOKUP(E208,'04_PRODUCTOS'!B:G,6,FALSE)),VLOOKUP(E208,'04_PRODUCTOS'!B:E,4,FALSE))),"")</f>
        <v/>
      </c>
      <c r="H208" t="str">
        <f t="shared" si="16"/>
        <v/>
      </c>
      <c r="I208" t="str">
        <f>IFERROR(H208-(F208*VLOOKUP(E208,'04_PRODUCTOS'!B:D,3,FALSE)),"")</f>
        <v/>
      </c>
      <c r="J208" t="str">
        <f t="shared" si="17"/>
        <v/>
      </c>
    </row>
    <row r="209" spans="7:10" x14ac:dyDescent="0.25">
      <c r="G209" t="str">
        <f>IFERROR(IF(D209="Mayorista",IF(VLOOKUP(E209,'04_PRODUCTOS'!B:F,5,FALSE)="",VLOOKUP(E209,'04_PRODUCTOS'!B:E,4,FALSE),VLOOKUP(E209,'04_PRODUCTOS'!B:F,5,FALSE)),IF(D209="Especial",IF(VLOOKUP(E209,'04_PRODUCTOS'!B:G,6,FALSE)="",VLOOKUP(E209,'04_PRODUCTOS'!B:E,4,FALSE),VLOOKUP(E209,'04_PRODUCTOS'!B:G,6,FALSE)),VLOOKUP(E209,'04_PRODUCTOS'!B:E,4,FALSE))),"")</f>
        <v/>
      </c>
      <c r="H209" t="str">
        <f t="shared" si="16"/>
        <v/>
      </c>
      <c r="I209" t="str">
        <f>IFERROR(H209-(F209*VLOOKUP(E209,'04_PRODUCTOS'!B:D,3,FALSE)),"")</f>
        <v/>
      </c>
      <c r="J209" t="str">
        <f t="shared" si="17"/>
        <v/>
      </c>
    </row>
    <row r="210" spans="7:10" x14ac:dyDescent="0.25">
      <c r="G210" t="str">
        <f>IFERROR(IF(D210="Mayorista",IF(VLOOKUP(E210,'04_PRODUCTOS'!B:F,5,FALSE)="",VLOOKUP(E210,'04_PRODUCTOS'!B:E,4,FALSE),VLOOKUP(E210,'04_PRODUCTOS'!B:F,5,FALSE)),IF(D210="Especial",IF(VLOOKUP(E210,'04_PRODUCTOS'!B:G,6,FALSE)="",VLOOKUP(E210,'04_PRODUCTOS'!B:E,4,FALSE),VLOOKUP(E210,'04_PRODUCTOS'!B:G,6,FALSE)),VLOOKUP(E210,'04_PRODUCTOS'!B:E,4,FALSE))),"")</f>
        <v/>
      </c>
      <c r="H210" t="str">
        <f t="shared" si="16"/>
        <v/>
      </c>
      <c r="I210" t="str">
        <f>IFERROR(H210-(F210*VLOOKUP(E210,'04_PRODUCTOS'!B:D,3,FALSE)),"")</f>
        <v/>
      </c>
      <c r="J210" t="str">
        <f t="shared" si="17"/>
        <v/>
      </c>
    </row>
    <row r="211" spans="7:10" x14ac:dyDescent="0.25">
      <c r="G211" t="str">
        <f>IFERROR(IF(D211="Mayorista",IF(VLOOKUP(E211,'04_PRODUCTOS'!B:F,5,FALSE)="",VLOOKUP(E211,'04_PRODUCTOS'!B:E,4,FALSE),VLOOKUP(E211,'04_PRODUCTOS'!B:F,5,FALSE)),IF(D211="Especial",IF(VLOOKUP(E211,'04_PRODUCTOS'!B:G,6,FALSE)="",VLOOKUP(E211,'04_PRODUCTOS'!B:E,4,FALSE),VLOOKUP(E211,'04_PRODUCTOS'!B:G,6,FALSE)),VLOOKUP(E211,'04_PRODUCTOS'!B:E,4,FALSE))),"")</f>
        <v/>
      </c>
      <c r="H211" t="str">
        <f t="shared" si="16"/>
        <v/>
      </c>
      <c r="I211" t="str">
        <f>IFERROR(H211-(F211*VLOOKUP(E211,'04_PRODUCTOS'!B:D,3,FALSE)),"")</f>
        <v/>
      </c>
      <c r="J211" t="str">
        <f t="shared" si="17"/>
        <v/>
      </c>
    </row>
    <row r="212" spans="7:10" x14ac:dyDescent="0.25">
      <c r="G212" t="str">
        <f>IFERROR(IF(D212="Mayorista",IF(VLOOKUP(E212,'04_PRODUCTOS'!B:F,5,FALSE)="",VLOOKUP(E212,'04_PRODUCTOS'!B:E,4,FALSE),VLOOKUP(E212,'04_PRODUCTOS'!B:F,5,FALSE)),IF(D212="Especial",IF(VLOOKUP(E212,'04_PRODUCTOS'!B:G,6,FALSE)="",VLOOKUP(E212,'04_PRODUCTOS'!B:E,4,FALSE),VLOOKUP(E212,'04_PRODUCTOS'!B:G,6,FALSE)),VLOOKUP(E212,'04_PRODUCTOS'!B:E,4,FALSE))),"")</f>
        <v/>
      </c>
      <c r="H212" t="str">
        <f t="shared" si="16"/>
        <v/>
      </c>
      <c r="I212" t="str">
        <f>IFERROR(H212-(F212*VLOOKUP(E212,'04_PRODUCTOS'!B:D,3,FALSE)),"")</f>
        <v/>
      </c>
      <c r="J212" t="str">
        <f t="shared" si="17"/>
        <v/>
      </c>
    </row>
    <row r="213" spans="7:10" x14ac:dyDescent="0.25">
      <c r="G213" t="str">
        <f>IFERROR(IF(D213="Mayorista",IF(VLOOKUP(E213,'04_PRODUCTOS'!B:F,5,FALSE)="",VLOOKUP(E213,'04_PRODUCTOS'!B:E,4,FALSE),VLOOKUP(E213,'04_PRODUCTOS'!B:F,5,FALSE)),IF(D213="Especial",IF(VLOOKUP(E213,'04_PRODUCTOS'!B:G,6,FALSE)="",VLOOKUP(E213,'04_PRODUCTOS'!B:E,4,FALSE),VLOOKUP(E213,'04_PRODUCTOS'!B:G,6,FALSE)),VLOOKUP(E213,'04_PRODUCTOS'!B:E,4,FALSE))),"")</f>
        <v/>
      </c>
      <c r="H213" t="str">
        <f t="shared" si="16"/>
        <v/>
      </c>
      <c r="I213" t="str">
        <f>IFERROR(H213-(F213*VLOOKUP(E213,'04_PRODUCTOS'!B:D,3,FALSE)),"")</f>
        <v/>
      </c>
      <c r="J213" t="str">
        <f t="shared" si="17"/>
        <v/>
      </c>
    </row>
    <row r="214" spans="7:10" x14ac:dyDescent="0.25">
      <c r="G214" t="str">
        <f>IFERROR(IF(D214="Mayorista",IF(VLOOKUP(E214,'04_PRODUCTOS'!B:F,5,FALSE)="",VLOOKUP(E214,'04_PRODUCTOS'!B:E,4,FALSE),VLOOKUP(E214,'04_PRODUCTOS'!B:F,5,FALSE)),IF(D214="Especial",IF(VLOOKUP(E214,'04_PRODUCTOS'!B:G,6,FALSE)="",VLOOKUP(E214,'04_PRODUCTOS'!B:E,4,FALSE),VLOOKUP(E214,'04_PRODUCTOS'!B:G,6,FALSE)),VLOOKUP(E214,'04_PRODUCTOS'!B:E,4,FALSE))),"")</f>
        <v/>
      </c>
      <c r="H214" t="str">
        <f t="shared" si="16"/>
        <v/>
      </c>
      <c r="I214" t="str">
        <f>IFERROR(H214-(F214*VLOOKUP(E214,'04_PRODUCTOS'!B:D,3,FALSE)),"")</f>
        <v/>
      </c>
      <c r="J214" t="str">
        <f t="shared" si="17"/>
        <v/>
      </c>
    </row>
    <row r="215" spans="7:10" x14ac:dyDescent="0.25">
      <c r="G215" t="str">
        <f>IFERROR(IF(D215="Mayorista",IF(VLOOKUP(E215,'04_PRODUCTOS'!B:F,5,FALSE)="",VLOOKUP(E215,'04_PRODUCTOS'!B:E,4,FALSE),VLOOKUP(E215,'04_PRODUCTOS'!B:F,5,FALSE)),IF(D215="Especial",IF(VLOOKUP(E215,'04_PRODUCTOS'!B:G,6,FALSE)="",VLOOKUP(E215,'04_PRODUCTOS'!B:E,4,FALSE),VLOOKUP(E215,'04_PRODUCTOS'!B:G,6,FALSE)),VLOOKUP(E215,'04_PRODUCTOS'!B:E,4,FALSE))),"")</f>
        <v/>
      </c>
      <c r="H215" t="str">
        <f t="shared" si="16"/>
        <v/>
      </c>
      <c r="I215" t="str">
        <f>IFERROR(H215-(F215*VLOOKUP(E215,'04_PRODUCTOS'!B:D,3,FALSE)),"")</f>
        <v/>
      </c>
      <c r="J215" t="str">
        <f t="shared" si="17"/>
        <v/>
      </c>
    </row>
    <row r="216" spans="7:10" x14ac:dyDescent="0.25">
      <c r="G216" t="str">
        <f>IFERROR(IF(D216="Mayorista",IF(VLOOKUP(E216,'04_PRODUCTOS'!B:F,5,FALSE)="",VLOOKUP(E216,'04_PRODUCTOS'!B:E,4,FALSE),VLOOKUP(E216,'04_PRODUCTOS'!B:F,5,FALSE)),IF(D216="Especial",IF(VLOOKUP(E216,'04_PRODUCTOS'!B:G,6,FALSE)="",VLOOKUP(E216,'04_PRODUCTOS'!B:E,4,FALSE),VLOOKUP(E216,'04_PRODUCTOS'!B:G,6,FALSE)),VLOOKUP(E216,'04_PRODUCTOS'!B:E,4,FALSE))),"")</f>
        <v/>
      </c>
      <c r="H216" t="str">
        <f t="shared" si="16"/>
        <v/>
      </c>
      <c r="I216" t="str">
        <f>IFERROR(H216-(F216*VLOOKUP(E216,'04_PRODUCTOS'!B:D,3,FALSE)),"")</f>
        <v/>
      </c>
      <c r="J216" t="str">
        <f t="shared" si="17"/>
        <v/>
      </c>
    </row>
    <row r="217" spans="7:10" x14ac:dyDescent="0.25">
      <c r="G217" t="str">
        <f>IFERROR(IF(D217="Mayorista",IF(VLOOKUP(E217,'04_PRODUCTOS'!B:F,5,FALSE)="",VLOOKUP(E217,'04_PRODUCTOS'!B:E,4,FALSE),VLOOKUP(E217,'04_PRODUCTOS'!B:F,5,FALSE)),IF(D217="Especial",IF(VLOOKUP(E217,'04_PRODUCTOS'!B:G,6,FALSE)="",VLOOKUP(E217,'04_PRODUCTOS'!B:E,4,FALSE),VLOOKUP(E217,'04_PRODUCTOS'!B:G,6,FALSE)),VLOOKUP(E217,'04_PRODUCTOS'!B:E,4,FALSE))),"")</f>
        <v/>
      </c>
      <c r="H217" t="str">
        <f t="shared" si="16"/>
        <v/>
      </c>
      <c r="I217" t="str">
        <f>IFERROR(H217-(F217*VLOOKUP(E217,'04_PRODUCTOS'!B:D,3,FALSE)),"")</f>
        <v/>
      </c>
      <c r="J217" t="str">
        <f t="shared" si="17"/>
        <v/>
      </c>
    </row>
    <row r="218" spans="7:10" x14ac:dyDescent="0.25">
      <c r="G218" t="str">
        <f>IFERROR(IF(D218="Mayorista",IF(VLOOKUP(E218,'04_PRODUCTOS'!B:F,5,FALSE)="",VLOOKUP(E218,'04_PRODUCTOS'!B:E,4,FALSE),VLOOKUP(E218,'04_PRODUCTOS'!B:F,5,FALSE)),IF(D218="Especial",IF(VLOOKUP(E218,'04_PRODUCTOS'!B:G,6,FALSE)="",VLOOKUP(E218,'04_PRODUCTOS'!B:E,4,FALSE),VLOOKUP(E218,'04_PRODUCTOS'!B:G,6,FALSE)),VLOOKUP(E218,'04_PRODUCTOS'!B:E,4,FALSE))),"")</f>
        <v/>
      </c>
      <c r="H218" t="str">
        <f t="shared" si="16"/>
        <v/>
      </c>
      <c r="I218" t="str">
        <f>IFERROR(H218-(F218*VLOOKUP(E218,'04_PRODUCTOS'!B:D,3,FALSE)),"")</f>
        <v/>
      </c>
      <c r="J218" t="str">
        <f t="shared" si="17"/>
        <v/>
      </c>
    </row>
    <row r="219" spans="7:10" x14ac:dyDescent="0.25">
      <c r="G219" t="str">
        <f>IFERROR(IF(D219="Mayorista",IF(VLOOKUP(E219,'04_PRODUCTOS'!B:F,5,FALSE)="",VLOOKUP(E219,'04_PRODUCTOS'!B:E,4,FALSE),VLOOKUP(E219,'04_PRODUCTOS'!B:F,5,FALSE)),IF(D219="Especial",IF(VLOOKUP(E219,'04_PRODUCTOS'!B:G,6,FALSE)="",VLOOKUP(E219,'04_PRODUCTOS'!B:E,4,FALSE),VLOOKUP(E219,'04_PRODUCTOS'!B:G,6,FALSE)),VLOOKUP(E219,'04_PRODUCTOS'!B:E,4,FALSE))),"")</f>
        <v/>
      </c>
      <c r="H219" t="str">
        <f t="shared" si="16"/>
        <v/>
      </c>
      <c r="I219" t="str">
        <f>IFERROR(H219-(F219*VLOOKUP(E219,'04_PRODUCTOS'!B:D,3,FALSE)),"")</f>
        <v/>
      </c>
      <c r="J219" t="str">
        <f t="shared" si="17"/>
        <v/>
      </c>
    </row>
    <row r="220" spans="7:10" x14ac:dyDescent="0.25">
      <c r="G220" t="str">
        <f>IFERROR(IF(D220="Mayorista",IF(VLOOKUP(E220,'04_PRODUCTOS'!B:F,5,FALSE)="",VLOOKUP(E220,'04_PRODUCTOS'!B:E,4,FALSE),VLOOKUP(E220,'04_PRODUCTOS'!B:F,5,FALSE)),IF(D220="Especial",IF(VLOOKUP(E220,'04_PRODUCTOS'!B:G,6,FALSE)="",VLOOKUP(E220,'04_PRODUCTOS'!B:E,4,FALSE),VLOOKUP(E220,'04_PRODUCTOS'!B:G,6,FALSE)),VLOOKUP(E220,'04_PRODUCTOS'!B:E,4,FALSE))),"")</f>
        <v/>
      </c>
      <c r="H220" t="str">
        <f t="shared" si="16"/>
        <v/>
      </c>
      <c r="I220" t="str">
        <f>IFERROR(H220-(F220*VLOOKUP(E220,'04_PRODUCTOS'!B:D,3,FALSE)),"")</f>
        <v/>
      </c>
      <c r="J220" t="str">
        <f t="shared" si="17"/>
        <v/>
      </c>
    </row>
    <row r="221" spans="7:10" x14ac:dyDescent="0.25">
      <c r="G221" t="str">
        <f>IFERROR(IF(D221="Mayorista",IF(VLOOKUP(E221,'04_PRODUCTOS'!B:F,5,FALSE)="",VLOOKUP(E221,'04_PRODUCTOS'!B:E,4,FALSE),VLOOKUP(E221,'04_PRODUCTOS'!B:F,5,FALSE)),IF(D221="Especial",IF(VLOOKUP(E221,'04_PRODUCTOS'!B:G,6,FALSE)="",VLOOKUP(E221,'04_PRODUCTOS'!B:E,4,FALSE),VLOOKUP(E221,'04_PRODUCTOS'!B:G,6,FALSE)),VLOOKUP(E221,'04_PRODUCTOS'!B:E,4,FALSE))),"")</f>
        <v/>
      </c>
      <c r="H221" t="str">
        <f t="shared" si="16"/>
        <v/>
      </c>
      <c r="I221" t="str">
        <f>IFERROR(H221-(F221*VLOOKUP(E221,'04_PRODUCTOS'!B:D,3,FALSE)),"")</f>
        <v/>
      </c>
      <c r="J221" t="str">
        <f t="shared" si="17"/>
        <v/>
      </c>
    </row>
    <row r="222" spans="7:10" x14ac:dyDescent="0.25">
      <c r="G222" t="str">
        <f>IFERROR(IF(D222="Mayorista",IF(VLOOKUP(E222,'04_PRODUCTOS'!B:F,5,FALSE)="",VLOOKUP(E222,'04_PRODUCTOS'!B:E,4,FALSE),VLOOKUP(E222,'04_PRODUCTOS'!B:F,5,FALSE)),IF(D222="Especial",IF(VLOOKUP(E222,'04_PRODUCTOS'!B:G,6,FALSE)="",VLOOKUP(E222,'04_PRODUCTOS'!B:E,4,FALSE),VLOOKUP(E222,'04_PRODUCTOS'!B:G,6,FALSE)),VLOOKUP(E222,'04_PRODUCTOS'!B:E,4,FALSE))),"")</f>
        <v/>
      </c>
      <c r="H222" t="str">
        <f t="shared" si="16"/>
        <v/>
      </c>
      <c r="I222" t="str">
        <f>IFERROR(H222-(F222*VLOOKUP(E222,'04_PRODUCTOS'!B:D,3,FALSE)),"")</f>
        <v/>
      </c>
      <c r="J222" t="str">
        <f t="shared" si="17"/>
        <v/>
      </c>
    </row>
    <row r="223" spans="7:10" x14ac:dyDescent="0.25">
      <c r="G223" t="str">
        <f>IFERROR(IF(D223="Mayorista",IF(VLOOKUP(E223,'04_PRODUCTOS'!B:F,5,FALSE)="",VLOOKUP(E223,'04_PRODUCTOS'!B:E,4,FALSE),VLOOKUP(E223,'04_PRODUCTOS'!B:F,5,FALSE)),IF(D223="Especial",IF(VLOOKUP(E223,'04_PRODUCTOS'!B:G,6,FALSE)="",VLOOKUP(E223,'04_PRODUCTOS'!B:E,4,FALSE),VLOOKUP(E223,'04_PRODUCTOS'!B:G,6,FALSE)),VLOOKUP(E223,'04_PRODUCTOS'!B:E,4,FALSE))),"")</f>
        <v/>
      </c>
      <c r="H223" t="str">
        <f t="shared" si="16"/>
        <v/>
      </c>
      <c r="I223" t="str">
        <f>IFERROR(H223-(F223*VLOOKUP(E223,'04_PRODUCTOS'!B:D,3,FALSE)),"")</f>
        <v/>
      </c>
      <c r="J223" t="str">
        <f t="shared" si="17"/>
        <v/>
      </c>
    </row>
    <row r="224" spans="7:10" x14ac:dyDescent="0.25">
      <c r="G224" t="str">
        <f>IFERROR(IF(D224="Mayorista",IF(VLOOKUP(E224,'04_PRODUCTOS'!B:F,5,FALSE)="",VLOOKUP(E224,'04_PRODUCTOS'!B:E,4,FALSE),VLOOKUP(E224,'04_PRODUCTOS'!B:F,5,FALSE)),IF(D224="Especial",IF(VLOOKUP(E224,'04_PRODUCTOS'!B:G,6,FALSE)="",VLOOKUP(E224,'04_PRODUCTOS'!B:E,4,FALSE),VLOOKUP(E224,'04_PRODUCTOS'!B:G,6,FALSE)),VLOOKUP(E224,'04_PRODUCTOS'!B:E,4,FALSE))),"")</f>
        <v/>
      </c>
      <c r="H224" t="str">
        <f t="shared" si="16"/>
        <v/>
      </c>
      <c r="I224" t="str">
        <f>IFERROR(H224-(F224*VLOOKUP(E224,'04_PRODUCTOS'!B:D,3,FALSE)),"")</f>
        <v/>
      </c>
      <c r="J224" t="str">
        <f t="shared" si="17"/>
        <v/>
      </c>
    </row>
    <row r="225" spans="7:10" x14ac:dyDescent="0.25">
      <c r="G225" t="str">
        <f>IFERROR(IF(D225="Mayorista",IF(VLOOKUP(E225,'04_PRODUCTOS'!B:F,5,FALSE)="",VLOOKUP(E225,'04_PRODUCTOS'!B:E,4,FALSE),VLOOKUP(E225,'04_PRODUCTOS'!B:F,5,FALSE)),IF(D225="Especial",IF(VLOOKUP(E225,'04_PRODUCTOS'!B:G,6,FALSE)="",VLOOKUP(E225,'04_PRODUCTOS'!B:E,4,FALSE),VLOOKUP(E225,'04_PRODUCTOS'!B:G,6,FALSE)),VLOOKUP(E225,'04_PRODUCTOS'!B:E,4,FALSE))),"")</f>
        <v/>
      </c>
      <c r="H225" t="str">
        <f t="shared" si="16"/>
        <v/>
      </c>
      <c r="I225" t="str">
        <f>IFERROR(H225-(F225*VLOOKUP(E225,'04_PRODUCTOS'!B:D,3,FALSE)),"")</f>
        <v/>
      </c>
      <c r="J225" t="str">
        <f t="shared" si="17"/>
        <v/>
      </c>
    </row>
    <row r="226" spans="7:10" x14ac:dyDescent="0.25">
      <c r="G226" t="str">
        <f>IFERROR(IF(D226="Mayorista",IF(VLOOKUP(E226,'04_PRODUCTOS'!B:F,5,FALSE)="",VLOOKUP(E226,'04_PRODUCTOS'!B:E,4,FALSE),VLOOKUP(E226,'04_PRODUCTOS'!B:F,5,FALSE)),IF(D226="Especial",IF(VLOOKUP(E226,'04_PRODUCTOS'!B:G,6,FALSE)="",VLOOKUP(E226,'04_PRODUCTOS'!B:E,4,FALSE),VLOOKUP(E226,'04_PRODUCTOS'!B:G,6,FALSE)),VLOOKUP(E226,'04_PRODUCTOS'!B:E,4,FALSE))),"")</f>
        <v/>
      </c>
      <c r="H226" t="str">
        <f t="shared" si="16"/>
        <v/>
      </c>
      <c r="I226" t="str">
        <f>IFERROR(H226-(F226*VLOOKUP(E226,'04_PRODUCTOS'!B:D,3,FALSE)),"")</f>
        <v/>
      </c>
      <c r="J226" t="str">
        <f t="shared" si="17"/>
        <v/>
      </c>
    </row>
    <row r="227" spans="7:10" x14ac:dyDescent="0.25">
      <c r="G227" t="str">
        <f>IFERROR(IF(D227="Mayorista",IF(VLOOKUP(E227,'04_PRODUCTOS'!B:F,5,FALSE)="",VLOOKUP(E227,'04_PRODUCTOS'!B:E,4,FALSE),VLOOKUP(E227,'04_PRODUCTOS'!B:F,5,FALSE)),IF(D227="Especial",IF(VLOOKUP(E227,'04_PRODUCTOS'!B:G,6,FALSE)="",VLOOKUP(E227,'04_PRODUCTOS'!B:E,4,FALSE),VLOOKUP(E227,'04_PRODUCTOS'!B:G,6,FALSE)),VLOOKUP(E227,'04_PRODUCTOS'!B:E,4,FALSE))),"")</f>
        <v/>
      </c>
      <c r="H227" t="str">
        <f t="shared" si="16"/>
        <v/>
      </c>
      <c r="I227" t="str">
        <f>IFERROR(H227-(F227*VLOOKUP(E227,'04_PRODUCTOS'!B:D,3,FALSE)),"")</f>
        <v/>
      </c>
      <c r="J227" t="str">
        <f t="shared" si="17"/>
        <v/>
      </c>
    </row>
    <row r="228" spans="7:10" x14ac:dyDescent="0.25">
      <c r="G228" t="str">
        <f>IFERROR(IF(D228="Mayorista",IF(VLOOKUP(E228,'04_PRODUCTOS'!B:F,5,FALSE)="",VLOOKUP(E228,'04_PRODUCTOS'!B:E,4,FALSE),VLOOKUP(E228,'04_PRODUCTOS'!B:F,5,FALSE)),IF(D228="Especial",IF(VLOOKUP(E228,'04_PRODUCTOS'!B:G,6,FALSE)="",VLOOKUP(E228,'04_PRODUCTOS'!B:E,4,FALSE),VLOOKUP(E228,'04_PRODUCTOS'!B:G,6,FALSE)),VLOOKUP(E228,'04_PRODUCTOS'!B:E,4,FALSE))),"")</f>
        <v/>
      </c>
      <c r="H228" t="str">
        <f t="shared" si="16"/>
        <v/>
      </c>
      <c r="I228" t="str">
        <f>IFERROR(H228-(F228*VLOOKUP(E228,'04_PRODUCTOS'!B:D,3,FALSE)),"")</f>
        <v/>
      </c>
      <c r="J228" t="str">
        <f t="shared" si="17"/>
        <v/>
      </c>
    </row>
    <row r="229" spans="7:10" x14ac:dyDescent="0.25">
      <c r="G229" t="str">
        <f>IFERROR(IF(D229="Mayorista",IF(VLOOKUP(E229,'04_PRODUCTOS'!B:F,5,FALSE)="",VLOOKUP(E229,'04_PRODUCTOS'!B:E,4,FALSE),VLOOKUP(E229,'04_PRODUCTOS'!B:F,5,FALSE)),IF(D229="Especial",IF(VLOOKUP(E229,'04_PRODUCTOS'!B:G,6,FALSE)="",VLOOKUP(E229,'04_PRODUCTOS'!B:E,4,FALSE),VLOOKUP(E229,'04_PRODUCTOS'!B:G,6,FALSE)),VLOOKUP(E229,'04_PRODUCTOS'!B:E,4,FALSE))),"")</f>
        <v/>
      </c>
      <c r="H229" t="str">
        <f t="shared" si="16"/>
        <v/>
      </c>
      <c r="I229" t="str">
        <f>IFERROR(H229-(F229*VLOOKUP(E229,'04_PRODUCTOS'!B:D,3,FALSE)),"")</f>
        <v/>
      </c>
      <c r="J229" t="str">
        <f t="shared" si="17"/>
        <v/>
      </c>
    </row>
    <row r="230" spans="7:10" x14ac:dyDescent="0.25">
      <c r="G230" t="str">
        <f>IFERROR(IF(D230="Mayorista",IF(VLOOKUP(E230,'04_PRODUCTOS'!B:F,5,FALSE)="",VLOOKUP(E230,'04_PRODUCTOS'!B:E,4,FALSE),VLOOKUP(E230,'04_PRODUCTOS'!B:F,5,FALSE)),IF(D230="Especial",IF(VLOOKUP(E230,'04_PRODUCTOS'!B:G,6,FALSE)="",VLOOKUP(E230,'04_PRODUCTOS'!B:E,4,FALSE),VLOOKUP(E230,'04_PRODUCTOS'!B:G,6,FALSE)),VLOOKUP(E230,'04_PRODUCTOS'!B:E,4,FALSE))),"")</f>
        <v/>
      </c>
      <c r="H230" t="str">
        <f t="shared" si="16"/>
        <v/>
      </c>
      <c r="I230" t="str">
        <f>IFERROR(H230-(F230*VLOOKUP(E230,'04_PRODUCTOS'!B:D,3,FALSE)),"")</f>
        <v/>
      </c>
      <c r="J230" t="str">
        <f t="shared" si="17"/>
        <v/>
      </c>
    </row>
    <row r="231" spans="7:10" x14ac:dyDescent="0.25">
      <c r="G231" t="str">
        <f>IFERROR(IF(D231="Mayorista",IF(VLOOKUP(E231,'04_PRODUCTOS'!B:F,5,FALSE)="",VLOOKUP(E231,'04_PRODUCTOS'!B:E,4,FALSE),VLOOKUP(E231,'04_PRODUCTOS'!B:F,5,FALSE)),IF(D231="Especial",IF(VLOOKUP(E231,'04_PRODUCTOS'!B:G,6,FALSE)="",VLOOKUP(E231,'04_PRODUCTOS'!B:E,4,FALSE),VLOOKUP(E231,'04_PRODUCTOS'!B:G,6,FALSE)),VLOOKUP(E231,'04_PRODUCTOS'!B:E,4,FALSE))),"")</f>
        <v/>
      </c>
      <c r="H231" t="str">
        <f t="shared" si="16"/>
        <v/>
      </c>
      <c r="I231" t="str">
        <f>IFERROR(H231-(F231*VLOOKUP(E231,'04_PRODUCTOS'!B:D,3,FALSE)),"")</f>
        <v/>
      </c>
      <c r="J231" t="str">
        <f t="shared" si="17"/>
        <v/>
      </c>
    </row>
    <row r="232" spans="7:10" x14ac:dyDescent="0.25">
      <c r="G232" t="str">
        <f>IFERROR(IF(D232="Mayorista",IF(VLOOKUP(E232,'04_PRODUCTOS'!B:F,5,FALSE)="",VLOOKUP(E232,'04_PRODUCTOS'!B:E,4,FALSE),VLOOKUP(E232,'04_PRODUCTOS'!B:F,5,FALSE)),IF(D232="Especial",IF(VLOOKUP(E232,'04_PRODUCTOS'!B:G,6,FALSE)="",VLOOKUP(E232,'04_PRODUCTOS'!B:E,4,FALSE),VLOOKUP(E232,'04_PRODUCTOS'!B:G,6,FALSE)),VLOOKUP(E232,'04_PRODUCTOS'!B:E,4,FALSE))),"")</f>
        <v/>
      </c>
      <c r="H232" t="str">
        <f t="shared" si="16"/>
        <v/>
      </c>
      <c r="I232" t="str">
        <f>IFERROR(H232-(F232*VLOOKUP(E232,'04_PRODUCTOS'!B:D,3,FALSE)),"")</f>
        <v/>
      </c>
      <c r="J232" t="str">
        <f t="shared" si="17"/>
        <v/>
      </c>
    </row>
    <row r="233" spans="7:10" x14ac:dyDescent="0.25">
      <c r="G233" t="str">
        <f>IFERROR(IF(D233="Mayorista",IF(VLOOKUP(E233,'04_PRODUCTOS'!B:F,5,FALSE)="",VLOOKUP(E233,'04_PRODUCTOS'!B:E,4,FALSE),VLOOKUP(E233,'04_PRODUCTOS'!B:F,5,FALSE)),IF(D233="Especial",IF(VLOOKUP(E233,'04_PRODUCTOS'!B:G,6,FALSE)="",VLOOKUP(E233,'04_PRODUCTOS'!B:E,4,FALSE),VLOOKUP(E233,'04_PRODUCTOS'!B:G,6,FALSE)),VLOOKUP(E233,'04_PRODUCTOS'!B:E,4,FALSE))),"")</f>
        <v/>
      </c>
      <c r="H233" t="str">
        <f t="shared" si="16"/>
        <v/>
      </c>
      <c r="I233" t="str">
        <f>IFERROR(H233-(F233*VLOOKUP(E233,'04_PRODUCTOS'!B:D,3,FALSE)),"")</f>
        <v/>
      </c>
      <c r="J233" t="str">
        <f t="shared" si="17"/>
        <v/>
      </c>
    </row>
    <row r="234" spans="7:10" x14ac:dyDescent="0.25">
      <c r="G234" t="str">
        <f>IFERROR(IF(D234="Mayorista",IF(VLOOKUP(E234,'04_PRODUCTOS'!B:F,5,FALSE)="",VLOOKUP(E234,'04_PRODUCTOS'!B:E,4,FALSE),VLOOKUP(E234,'04_PRODUCTOS'!B:F,5,FALSE)),IF(D234="Especial",IF(VLOOKUP(E234,'04_PRODUCTOS'!B:G,6,FALSE)="",VLOOKUP(E234,'04_PRODUCTOS'!B:E,4,FALSE),VLOOKUP(E234,'04_PRODUCTOS'!B:G,6,FALSE)),VLOOKUP(E234,'04_PRODUCTOS'!B:E,4,FALSE))),"")</f>
        <v/>
      </c>
      <c r="H234" t="str">
        <f t="shared" si="16"/>
        <v/>
      </c>
      <c r="I234" t="str">
        <f>IFERROR(H234-(F234*VLOOKUP(E234,'04_PRODUCTOS'!B:D,3,FALSE)),"")</f>
        <v/>
      </c>
      <c r="J234" t="str">
        <f t="shared" si="17"/>
        <v/>
      </c>
    </row>
    <row r="235" spans="7:10" x14ac:dyDescent="0.25">
      <c r="G235" t="str">
        <f>IFERROR(IF(D235="Mayorista",IF(VLOOKUP(E235,'04_PRODUCTOS'!B:F,5,FALSE)="",VLOOKUP(E235,'04_PRODUCTOS'!B:E,4,FALSE),VLOOKUP(E235,'04_PRODUCTOS'!B:F,5,FALSE)),IF(D235="Especial",IF(VLOOKUP(E235,'04_PRODUCTOS'!B:G,6,FALSE)="",VLOOKUP(E235,'04_PRODUCTOS'!B:E,4,FALSE),VLOOKUP(E235,'04_PRODUCTOS'!B:G,6,FALSE)),VLOOKUP(E235,'04_PRODUCTOS'!B:E,4,FALSE))),"")</f>
        <v/>
      </c>
      <c r="H235" t="str">
        <f t="shared" si="16"/>
        <v/>
      </c>
      <c r="I235" t="str">
        <f>IFERROR(H235-(F235*VLOOKUP(E235,'04_PRODUCTOS'!B:D,3,FALSE)),"")</f>
        <v/>
      </c>
      <c r="J235" t="str">
        <f t="shared" si="17"/>
        <v/>
      </c>
    </row>
    <row r="236" spans="7:10" x14ac:dyDescent="0.25">
      <c r="G236" t="str">
        <f>IFERROR(IF(D236="Mayorista",IF(VLOOKUP(E236,'04_PRODUCTOS'!B:F,5,FALSE)="",VLOOKUP(E236,'04_PRODUCTOS'!B:E,4,FALSE),VLOOKUP(E236,'04_PRODUCTOS'!B:F,5,FALSE)),IF(D236="Especial",IF(VLOOKUP(E236,'04_PRODUCTOS'!B:G,6,FALSE)="",VLOOKUP(E236,'04_PRODUCTOS'!B:E,4,FALSE),VLOOKUP(E236,'04_PRODUCTOS'!B:G,6,FALSE)),VLOOKUP(E236,'04_PRODUCTOS'!B:E,4,FALSE))),"")</f>
        <v/>
      </c>
      <c r="H236" t="str">
        <f t="shared" si="16"/>
        <v/>
      </c>
      <c r="I236" t="str">
        <f>IFERROR(H236-(F236*VLOOKUP(E236,'04_PRODUCTOS'!B:D,3,FALSE)),"")</f>
        <v/>
      </c>
      <c r="J236" t="str">
        <f t="shared" si="17"/>
        <v/>
      </c>
    </row>
    <row r="237" spans="7:10" x14ac:dyDescent="0.25">
      <c r="G237" t="str">
        <f>IFERROR(IF(D237="Mayorista",IF(VLOOKUP(E237,'04_PRODUCTOS'!B:F,5,FALSE)="",VLOOKUP(E237,'04_PRODUCTOS'!B:E,4,FALSE),VLOOKUP(E237,'04_PRODUCTOS'!B:F,5,FALSE)),IF(D237="Especial",IF(VLOOKUP(E237,'04_PRODUCTOS'!B:G,6,FALSE)="",VLOOKUP(E237,'04_PRODUCTOS'!B:E,4,FALSE),VLOOKUP(E237,'04_PRODUCTOS'!B:G,6,FALSE)),VLOOKUP(E237,'04_PRODUCTOS'!B:E,4,FALSE))),"")</f>
        <v/>
      </c>
      <c r="H237" t="str">
        <f t="shared" si="16"/>
        <v/>
      </c>
      <c r="I237" t="str">
        <f>IFERROR(H237-(F237*VLOOKUP(E237,'04_PRODUCTOS'!B:D,3,FALSE)),"")</f>
        <v/>
      </c>
      <c r="J237" t="str">
        <f t="shared" si="17"/>
        <v/>
      </c>
    </row>
    <row r="238" spans="7:10" x14ac:dyDescent="0.25">
      <c r="G238" t="str">
        <f>IFERROR(IF(D238="Mayorista",IF(VLOOKUP(E238,'04_PRODUCTOS'!B:F,5,FALSE)="",VLOOKUP(E238,'04_PRODUCTOS'!B:E,4,FALSE),VLOOKUP(E238,'04_PRODUCTOS'!B:F,5,FALSE)),IF(D238="Especial",IF(VLOOKUP(E238,'04_PRODUCTOS'!B:G,6,FALSE)="",VLOOKUP(E238,'04_PRODUCTOS'!B:E,4,FALSE),VLOOKUP(E238,'04_PRODUCTOS'!B:G,6,FALSE)),VLOOKUP(E238,'04_PRODUCTOS'!B:E,4,FALSE))),"")</f>
        <v/>
      </c>
      <c r="H238" t="str">
        <f t="shared" si="16"/>
        <v/>
      </c>
      <c r="I238" t="str">
        <f>IFERROR(H238-(F238*VLOOKUP(E238,'04_PRODUCTOS'!B:D,3,FALSE)),"")</f>
        <v/>
      </c>
      <c r="J238" t="str">
        <f t="shared" si="17"/>
        <v/>
      </c>
    </row>
    <row r="239" spans="7:10" x14ac:dyDescent="0.25">
      <c r="G239" t="str">
        <f>IFERROR(IF(D239="Mayorista",IF(VLOOKUP(E239,'04_PRODUCTOS'!B:F,5,FALSE)="",VLOOKUP(E239,'04_PRODUCTOS'!B:E,4,FALSE),VLOOKUP(E239,'04_PRODUCTOS'!B:F,5,FALSE)),IF(D239="Especial",IF(VLOOKUP(E239,'04_PRODUCTOS'!B:G,6,FALSE)="",VLOOKUP(E239,'04_PRODUCTOS'!B:E,4,FALSE),VLOOKUP(E239,'04_PRODUCTOS'!B:G,6,FALSE)),VLOOKUP(E239,'04_PRODUCTOS'!B:E,4,FALSE))),"")</f>
        <v/>
      </c>
      <c r="H239" t="str">
        <f t="shared" si="16"/>
        <v/>
      </c>
      <c r="I239" t="str">
        <f>IFERROR(H239-(F239*VLOOKUP(E239,'04_PRODUCTOS'!B:D,3,FALSE)),"")</f>
        <v/>
      </c>
      <c r="J239" t="str">
        <f t="shared" si="17"/>
        <v/>
      </c>
    </row>
    <row r="240" spans="7:10" x14ac:dyDescent="0.25">
      <c r="G240" t="str">
        <f>IFERROR(IF(D240="Mayorista",IF(VLOOKUP(E240,'04_PRODUCTOS'!B:F,5,FALSE)="",VLOOKUP(E240,'04_PRODUCTOS'!B:E,4,FALSE),VLOOKUP(E240,'04_PRODUCTOS'!B:F,5,FALSE)),IF(D240="Especial",IF(VLOOKUP(E240,'04_PRODUCTOS'!B:G,6,FALSE)="",VLOOKUP(E240,'04_PRODUCTOS'!B:E,4,FALSE),VLOOKUP(E240,'04_PRODUCTOS'!B:G,6,FALSE)),VLOOKUP(E240,'04_PRODUCTOS'!B:E,4,FALSE))),"")</f>
        <v/>
      </c>
      <c r="H240" t="str">
        <f t="shared" si="16"/>
        <v/>
      </c>
      <c r="I240" t="str">
        <f>IFERROR(H240-(F240*VLOOKUP(E240,'04_PRODUCTOS'!B:D,3,FALSE)),"")</f>
        <v/>
      </c>
      <c r="J240" t="str">
        <f t="shared" si="17"/>
        <v/>
      </c>
    </row>
    <row r="241" spans="7:10" x14ac:dyDescent="0.25">
      <c r="G241" t="str">
        <f>IFERROR(IF(D241="Mayorista",IF(VLOOKUP(E241,'04_PRODUCTOS'!B:F,5,FALSE)="",VLOOKUP(E241,'04_PRODUCTOS'!B:E,4,FALSE),VLOOKUP(E241,'04_PRODUCTOS'!B:F,5,FALSE)),IF(D241="Especial",IF(VLOOKUP(E241,'04_PRODUCTOS'!B:G,6,FALSE)="",VLOOKUP(E241,'04_PRODUCTOS'!B:E,4,FALSE),VLOOKUP(E241,'04_PRODUCTOS'!B:G,6,FALSE)),VLOOKUP(E241,'04_PRODUCTOS'!B:E,4,FALSE))),"")</f>
        <v/>
      </c>
      <c r="H241" t="str">
        <f t="shared" si="16"/>
        <v/>
      </c>
      <c r="I241" t="str">
        <f>IFERROR(H241-(F241*VLOOKUP(E241,'04_PRODUCTOS'!B:D,3,FALSE)),"")</f>
        <v/>
      </c>
      <c r="J241" t="str">
        <f t="shared" si="17"/>
        <v/>
      </c>
    </row>
    <row r="242" spans="7:10" x14ac:dyDescent="0.25">
      <c r="G242" t="str">
        <f>IFERROR(IF(D242="Mayorista",IF(VLOOKUP(E242,'04_PRODUCTOS'!B:F,5,FALSE)="",VLOOKUP(E242,'04_PRODUCTOS'!B:E,4,FALSE),VLOOKUP(E242,'04_PRODUCTOS'!B:F,5,FALSE)),IF(D242="Especial",IF(VLOOKUP(E242,'04_PRODUCTOS'!B:G,6,FALSE)="",VLOOKUP(E242,'04_PRODUCTOS'!B:E,4,FALSE),VLOOKUP(E242,'04_PRODUCTOS'!B:G,6,FALSE)),VLOOKUP(E242,'04_PRODUCTOS'!B:E,4,FALSE))),"")</f>
        <v/>
      </c>
      <c r="H242" t="str">
        <f t="shared" si="16"/>
        <v/>
      </c>
      <c r="I242" t="str">
        <f>IFERROR(H242-(F242*VLOOKUP(E242,'04_PRODUCTOS'!B:D,3,FALSE)),"")</f>
        <v/>
      </c>
      <c r="J242" t="str">
        <f t="shared" si="17"/>
        <v/>
      </c>
    </row>
    <row r="243" spans="7:10" x14ac:dyDescent="0.25">
      <c r="G243" t="str">
        <f>IFERROR(IF(D243="Mayorista",IF(VLOOKUP(E243,'04_PRODUCTOS'!B:F,5,FALSE)="",VLOOKUP(E243,'04_PRODUCTOS'!B:E,4,FALSE),VLOOKUP(E243,'04_PRODUCTOS'!B:F,5,FALSE)),IF(D243="Especial",IF(VLOOKUP(E243,'04_PRODUCTOS'!B:G,6,FALSE)="",VLOOKUP(E243,'04_PRODUCTOS'!B:E,4,FALSE),VLOOKUP(E243,'04_PRODUCTOS'!B:G,6,FALSE)),VLOOKUP(E243,'04_PRODUCTOS'!B:E,4,FALSE))),"")</f>
        <v/>
      </c>
      <c r="H243" t="str">
        <f t="shared" si="16"/>
        <v/>
      </c>
      <c r="I243" t="str">
        <f>IFERROR(H243-(F243*VLOOKUP(E243,'04_PRODUCTOS'!B:D,3,FALSE)),"")</f>
        <v/>
      </c>
      <c r="J243" t="str">
        <f t="shared" si="17"/>
        <v/>
      </c>
    </row>
    <row r="244" spans="7:10" x14ac:dyDescent="0.25">
      <c r="G244" t="str">
        <f>IFERROR(IF(D244="Mayorista",IF(VLOOKUP(E244,'04_PRODUCTOS'!B:F,5,FALSE)="",VLOOKUP(E244,'04_PRODUCTOS'!B:E,4,FALSE),VLOOKUP(E244,'04_PRODUCTOS'!B:F,5,FALSE)),IF(D244="Especial",IF(VLOOKUP(E244,'04_PRODUCTOS'!B:G,6,FALSE)="",VLOOKUP(E244,'04_PRODUCTOS'!B:E,4,FALSE),VLOOKUP(E244,'04_PRODUCTOS'!B:G,6,FALSE)),VLOOKUP(E244,'04_PRODUCTOS'!B:E,4,FALSE))),"")</f>
        <v/>
      </c>
      <c r="H244" t="str">
        <f t="shared" si="16"/>
        <v/>
      </c>
      <c r="I244" t="str">
        <f>IFERROR(H244-(F244*VLOOKUP(E244,'04_PRODUCTOS'!B:D,3,FALSE)),"")</f>
        <v/>
      </c>
      <c r="J244" t="str">
        <f t="shared" si="17"/>
        <v/>
      </c>
    </row>
    <row r="245" spans="7:10" x14ac:dyDescent="0.25">
      <c r="G245" t="str">
        <f>IFERROR(IF(D245="Mayorista",IF(VLOOKUP(E245,'04_PRODUCTOS'!B:F,5,FALSE)="",VLOOKUP(E245,'04_PRODUCTOS'!B:E,4,FALSE),VLOOKUP(E245,'04_PRODUCTOS'!B:F,5,FALSE)),IF(D245="Especial",IF(VLOOKUP(E245,'04_PRODUCTOS'!B:G,6,FALSE)="",VLOOKUP(E245,'04_PRODUCTOS'!B:E,4,FALSE),VLOOKUP(E245,'04_PRODUCTOS'!B:G,6,FALSE)),VLOOKUP(E245,'04_PRODUCTOS'!B:E,4,FALSE))),"")</f>
        <v/>
      </c>
      <c r="H245" t="str">
        <f t="shared" si="16"/>
        <v/>
      </c>
      <c r="I245" t="str">
        <f>IFERROR(H245-(F245*VLOOKUP(E245,'04_PRODUCTOS'!B:D,3,FALSE)),"")</f>
        <v/>
      </c>
      <c r="J245" t="str">
        <f t="shared" si="17"/>
        <v/>
      </c>
    </row>
    <row r="246" spans="7:10" x14ac:dyDescent="0.25">
      <c r="G246" t="str">
        <f>IFERROR(IF(D246="Mayorista",IF(VLOOKUP(E246,'04_PRODUCTOS'!B:F,5,FALSE)="",VLOOKUP(E246,'04_PRODUCTOS'!B:E,4,FALSE),VLOOKUP(E246,'04_PRODUCTOS'!B:F,5,FALSE)),IF(D246="Especial",IF(VLOOKUP(E246,'04_PRODUCTOS'!B:G,6,FALSE)="",VLOOKUP(E246,'04_PRODUCTOS'!B:E,4,FALSE),VLOOKUP(E246,'04_PRODUCTOS'!B:G,6,FALSE)),VLOOKUP(E246,'04_PRODUCTOS'!B:E,4,FALSE))),"")</f>
        <v/>
      </c>
      <c r="H246" t="str">
        <f t="shared" si="16"/>
        <v/>
      </c>
      <c r="I246" t="str">
        <f>IFERROR(H246-(F246*VLOOKUP(E246,'04_PRODUCTOS'!B:D,3,FALSE)),"")</f>
        <v/>
      </c>
      <c r="J246" t="str">
        <f t="shared" si="17"/>
        <v/>
      </c>
    </row>
    <row r="247" spans="7:10" x14ac:dyDescent="0.25">
      <c r="G247" t="str">
        <f>IFERROR(IF(D247="Mayorista",IF(VLOOKUP(E247,'04_PRODUCTOS'!B:F,5,FALSE)="",VLOOKUP(E247,'04_PRODUCTOS'!B:E,4,FALSE),VLOOKUP(E247,'04_PRODUCTOS'!B:F,5,FALSE)),IF(D247="Especial",IF(VLOOKUP(E247,'04_PRODUCTOS'!B:G,6,FALSE)="",VLOOKUP(E247,'04_PRODUCTOS'!B:E,4,FALSE),VLOOKUP(E247,'04_PRODUCTOS'!B:G,6,FALSE)),VLOOKUP(E247,'04_PRODUCTOS'!B:E,4,FALSE))),"")</f>
        <v/>
      </c>
      <c r="H247" t="str">
        <f t="shared" si="16"/>
        <v/>
      </c>
      <c r="I247" t="str">
        <f>IFERROR(H247-(F247*VLOOKUP(E247,'04_PRODUCTOS'!B:D,3,FALSE)),"")</f>
        <v/>
      </c>
      <c r="J247" t="str">
        <f t="shared" si="17"/>
        <v/>
      </c>
    </row>
    <row r="248" spans="7:10" x14ac:dyDescent="0.25">
      <c r="G248" t="str">
        <f>IFERROR(IF(D248="Mayorista",IF(VLOOKUP(E248,'04_PRODUCTOS'!B:F,5,FALSE)="",VLOOKUP(E248,'04_PRODUCTOS'!B:E,4,FALSE),VLOOKUP(E248,'04_PRODUCTOS'!B:F,5,FALSE)),IF(D248="Especial",IF(VLOOKUP(E248,'04_PRODUCTOS'!B:G,6,FALSE)="",VLOOKUP(E248,'04_PRODUCTOS'!B:E,4,FALSE),VLOOKUP(E248,'04_PRODUCTOS'!B:G,6,FALSE)),VLOOKUP(E248,'04_PRODUCTOS'!B:E,4,FALSE))),"")</f>
        <v/>
      </c>
      <c r="H248" t="str">
        <f t="shared" si="16"/>
        <v/>
      </c>
      <c r="I248" t="str">
        <f>IFERROR(H248-(F248*VLOOKUP(E248,'04_PRODUCTOS'!B:D,3,FALSE)),"")</f>
        <v/>
      </c>
      <c r="J248" t="str">
        <f t="shared" si="17"/>
        <v/>
      </c>
    </row>
    <row r="249" spans="7:10" x14ac:dyDescent="0.25">
      <c r="G249" t="str">
        <f>IFERROR(IF(D249="Mayorista",IF(VLOOKUP(E249,'04_PRODUCTOS'!B:F,5,FALSE)="",VLOOKUP(E249,'04_PRODUCTOS'!B:E,4,FALSE),VLOOKUP(E249,'04_PRODUCTOS'!B:F,5,FALSE)),IF(D249="Especial",IF(VLOOKUP(E249,'04_PRODUCTOS'!B:G,6,FALSE)="",VLOOKUP(E249,'04_PRODUCTOS'!B:E,4,FALSE),VLOOKUP(E249,'04_PRODUCTOS'!B:G,6,FALSE)),VLOOKUP(E249,'04_PRODUCTOS'!B:E,4,FALSE))),"")</f>
        <v/>
      </c>
      <c r="H249" t="str">
        <f t="shared" si="16"/>
        <v/>
      </c>
      <c r="I249" t="str">
        <f>IFERROR(H249-(F249*VLOOKUP(E249,'04_PRODUCTOS'!B:D,3,FALSE)),"")</f>
        <v/>
      </c>
      <c r="J249" t="str">
        <f t="shared" si="17"/>
        <v/>
      </c>
    </row>
    <row r="250" spans="7:10" x14ac:dyDescent="0.25">
      <c r="G250" t="str">
        <f>IFERROR(IF(D250="Mayorista",IF(VLOOKUP(E250,'04_PRODUCTOS'!B:F,5,FALSE)="",VLOOKUP(E250,'04_PRODUCTOS'!B:E,4,FALSE),VLOOKUP(E250,'04_PRODUCTOS'!B:F,5,FALSE)),IF(D250="Especial",IF(VLOOKUP(E250,'04_PRODUCTOS'!B:G,6,FALSE)="",VLOOKUP(E250,'04_PRODUCTOS'!B:E,4,FALSE),VLOOKUP(E250,'04_PRODUCTOS'!B:G,6,FALSE)),VLOOKUP(E250,'04_PRODUCTOS'!B:E,4,FALSE))),"")</f>
        <v/>
      </c>
      <c r="H250" t="str">
        <f t="shared" si="16"/>
        <v/>
      </c>
      <c r="I250" t="str">
        <f>IFERROR(H250-(F250*VLOOKUP(E250,'04_PRODUCTOS'!B:D,3,FALSE)),"")</f>
        <v/>
      </c>
      <c r="J250" t="str">
        <f t="shared" si="17"/>
        <v/>
      </c>
    </row>
    <row r="251" spans="7:10" x14ac:dyDescent="0.25">
      <c r="G251" t="str">
        <f>IFERROR(IF(D251="Mayorista",IF(VLOOKUP(E251,'04_PRODUCTOS'!B:F,5,FALSE)="",VLOOKUP(E251,'04_PRODUCTOS'!B:E,4,FALSE),VLOOKUP(E251,'04_PRODUCTOS'!B:F,5,FALSE)),IF(D251="Especial",IF(VLOOKUP(E251,'04_PRODUCTOS'!B:G,6,FALSE)="",VLOOKUP(E251,'04_PRODUCTOS'!B:E,4,FALSE),VLOOKUP(E251,'04_PRODUCTOS'!B:G,6,FALSE)),VLOOKUP(E251,'04_PRODUCTOS'!B:E,4,FALSE))),"")</f>
        <v/>
      </c>
      <c r="H251" t="str">
        <f t="shared" si="16"/>
        <v/>
      </c>
      <c r="I251" t="str">
        <f>IFERROR(H251-(F251*VLOOKUP(E251,'04_PRODUCTOS'!B:D,3,FALSE)),"")</f>
        <v/>
      </c>
      <c r="J251" t="str">
        <f t="shared" si="17"/>
        <v/>
      </c>
    </row>
    <row r="252" spans="7:10" x14ac:dyDescent="0.25">
      <c r="G252" t="str">
        <f>IFERROR(IF(D252="Mayorista",IF(VLOOKUP(E252,'04_PRODUCTOS'!B:F,5,FALSE)="",VLOOKUP(E252,'04_PRODUCTOS'!B:E,4,FALSE),VLOOKUP(E252,'04_PRODUCTOS'!B:F,5,FALSE)),IF(D252="Especial",IF(VLOOKUP(E252,'04_PRODUCTOS'!B:G,6,FALSE)="",VLOOKUP(E252,'04_PRODUCTOS'!B:E,4,FALSE),VLOOKUP(E252,'04_PRODUCTOS'!B:G,6,FALSE)),VLOOKUP(E252,'04_PRODUCTOS'!B:E,4,FALSE))),"")</f>
        <v/>
      </c>
      <c r="H252" t="str">
        <f t="shared" si="16"/>
        <v/>
      </c>
      <c r="I252" t="str">
        <f>IFERROR(H252-(F252*VLOOKUP(E252,'04_PRODUCTOS'!B:D,3,FALSE)),"")</f>
        <v/>
      </c>
      <c r="J252" t="str">
        <f t="shared" si="17"/>
        <v/>
      </c>
    </row>
    <row r="253" spans="7:10" x14ac:dyDescent="0.25">
      <c r="G253" t="str">
        <f>IFERROR(IF(D253="Mayorista",IF(VLOOKUP(E253,'04_PRODUCTOS'!B:F,5,FALSE)="",VLOOKUP(E253,'04_PRODUCTOS'!B:E,4,FALSE),VLOOKUP(E253,'04_PRODUCTOS'!B:F,5,FALSE)),IF(D253="Especial",IF(VLOOKUP(E253,'04_PRODUCTOS'!B:G,6,FALSE)="",VLOOKUP(E253,'04_PRODUCTOS'!B:E,4,FALSE),VLOOKUP(E253,'04_PRODUCTOS'!B:G,6,FALSE)),VLOOKUP(E253,'04_PRODUCTOS'!B:E,4,FALSE))),"")</f>
        <v/>
      </c>
      <c r="H253" t="str">
        <f t="shared" si="16"/>
        <v/>
      </c>
      <c r="I253" t="str">
        <f>IFERROR(H253-(F253*VLOOKUP(E253,'04_PRODUCTOS'!B:D,3,FALSE)),"")</f>
        <v/>
      </c>
      <c r="J253" t="str">
        <f t="shared" si="17"/>
        <v/>
      </c>
    </row>
    <row r="254" spans="7:10" x14ac:dyDescent="0.25">
      <c r="G254" t="str">
        <f>IFERROR(IF(D254="Mayorista",IF(VLOOKUP(E254,'04_PRODUCTOS'!B:F,5,FALSE)="",VLOOKUP(E254,'04_PRODUCTOS'!B:E,4,FALSE),VLOOKUP(E254,'04_PRODUCTOS'!B:F,5,FALSE)),IF(D254="Especial",IF(VLOOKUP(E254,'04_PRODUCTOS'!B:G,6,FALSE)="",VLOOKUP(E254,'04_PRODUCTOS'!B:E,4,FALSE),VLOOKUP(E254,'04_PRODUCTOS'!B:G,6,FALSE)),VLOOKUP(E254,'04_PRODUCTOS'!B:E,4,FALSE))),"")</f>
        <v/>
      </c>
      <c r="H254" t="str">
        <f t="shared" si="16"/>
        <v/>
      </c>
      <c r="I254" t="str">
        <f>IFERROR(H254-(F254*VLOOKUP(E254,'04_PRODUCTOS'!B:D,3,FALSE)),"")</f>
        <v/>
      </c>
      <c r="J254" t="str">
        <f t="shared" si="17"/>
        <v/>
      </c>
    </row>
    <row r="255" spans="7:10" x14ac:dyDescent="0.25">
      <c r="G255" t="str">
        <f>IFERROR(IF(D255="Mayorista",IF(VLOOKUP(E255,'04_PRODUCTOS'!B:F,5,FALSE)="",VLOOKUP(E255,'04_PRODUCTOS'!B:E,4,FALSE),VLOOKUP(E255,'04_PRODUCTOS'!B:F,5,FALSE)),IF(D255="Especial",IF(VLOOKUP(E255,'04_PRODUCTOS'!B:G,6,FALSE)="",VLOOKUP(E255,'04_PRODUCTOS'!B:E,4,FALSE),VLOOKUP(E255,'04_PRODUCTOS'!B:G,6,FALSE)),VLOOKUP(E255,'04_PRODUCTOS'!B:E,4,FALSE))),"")</f>
        <v/>
      </c>
      <c r="H255" t="str">
        <f t="shared" si="16"/>
        <v/>
      </c>
      <c r="I255" t="str">
        <f>IFERROR(H255-(F255*VLOOKUP(E255,'04_PRODUCTOS'!B:D,3,FALSE)),"")</f>
        <v/>
      </c>
      <c r="J255" t="str">
        <f t="shared" si="17"/>
        <v/>
      </c>
    </row>
    <row r="256" spans="7:10" x14ac:dyDescent="0.25">
      <c r="G256" t="str">
        <f>IFERROR(IF(D256="Mayorista",IF(VLOOKUP(E256,'04_PRODUCTOS'!B:F,5,FALSE)="",VLOOKUP(E256,'04_PRODUCTOS'!B:E,4,FALSE),VLOOKUP(E256,'04_PRODUCTOS'!B:F,5,FALSE)),IF(D256="Especial",IF(VLOOKUP(E256,'04_PRODUCTOS'!B:G,6,FALSE)="",VLOOKUP(E256,'04_PRODUCTOS'!B:E,4,FALSE),VLOOKUP(E256,'04_PRODUCTOS'!B:G,6,FALSE)),VLOOKUP(E256,'04_PRODUCTOS'!B:E,4,FALSE))),"")</f>
        <v/>
      </c>
      <c r="H256" t="str">
        <f t="shared" si="16"/>
        <v/>
      </c>
      <c r="I256" t="str">
        <f>IFERROR(H256-(F256*VLOOKUP(E256,'04_PRODUCTOS'!B:D,3,FALSE)),"")</f>
        <v/>
      </c>
      <c r="J256" t="str">
        <f t="shared" si="17"/>
        <v/>
      </c>
    </row>
    <row r="257" spans="7:10" x14ac:dyDescent="0.25">
      <c r="G257" t="str">
        <f>IFERROR(IF(D257="Mayorista",IF(VLOOKUP(E257,'04_PRODUCTOS'!B:F,5,FALSE)="",VLOOKUP(E257,'04_PRODUCTOS'!B:E,4,FALSE),VLOOKUP(E257,'04_PRODUCTOS'!B:F,5,FALSE)),IF(D257="Especial",IF(VLOOKUP(E257,'04_PRODUCTOS'!B:G,6,FALSE)="",VLOOKUP(E257,'04_PRODUCTOS'!B:E,4,FALSE),VLOOKUP(E257,'04_PRODUCTOS'!B:G,6,FALSE)),VLOOKUP(E257,'04_PRODUCTOS'!B:E,4,FALSE))),"")</f>
        <v/>
      </c>
      <c r="H257" t="str">
        <f t="shared" si="16"/>
        <v/>
      </c>
      <c r="I257" t="str">
        <f>IFERROR(H257-(F257*VLOOKUP(E257,'04_PRODUCTOS'!B:D,3,FALSE)),"")</f>
        <v/>
      </c>
      <c r="J257" t="str">
        <f t="shared" si="17"/>
        <v/>
      </c>
    </row>
    <row r="258" spans="7:10" x14ac:dyDescent="0.25">
      <c r="G258" t="str">
        <f>IFERROR(IF(D258="Mayorista",IF(VLOOKUP(E258,'04_PRODUCTOS'!B:F,5,FALSE)="",VLOOKUP(E258,'04_PRODUCTOS'!B:E,4,FALSE),VLOOKUP(E258,'04_PRODUCTOS'!B:F,5,FALSE)),IF(D258="Especial",IF(VLOOKUP(E258,'04_PRODUCTOS'!B:G,6,FALSE)="",VLOOKUP(E258,'04_PRODUCTOS'!B:E,4,FALSE),VLOOKUP(E258,'04_PRODUCTOS'!B:G,6,FALSE)),VLOOKUP(E258,'04_PRODUCTOS'!B:E,4,FALSE))),"")</f>
        <v/>
      </c>
      <c r="H258" t="str">
        <f t="shared" ref="H258:H321" si="18">IF(AND(F258&lt;&gt;"",G258&lt;&gt;""),F258*G258,"")</f>
        <v/>
      </c>
      <c r="I258" t="str">
        <f>IFERROR(H258-(F258*VLOOKUP(E258,'04_PRODUCTOS'!B:D,3,FALSE)),"")</f>
        <v/>
      </c>
      <c r="J258" t="str">
        <f t="shared" ref="J258:J321" si="19">IFERROR(I258/H258,"")</f>
        <v/>
      </c>
    </row>
    <row r="259" spans="7:10" x14ac:dyDescent="0.25">
      <c r="G259" t="str">
        <f>IFERROR(IF(D259="Mayorista",IF(VLOOKUP(E259,'04_PRODUCTOS'!B:F,5,FALSE)="",VLOOKUP(E259,'04_PRODUCTOS'!B:E,4,FALSE),VLOOKUP(E259,'04_PRODUCTOS'!B:F,5,FALSE)),IF(D259="Especial",IF(VLOOKUP(E259,'04_PRODUCTOS'!B:G,6,FALSE)="",VLOOKUP(E259,'04_PRODUCTOS'!B:E,4,FALSE),VLOOKUP(E259,'04_PRODUCTOS'!B:G,6,FALSE)),VLOOKUP(E259,'04_PRODUCTOS'!B:E,4,FALSE))),"")</f>
        <v/>
      </c>
      <c r="H259" t="str">
        <f t="shared" si="18"/>
        <v/>
      </c>
      <c r="I259" t="str">
        <f>IFERROR(H259-(F259*VLOOKUP(E259,'04_PRODUCTOS'!B:D,3,FALSE)),"")</f>
        <v/>
      </c>
      <c r="J259" t="str">
        <f t="shared" si="19"/>
        <v/>
      </c>
    </row>
    <row r="260" spans="7:10" x14ac:dyDescent="0.25">
      <c r="G260" t="str">
        <f>IFERROR(IF(D260="Mayorista",IF(VLOOKUP(E260,'04_PRODUCTOS'!B:F,5,FALSE)="",VLOOKUP(E260,'04_PRODUCTOS'!B:E,4,FALSE),VLOOKUP(E260,'04_PRODUCTOS'!B:F,5,FALSE)),IF(D260="Especial",IF(VLOOKUP(E260,'04_PRODUCTOS'!B:G,6,FALSE)="",VLOOKUP(E260,'04_PRODUCTOS'!B:E,4,FALSE),VLOOKUP(E260,'04_PRODUCTOS'!B:G,6,FALSE)),VLOOKUP(E260,'04_PRODUCTOS'!B:E,4,FALSE))),"")</f>
        <v/>
      </c>
      <c r="H260" t="str">
        <f t="shared" si="18"/>
        <v/>
      </c>
      <c r="I260" t="str">
        <f>IFERROR(H260-(F260*VLOOKUP(E260,'04_PRODUCTOS'!B:D,3,FALSE)),"")</f>
        <v/>
      </c>
      <c r="J260" t="str">
        <f t="shared" si="19"/>
        <v/>
      </c>
    </row>
    <row r="261" spans="7:10" x14ac:dyDescent="0.25">
      <c r="G261" t="str">
        <f>IFERROR(IF(D261="Mayorista",IF(VLOOKUP(E261,'04_PRODUCTOS'!B:F,5,FALSE)="",VLOOKUP(E261,'04_PRODUCTOS'!B:E,4,FALSE),VLOOKUP(E261,'04_PRODUCTOS'!B:F,5,FALSE)),IF(D261="Especial",IF(VLOOKUP(E261,'04_PRODUCTOS'!B:G,6,FALSE)="",VLOOKUP(E261,'04_PRODUCTOS'!B:E,4,FALSE),VLOOKUP(E261,'04_PRODUCTOS'!B:G,6,FALSE)),VLOOKUP(E261,'04_PRODUCTOS'!B:E,4,FALSE))),"")</f>
        <v/>
      </c>
      <c r="H261" t="str">
        <f t="shared" si="18"/>
        <v/>
      </c>
      <c r="I261" t="str">
        <f>IFERROR(H261-(F261*VLOOKUP(E261,'04_PRODUCTOS'!B:D,3,FALSE)),"")</f>
        <v/>
      </c>
      <c r="J261" t="str">
        <f t="shared" si="19"/>
        <v/>
      </c>
    </row>
    <row r="262" spans="7:10" x14ac:dyDescent="0.25">
      <c r="G262" t="str">
        <f>IFERROR(IF(D262="Mayorista",IF(VLOOKUP(E262,'04_PRODUCTOS'!B:F,5,FALSE)="",VLOOKUP(E262,'04_PRODUCTOS'!B:E,4,FALSE),VLOOKUP(E262,'04_PRODUCTOS'!B:F,5,FALSE)),IF(D262="Especial",IF(VLOOKUP(E262,'04_PRODUCTOS'!B:G,6,FALSE)="",VLOOKUP(E262,'04_PRODUCTOS'!B:E,4,FALSE),VLOOKUP(E262,'04_PRODUCTOS'!B:G,6,FALSE)),VLOOKUP(E262,'04_PRODUCTOS'!B:E,4,FALSE))),"")</f>
        <v/>
      </c>
      <c r="H262" t="str">
        <f t="shared" si="18"/>
        <v/>
      </c>
      <c r="I262" t="str">
        <f>IFERROR(H262-(F262*VLOOKUP(E262,'04_PRODUCTOS'!B:D,3,FALSE)),"")</f>
        <v/>
      </c>
      <c r="J262" t="str">
        <f t="shared" si="19"/>
        <v/>
      </c>
    </row>
    <row r="263" spans="7:10" x14ac:dyDescent="0.25">
      <c r="G263" t="str">
        <f>IFERROR(IF(D263="Mayorista",IF(VLOOKUP(E263,'04_PRODUCTOS'!B:F,5,FALSE)="",VLOOKUP(E263,'04_PRODUCTOS'!B:E,4,FALSE),VLOOKUP(E263,'04_PRODUCTOS'!B:F,5,FALSE)),IF(D263="Especial",IF(VLOOKUP(E263,'04_PRODUCTOS'!B:G,6,FALSE)="",VLOOKUP(E263,'04_PRODUCTOS'!B:E,4,FALSE),VLOOKUP(E263,'04_PRODUCTOS'!B:G,6,FALSE)),VLOOKUP(E263,'04_PRODUCTOS'!B:E,4,FALSE))),"")</f>
        <v/>
      </c>
      <c r="H263" t="str">
        <f t="shared" si="18"/>
        <v/>
      </c>
      <c r="I263" t="str">
        <f>IFERROR(H263-(F263*VLOOKUP(E263,'04_PRODUCTOS'!B:D,3,FALSE)),"")</f>
        <v/>
      </c>
      <c r="J263" t="str">
        <f t="shared" si="19"/>
        <v/>
      </c>
    </row>
    <row r="264" spans="7:10" x14ac:dyDescent="0.25">
      <c r="G264" t="str">
        <f>IFERROR(IF(D264="Mayorista",IF(VLOOKUP(E264,'04_PRODUCTOS'!B:F,5,FALSE)="",VLOOKUP(E264,'04_PRODUCTOS'!B:E,4,FALSE),VLOOKUP(E264,'04_PRODUCTOS'!B:F,5,FALSE)),IF(D264="Especial",IF(VLOOKUP(E264,'04_PRODUCTOS'!B:G,6,FALSE)="",VLOOKUP(E264,'04_PRODUCTOS'!B:E,4,FALSE),VLOOKUP(E264,'04_PRODUCTOS'!B:G,6,FALSE)),VLOOKUP(E264,'04_PRODUCTOS'!B:E,4,FALSE))),"")</f>
        <v/>
      </c>
      <c r="H264" t="str">
        <f t="shared" si="18"/>
        <v/>
      </c>
      <c r="I264" t="str">
        <f>IFERROR(H264-(F264*VLOOKUP(E264,'04_PRODUCTOS'!B:D,3,FALSE)),"")</f>
        <v/>
      </c>
      <c r="J264" t="str">
        <f t="shared" si="19"/>
        <v/>
      </c>
    </row>
    <row r="265" spans="7:10" x14ac:dyDescent="0.25">
      <c r="G265" t="str">
        <f>IFERROR(IF(D265="Mayorista",IF(VLOOKUP(E265,'04_PRODUCTOS'!B:F,5,FALSE)="",VLOOKUP(E265,'04_PRODUCTOS'!B:E,4,FALSE),VLOOKUP(E265,'04_PRODUCTOS'!B:F,5,FALSE)),IF(D265="Especial",IF(VLOOKUP(E265,'04_PRODUCTOS'!B:G,6,FALSE)="",VLOOKUP(E265,'04_PRODUCTOS'!B:E,4,FALSE),VLOOKUP(E265,'04_PRODUCTOS'!B:G,6,FALSE)),VLOOKUP(E265,'04_PRODUCTOS'!B:E,4,FALSE))),"")</f>
        <v/>
      </c>
      <c r="H265" t="str">
        <f t="shared" si="18"/>
        <v/>
      </c>
      <c r="I265" t="str">
        <f>IFERROR(H265-(F265*VLOOKUP(E265,'04_PRODUCTOS'!B:D,3,FALSE)),"")</f>
        <v/>
      </c>
      <c r="J265" t="str">
        <f t="shared" si="19"/>
        <v/>
      </c>
    </row>
    <row r="266" spans="7:10" x14ac:dyDescent="0.25">
      <c r="G266" t="str">
        <f>IFERROR(IF(D266="Mayorista",IF(VLOOKUP(E266,'04_PRODUCTOS'!B:F,5,FALSE)="",VLOOKUP(E266,'04_PRODUCTOS'!B:E,4,FALSE),VLOOKUP(E266,'04_PRODUCTOS'!B:F,5,FALSE)),IF(D266="Especial",IF(VLOOKUP(E266,'04_PRODUCTOS'!B:G,6,FALSE)="",VLOOKUP(E266,'04_PRODUCTOS'!B:E,4,FALSE),VLOOKUP(E266,'04_PRODUCTOS'!B:G,6,FALSE)),VLOOKUP(E266,'04_PRODUCTOS'!B:E,4,FALSE))),"")</f>
        <v/>
      </c>
      <c r="H266" t="str">
        <f t="shared" si="18"/>
        <v/>
      </c>
      <c r="I266" t="str">
        <f>IFERROR(H266-(F266*VLOOKUP(E266,'04_PRODUCTOS'!B:D,3,FALSE)),"")</f>
        <v/>
      </c>
      <c r="J266" t="str">
        <f t="shared" si="19"/>
        <v/>
      </c>
    </row>
    <row r="267" spans="7:10" x14ac:dyDescent="0.25">
      <c r="G267" t="str">
        <f>IFERROR(IF(D267="Mayorista",IF(VLOOKUP(E267,'04_PRODUCTOS'!B:F,5,FALSE)="",VLOOKUP(E267,'04_PRODUCTOS'!B:E,4,FALSE),VLOOKUP(E267,'04_PRODUCTOS'!B:F,5,FALSE)),IF(D267="Especial",IF(VLOOKUP(E267,'04_PRODUCTOS'!B:G,6,FALSE)="",VLOOKUP(E267,'04_PRODUCTOS'!B:E,4,FALSE),VLOOKUP(E267,'04_PRODUCTOS'!B:G,6,FALSE)),VLOOKUP(E267,'04_PRODUCTOS'!B:E,4,FALSE))),"")</f>
        <v/>
      </c>
      <c r="H267" t="str">
        <f t="shared" si="18"/>
        <v/>
      </c>
      <c r="I267" t="str">
        <f>IFERROR(H267-(F267*VLOOKUP(E267,'04_PRODUCTOS'!B:D,3,FALSE)),"")</f>
        <v/>
      </c>
      <c r="J267" t="str">
        <f t="shared" si="19"/>
        <v/>
      </c>
    </row>
    <row r="268" spans="7:10" x14ac:dyDescent="0.25">
      <c r="G268" t="str">
        <f>IFERROR(IF(D268="Mayorista",IF(VLOOKUP(E268,'04_PRODUCTOS'!B:F,5,FALSE)="",VLOOKUP(E268,'04_PRODUCTOS'!B:E,4,FALSE),VLOOKUP(E268,'04_PRODUCTOS'!B:F,5,FALSE)),IF(D268="Especial",IF(VLOOKUP(E268,'04_PRODUCTOS'!B:G,6,FALSE)="",VLOOKUP(E268,'04_PRODUCTOS'!B:E,4,FALSE),VLOOKUP(E268,'04_PRODUCTOS'!B:G,6,FALSE)),VLOOKUP(E268,'04_PRODUCTOS'!B:E,4,FALSE))),"")</f>
        <v/>
      </c>
      <c r="H268" t="str">
        <f t="shared" si="18"/>
        <v/>
      </c>
      <c r="I268" t="str">
        <f>IFERROR(H268-(F268*VLOOKUP(E268,'04_PRODUCTOS'!B:D,3,FALSE)),"")</f>
        <v/>
      </c>
      <c r="J268" t="str">
        <f t="shared" si="19"/>
        <v/>
      </c>
    </row>
    <row r="269" spans="7:10" x14ac:dyDescent="0.25">
      <c r="G269" t="str">
        <f>IFERROR(IF(D269="Mayorista",IF(VLOOKUP(E269,'04_PRODUCTOS'!B:F,5,FALSE)="",VLOOKUP(E269,'04_PRODUCTOS'!B:E,4,FALSE),VLOOKUP(E269,'04_PRODUCTOS'!B:F,5,FALSE)),IF(D269="Especial",IF(VLOOKUP(E269,'04_PRODUCTOS'!B:G,6,FALSE)="",VLOOKUP(E269,'04_PRODUCTOS'!B:E,4,FALSE),VLOOKUP(E269,'04_PRODUCTOS'!B:G,6,FALSE)),VLOOKUP(E269,'04_PRODUCTOS'!B:E,4,FALSE))),"")</f>
        <v/>
      </c>
      <c r="H269" t="str">
        <f t="shared" si="18"/>
        <v/>
      </c>
      <c r="I269" t="str">
        <f>IFERROR(H269-(F269*VLOOKUP(E269,'04_PRODUCTOS'!B:D,3,FALSE)),"")</f>
        <v/>
      </c>
      <c r="J269" t="str">
        <f t="shared" si="19"/>
        <v/>
      </c>
    </row>
    <row r="270" spans="7:10" x14ac:dyDescent="0.25">
      <c r="G270" t="str">
        <f>IFERROR(IF(D270="Mayorista",IF(VLOOKUP(E270,'04_PRODUCTOS'!B:F,5,FALSE)="",VLOOKUP(E270,'04_PRODUCTOS'!B:E,4,FALSE),VLOOKUP(E270,'04_PRODUCTOS'!B:F,5,FALSE)),IF(D270="Especial",IF(VLOOKUP(E270,'04_PRODUCTOS'!B:G,6,FALSE)="",VLOOKUP(E270,'04_PRODUCTOS'!B:E,4,FALSE),VLOOKUP(E270,'04_PRODUCTOS'!B:G,6,FALSE)),VLOOKUP(E270,'04_PRODUCTOS'!B:E,4,FALSE))),"")</f>
        <v/>
      </c>
      <c r="H270" t="str">
        <f t="shared" si="18"/>
        <v/>
      </c>
      <c r="I270" t="str">
        <f>IFERROR(H270-(F270*VLOOKUP(E270,'04_PRODUCTOS'!B:D,3,FALSE)),"")</f>
        <v/>
      </c>
      <c r="J270" t="str">
        <f t="shared" si="19"/>
        <v/>
      </c>
    </row>
    <row r="271" spans="7:10" x14ac:dyDescent="0.25">
      <c r="G271" t="str">
        <f>IFERROR(IF(D271="Mayorista",IF(VLOOKUP(E271,'04_PRODUCTOS'!B:F,5,FALSE)="",VLOOKUP(E271,'04_PRODUCTOS'!B:E,4,FALSE),VLOOKUP(E271,'04_PRODUCTOS'!B:F,5,FALSE)),IF(D271="Especial",IF(VLOOKUP(E271,'04_PRODUCTOS'!B:G,6,FALSE)="",VLOOKUP(E271,'04_PRODUCTOS'!B:E,4,FALSE),VLOOKUP(E271,'04_PRODUCTOS'!B:G,6,FALSE)),VLOOKUP(E271,'04_PRODUCTOS'!B:E,4,FALSE))),"")</f>
        <v/>
      </c>
      <c r="H271" t="str">
        <f t="shared" si="18"/>
        <v/>
      </c>
      <c r="I271" t="str">
        <f>IFERROR(H271-(F271*VLOOKUP(E271,'04_PRODUCTOS'!B:D,3,FALSE)),"")</f>
        <v/>
      </c>
      <c r="J271" t="str">
        <f t="shared" si="19"/>
        <v/>
      </c>
    </row>
    <row r="272" spans="7:10" x14ac:dyDescent="0.25">
      <c r="G272" t="str">
        <f>IFERROR(IF(D272="Mayorista",IF(VLOOKUP(E272,'04_PRODUCTOS'!B:F,5,FALSE)="",VLOOKUP(E272,'04_PRODUCTOS'!B:E,4,FALSE),VLOOKUP(E272,'04_PRODUCTOS'!B:F,5,FALSE)),IF(D272="Especial",IF(VLOOKUP(E272,'04_PRODUCTOS'!B:G,6,FALSE)="",VLOOKUP(E272,'04_PRODUCTOS'!B:E,4,FALSE),VLOOKUP(E272,'04_PRODUCTOS'!B:G,6,FALSE)),VLOOKUP(E272,'04_PRODUCTOS'!B:E,4,FALSE))),"")</f>
        <v/>
      </c>
      <c r="H272" t="str">
        <f t="shared" si="18"/>
        <v/>
      </c>
      <c r="I272" t="str">
        <f>IFERROR(H272-(F272*VLOOKUP(E272,'04_PRODUCTOS'!B:D,3,FALSE)),"")</f>
        <v/>
      </c>
      <c r="J272" t="str">
        <f t="shared" si="19"/>
        <v/>
      </c>
    </row>
    <row r="273" spans="7:10" x14ac:dyDescent="0.25">
      <c r="G273" t="str">
        <f>IFERROR(IF(D273="Mayorista",IF(VLOOKUP(E273,'04_PRODUCTOS'!B:F,5,FALSE)="",VLOOKUP(E273,'04_PRODUCTOS'!B:E,4,FALSE),VLOOKUP(E273,'04_PRODUCTOS'!B:F,5,FALSE)),IF(D273="Especial",IF(VLOOKUP(E273,'04_PRODUCTOS'!B:G,6,FALSE)="",VLOOKUP(E273,'04_PRODUCTOS'!B:E,4,FALSE),VLOOKUP(E273,'04_PRODUCTOS'!B:G,6,FALSE)),VLOOKUP(E273,'04_PRODUCTOS'!B:E,4,FALSE))),"")</f>
        <v/>
      </c>
      <c r="H273" t="str">
        <f t="shared" si="18"/>
        <v/>
      </c>
      <c r="I273" t="str">
        <f>IFERROR(H273-(F273*VLOOKUP(E273,'04_PRODUCTOS'!B:D,3,FALSE)),"")</f>
        <v/>
      </c>
      <c r="J273" t="str">
        <f t="shared" si="19"/>
        <v/>
      </c>
    </row>
    <row r="274" spans="7:10" x14ac:dyDescent="0.25">
      <c r="G274" t="str">
        <f>IFERROR(IF(D274="Mayorista",IF(VLOOKUP(E274,'04_PRODUCTOS'!B:F,5,FALSE)="",VLOOKUP(E274,'04_PRODUCTOS'!B:E,4,FALSE),VLOOKUP(E274,'04_PRODUCTOS'!B:F,5,FALSE)),IF(D274="Especial",IF(VLOOKUP(E274,'04_PRODUCTOS'!B:G,6,FALSE)="",VLOOKUP(E274,'04_PRODUCTOS'!B:E,4,FALSE),VLOOKUP(E274,'04_PRODUCTOS'!B:G,6,FALSE)),VLOOKUP(E274,'04_PRODUCTOS'!B:E,4,FALSE))),"")</f>
        <v/>
      </c>
      <c r="H274" t="str">
        <f t="shared" si="18"/>
        <v/>
      </c>
      <c r="I274" t="str">
        <f>IFERROR(H274-(F274*VLOOKUP(E274,'04_PRODUCTOS'!B:D,3,FALSE)),"")</f>
        <v/>
      </c>
      <c r="J274" t="str">
        <f t="shared" si="19"/>
        <v/>
      </c>
    </row>
    <row r="275" spans="7:10" x14ac:dyDescent="0.25">
      <c r="G275" t="str">
        <f>IFERROR(IF(D275="Mayorista",IF(VLOOKUP(E275,'04_PRODUCTOS'!B:F,5,FALSE)="",VLOOKUP(E275,'04_PRODUCTOS'!B:E,4,FALSE),VLOOKUP(E275,'04_PRODUCTOS'!B:F,5,FALSE)),IF(D275="Especial",IF(VLOOKUP(E275,'04_PRODUCTOS'!B:G,6,FALSE)="",VLOOKUP(E275,'04_PRODUCTOS'!B:E,4,FALSE),VLOOKUP(E275,'04_PRODUCTOS'!B:G,6,FALSE)),VLOOKUP(E275,'04_PRODUCTOS'!B:E,4,FALSE))),"")</f>
        <v/>
      </c>
      <c r="H275" t="str">
        <f t="shared" si="18"/>
        <v/>
      </c>
      <c r="I275" t="str">
        <f>IFERROR(H275-(F275*VLOOKUP(E275,'04_PRODUCTOS'!B:D,3,FALSE)),"")</f>
        <v/>
      </c>
      <c r="J275" t="str">
        <f t="shared" si="19"/>
        <v/>
      </c>
    </row>
    <row r="276" spans="7:10" x14ac:dyDescent="0.25">
      <c r="G276" t="str">
        <f>IFERROR(IF(D276="Mayorista",IF(VLOOKUP(E276,'04_PRODUCTOS'!B:F,5,FALSE)="",VLOOKUP(E276,'04_PRODUCTOS'!B:E,4,FALSE),VLOOKUP(E276,'04_PRODUCTOS'!B:F,5,FALSE)),IF(D276="Especial",IF(VLOOKUP(E276,'04_PRODUCTOS'!B:G,6,FALSE)="",VLOOKUP(E276,'04_PRODUCTOS'!B:E,4,FALSE),VLOOKUP(E276,'04_PRODUCTOS'!B:G,6,FALSE)),VLOOKUP(E276,'04_PRODUCTOS'!B:E,4,FALSE))),"")</f>
        <v/>
      </c>
      <c r="H276" t="str">
        <f t="shared" si="18"/>
        <v/>
      </c>
      <c r="I276" t="str">
        <f>IFERROR(H276-(F276*VLOOKUP(E276,'04_PRODUCTOS'!B:D,3,FALSE)),"")</f>
        <v/>
      </c>
      <c r="J276" t="str">
        <f t="shared" si="19"/>
        <v/>
      </c>
    </row>
    <row r="277" spans="7:10" x14ac:dyDescent="0.25">
      <c r="G277" t="str">
        <f>IFERROR(IF(D277="Mayorista",IF(VLOOKUP(E277,'04_PRODUCTOS'!B:F,5,FALSE)="",VLOOKUP(E277,'04_PRODUCTOS'!B:E,4,FALSE),VLOOKUP(E277,'04_PRODUCTOS'!B:F,5,FALSE)),IF(D277="Especial",IF(VLOOKUP(E277,'04_PRODUCTOS'!B:G,6,FALSE)="",VLOOKUP(E277,'04_PRODUCTOS'!B:E,4,FALSE),VLOOKUP(E277,'04_PRODUCTOS'!B:G,6,FALSE)),VLOOKUP(E277,'04_PRODUCTOS'!B:E,4,FALSE))),"")</f>
        <v/>
      </c>
      <c r="H277" t="str">
        <f t="shared" si="18"/>
        <v/>
      </c>
      <c r="I277" t="str">
        <f>IFERROR(H277-(F277*VLOOKUP(E277,'04_PRODUCTOS'!B:D,3,FALSE)),"")</f>
        <v/>
      </c>
      <c r="J277" t="str">
        <f t="shared" si="19"/>
        <v/>
      </c>
    </row>
    <row r="278" spans="7:10" x14ac:dyDescent="0.25">
      <c r="G278" t="str">
        <f>IFERROR(IF(D278="Mayorista",IF(VLOOKUP(E278,'04_PRODUCTOS'!B:F,5,FALSE)="",VLOOKUP(E278,'04_PRODUCTOS'!B:E,4,FALSE),VLOOKUP(E278,'04_PRODUCTOS'!B:F,5,FALSE)),IF(D278="Especial",IF(VLOOKUP(E278,'04_PRODUCTOS'!B:G,6,FALSE)="",VLOOKUP(E278,'04_PRODUCTOS'!B:E,4,FALSE),VLOOKUP(E278,'04_PRODUCTOS'!B:G,6,FALSE)),VLOOKUP(E278,'04_PRODUCTOS'!B:E,4,FALSE))),"")</f>
        <v/>
      </c>
      <c r="H278" t="str">
        <f t="shared" si="18"/>
        <v/>
      </c>
      <c r="I278" t="str">
        <f>IFERROR(H278-(F278*VLOOKUP(E278,'04_PRODUCTOS'!B:D,3,FALSE)),"")</f>
        <v/>
      </c>
      <c r="J278" t="str">
        <f t="shared" si="19"/>
        <v/>
      </c>
    </row>
    <row r="279" spans="7:10" x14ac:dyDescent="0.25">
      <c r="G279" t="str">
        <f>IFERROR(IF(D279="Mayorista",IF(VLOOKUP(E279,'04_PRODUCTOS'!B:F,5,FALSE)="",VLOOKUP(E279,'04_PRODUCTOS'!B:E,4,FALSE),VLOOKUP(E279,'04_PRODUCTOS'!B:F,5,FALSE)),IF(D279="Especial",IF(VLOOKUP(E279,'04_PRODUCTOS'!B:G,6,FALSE)="",VLOOKUP(E279,'04_PRODUCTOS'!B:E,4,FALSE),VLOOKUP(E279,'04_PRODUCTOS'!B:G,6,FALSE)),VLOOKUP(E279,'04_PRODUCTOS'!B:E,4,FALSE))),"")</f>
        <v/>
      </c>
      <c r="H279" t="str">
        <f t="shared" si="18"/>
        <v/>
      </c>
      <c r="I279" t="str">
        <f>IFERROR(H279-(F279*VLOOKUP(E279,'04_PRODUCTOS'!B:D,3,FALSE)),"")</f>
        <v/>
      </c>
      <c r="J279" t="str">
        <f t="shared" si="19"/>
        <v/>
      </c>
    </row>
    <row r="280" spans="7:10" x14ac:dyDescent="0.25">
      <c r="G280" t="str">
        <f>IFERROR(IF(D280="Mayorista",IF(VLOOKUP(E280,'04_PRODUCTOS'!B:F,5,FALSE)="",VLOOKUP(E280,'04_PRODUCTOS'!B:E,4,FALSE),VLOOKUP(E280,'04_PRODUCTOS'!B:F,5,FALSE)),IF(D280="Especial",IF(VLOOKUP(E280,'04_PRODUCTOS'!B:G,6,FALSE)="",VLOOKUP(E280,'04_PRODUCTOS'!B:E,4,FALSE),VLOOKUP(E280,'04_PRODUCTOS'!B:G,6,FALSE)),VLOOKUP(E280,'04_PRODUCTOS'!B:E,4,FALSE))),"")</f>
        <v/>
      </c>
      <c r="H280" t="str">
        <f t="shared" si="18"/>
        <v/>
      </c>
      <c r="I280" t="str">
        <f>IFERROR(H280-(F280*VLOOKUP(E280,'04_PRODUCTOS'!B:D,3,FALSE)),"")</f>
        <v/>
      </c>
      <c r="J280" t="str">
        <f t="shared" si="19"/>
        <v/>
      </c>
    </row>
    <row r="281" spans="7:10" x14ac:dyDescent="0.25">
      <c r="G281" t="str">
        <f>IFERROR(IF(D281="Mayorista",IF(VLOOKUP(E281,'04_PRODUCTOS'!B:F,5,FALSE)="",VLOOKUP(E281,'04_PRODUCTOS'!B:E,4,FALSE),VLOOKUP(E281,'04_PRODUCTOS'!B:F,5,FALSE)),IF(D281="Especial",IF(VLOOKUP(E281,'04_PRODUCTOS'!B:G,6,FALSE)="",VLOOKUP(E281,'04_PRODUCTOS'!B:E,4,FALSE),VLOOKUP(E281,'04_PRODUCTOS'!B:G,6,FALSE)),VLOOKUP(E281,'04_PRODUCTOS'!B:E,4,FALSE))),"")</f>
        <v/>
      </c>
      <c r="H281" t="str">
        <f t="shared" si="18"/>
        <v/>
      </c>
      <c r="I281" t="str">
        <f>IFERROR(H281-(F281*VLOOKUP(E281,'04_PRODUCTOS'!B:D,3,FALSE)),"")</f>
        <v/>
      </c>
      <c r="J281" t="str">
        <f t="shared" si="19"/>
        <v/>
      </c>
    </row>
    <row r="282" spans="7:10" x14ac:dyDescent="0.25">
      <c r="G282" t="str">
        <f>IFERROR(IF(D282="Mayorista",IF(VLOOKUP(E282,'04_PRODUCTOS'!B:F,5,FALSE)="",VLOOKUP(E282,'04_PRODUCTOS'!B:E,4,FALSE),VLOOKUP(E282,'04_PRODUCTOS'!B:F,5,FALSE)),IF(D282="Especial",IF(VLOOKUP(E282,'04_PRODUCTOS'!B:G,6,FALSE)="",VLOOKUP(E282,'04_PRODUCTOS'!B:E,4,FALSE),VLOOKUP(E282,'04_PRODUCTOS'!B:G,6,FALSE)),VLOOKUP(E282,'04_PRODUCTOS'!B:E,4,FALSE))),"")</f>
        <v/>
      </c>
      <c r="H282" t="str">
        <f t="shared" si="18"/>
        <v/>
      </c>
      <c r="I282" t="str">
        <f>IFERROR(H282-(F282*VLOOKUP(E282,'04_PRODUCTOS'!B:D,3,FALSE)),"")</f>
        <v/>
      </c>
      <c r="J282" t="str">
        <f t="shared" si="19"/>
        <v/>
      </c>
    </row>
    <row r="283" spans="7:10" x14ac:dyDescent="0.25">
      <c r="G283" t="str">
        <f>IFERROR(IF(D283="Mayorista",IF(VLOOKUP(E283,'04_PRODUCTOS'!B:F,5,FALSE)="",VLOOKUP(E283,'04_PRODUCTOS'!B:E,4,FALSE),VLOOKUP(E283,'04_PRODUCTOS'!B:F,5,FALSE)),IF(D283="Especial",IF(VLOOKUP(E283,'04_PRODUCTOS'!B:G,6,FALSE)="",VLOOKUP(E283,'04_PRODUCTOS'!B:E,4,FALSE),VLOOKUP(E283,'04_PRODUCTOS'!B:G,6,FALSE)),VLOOKUP(E283,'04_PRODUCTOS'!B:E,4,FALSE))),"")</f>
        <v/>
      </c>
      <c r="H283" t="str">
        <f t="shared" si="18"/>
        <v/>
      </c>
      <c r="I283" t="str">
        <f>IFERROR(H283-(F283*VLOOKUP(E283,'04_PRODUCTOS'!B:D,3,FALSE)),"")</f>
        <v/>
      </c>
      <c r="J283" t="str">
        <f t="shared" si="19"/>
        <v/>
      </c>
    </row>
    <row r="284" spans="7:10" x14ac:dyDescent="0.25">
      <c r="G284" t="str">
        <f>IFERROR(IF(D284="Mayorista",IF(VLOOKUP(E284,'04_PRODUCTOS'!B:F,5,FALSE)="",VLOOKUP(E284,'04_PRODUCTOS'!B:E,4,FALSE),VLOOKUP(E284,'04_PRODUCTOS'!B:F,5,FALSE)),IF(D284="Especial",IF(VLOOKUP(E284,'04_PRODUCTOS'!B:G,6,FALSE)="",VLOOKUP(E284,'04_PRODUCTOS'!B:E,4,FALSE),VLOOKUP(E284,'04_PRODUCTOS'!B:G,6,FALSE)),VLOOKUP(E284,'04_PRODUCTOS'!B:E,4,FALSE))),"")</f>
        <v/>
      </c>
      <c r="H284" t="str">
        <f t="shared" si="18"/>
        <v/>
      </c>
      <c r="I284" t="str">
        <f>IFERROR(H284-(F284*VLOOKUP(E284,'04_PRODUCTOS'!B:D,3,FALSE)),"")</f>
        <v/>
      </c>
      <c r="J284" t="str">
        <f t="shared" si="19"/>
        <v/>
      </c>
    </row>
    <row r="285" spans="7:10" x14ac:dyDescent="0.25">
      <c r="G285" t="str">
        <f>IFERROR(IF(D285="Mayorista",IF(VLOOKUP(E285,'04_PRODUCTOS'!B:F,5,FALSE)="",VLOOKUP(E285,'04_PRODUCTOS'!B:E,4,FALSE),VLOOKUP(E285,'04_PRODUCTOS'!B:F,5,FALSE)),IF(D285="Especial",IF(VLOOKUP(E285,'04_PRODUCTOS'!B:G,6,FALSE)="",VLOOKUP(E285,'04_PRODUCTOS'!B:E,4,FALSE),VLOOKUP(E285,'04_PRODUCTOS'!B:G,6,FALSE)),VLOOKUP(E285,'04_PRODUCTOS'!B:E,4,FALSE))),"")</f>
        <v/>
      </c>
      <c r="H285" t="str">
        <f t="shared" si="18"/>
        <v/>
      </c>
      <c r="I285" t="str">
        <f>IFERROR(H285-(F285*VLOOKUP(E285,'04_PRODUCTOS'!B:D,3,FALSE)),"")</f>
        <v/>
      </c>
      <c r="J285" t="str">
        <f t="shared" si="19"/>
        <v/>
      </c>
    </row>
    <row r="286" spans="7:10" x14ac:dyDescent="0.25">
      <c r="G286" t="str">
        <f>IFERROR(IF(D286="Mayorista",IF(VLOOKUP(E286,'04_PRODUCTOS'!B:F,5,FALSE)="",VLOOKUP(E286,'04_PRODUCTOS'!B:E,4,FALSE),VLOOKUP(E286,'04_PRODUCTOS'!B:F,5,FALSE)),IF(D286="Especial",IF(VLOOKUP(E286,'04_PRODUCTOS'!B:G,6,FALSE)="",VLOOKUP(E286,'04_PRODUCTOS'!B:E,4,FALSE),VLOOKUP(E286,'04_PRODUCTOS'!B:G,6,FALSE)),VLOOKUP(E286,'04_PRODUCTOS'!B:E,4,FALSE))),"")</f>
        <v/>
      </c>
      <c r="H286" t="str">
        <f t="shared" si="18"/>
        <v/>
      </c>
      <c r="I286" t="str">
        <f>IFERROR(H286-(F286*VLOOKUP(E286,'04_PRODUCTOS'!B:D,3,FALSE)),"")</f>
        <v/>
      </c>
      <c r="J286" t="str">
        <f t="shared" si="19"/>
        <v/>
      </c>
    </row>
    <row r="287" spans="7:10" x14ac:dyDescent="0.25">
      <c r="G287" t="str">
        <f>IFERROR(IF(D287="Mayorista",IF(VLOOKUP(E287,'04_PRODUCTOS'!B:F,5,FALSE)="",VLOOKUP(E287,'04_PRODUCTOS'!B:E,4,FALSE),VLOOKUP(E287,'04_PRODUCTOS'!B:F,5,FALSE)),IF(D287="Especial",IF(VLOOKUP(E287,'04_PRODUCTOS'!B:G,6,FALSE)="",VLOOKUP(E287,'04_PRODUCTOS'!B:E,4,FALSE),VLOOKUP(E287,'04_PRODUCTOS'!B:G,6,FALSE)),VLOOKUP(E287,'04_PRODUCTOS'!B:E,4,FALSE))),"")</f>
        <v/>
      </c>
      <c r="H287" t="str">
        <f t="shared" si="18"/>
        <v/>
      </c>
      <c r="I287" t="str">
        <f>IFERROR(H287-(F287*VLOOKUP(E287,'04_PRODUCTOS'!B:D,3,FALSE)),"")</f>
        <v/>
      </c>
      <c r="J287" t="str">
        <f t="shared" si="19"/>
        <v/>
      </c>
    </row>
    <row r="288" spans="7:10" x14ac:dyDescent="0.25">
      <c r="G288" t="str">
        <f>IFERROR(IF(D288="Mayorista",IF(VLOOKUP(E288,'04_PRODUCTOS'!B:F,5,FALSE)="",VLOOKUP(E288,'04_PRODUCTOS'!B:E,4,FALSE),VLOOKUP(E288,'04_PRODUCTOS'!B:F,5,FALSE)),IF(D288="Especial",IF(VLOOKUP(E288,'04_PRODUCTOS'!B:G,6,FALSE)="",VLOOKUP(E288,'04_PRODUCTOS'!B:E,4,FALSE),VLOOKUP(E288,'04_PRODUCTOS'!B:G,6,FALSE)),VLOOKUP(E288,'04_PRODUCTOS'!B:E,4,FALSE))),"")</f>
        <v/>
      </c>
      <c r="H288" t="str">
        <f t="shared" si="18"/>
        <v/>
      </c>
      <c r="I288" t="str">
        <f>IFERROR(H288-(F288*VLOOKUP(E288,'04_PRODUCTOS'!B:D,3,FALSE)),"")</f>
        <v/>
      </c>
      <c r="J288" t="str">
        <f t="shared" si="19"/>
        <v/>
      </c>
    </row>
    <row r="289" spans="7:10" x14ac:dyDescent="0.25">
      <c r="G289" t="str">
        <f>IFERROR(IF(D289="Mayorista",IF(VLOOKUP(E289,'04_PRODUCTOS'!B:F,5,FALSE)="",VLOOKUP(E289,'04_PRODUCTOS'!B:E,4,FALSE),VLOOKUP(E289,'04_PRODUCTOS'!B:F,5,FALSE)),IF(D289="Especial",IF(VLOOKUP(E289,'04_PRODUCTOS'!B:G,6,FALSE)="",VLOOKUP(E289,'04_PRODUCTOS'!B:E,4,FALSE),VLOOKUP(E289,'04_PRODUCTOS'!B:G,6,FALSE)),VLOOKUP(E289,'04_PRODUCTOS'!B:E,4,FALSE))),"")</f>
        <v/>
      </c>
      <c r="H289" t="str">
        <f t="shared" si="18"/>
        <v/>
      </c>
      <c r="I289" t="str">
        <f>IFERROR(H289-(F289*VLOOKUP(E289,'04_PRODUCTOS'!B:D,3,FALSE)),"")</f>
        <v/>
      </c>
      <c r="J289" t="str">
        <f t="shared" si="19"/>
        <v/>
      </c>
    </row>
    <row r="290" spans="7:10" x14ac:dyDescent="0.25">
      <c r="G290" t="str">
        <f>IFERROR(IF(D290="Mayorista",IF(VLOOKUP(E290,'04_PRODUCTOS'!B:F,5,FALSE)="",VLOOKUP(E290,'04_PRODUCTOS'!B:E,4,FALSE),VLOOKUP(E290,'04_PRODUCTOS'!B:F,5,FALSE)),IF(D290="Especial",IF(VLOOKUP(E290,'04_PRODUCTOS'!B:G,6,FALSE)="",VLOOKUP(E290,'04_PRODUCTOS'!B:E,4,FALSE),VLOOKUP(E290,'04_PRODUCTOS'!B:G,6,FALSE)),VLOOKUP(E290,'04_PRODUCTOS'!B:E,4,FALSE))),"")</f>
        <v/>
      </c>
      <c r="H290" t="str">
        <f t="shared" si="18"/>
        <v/>
      </c>
      <c r="I290" t="str">
        <f>IFERROR(H290-(F290*VLOOKUP(E290,'04_PRODUCTOS'!B:D,3,FALSE)),"")</f>
        <v/>
      </c>
      <c r="J290" t="str">
        <f t="shared" si="19"/>
        <v/>
      </c>
    </row>
    <row r="291" spans="7:10" x14ac:dyDescent="0.25">
      <c r="G291" t="str">
        <f>IFERROR(IF(D291="Mayorista",IF(VLOOKUP(E291,'04_PRODUCTOS'!B:F,5,FALSE)="",VLOOKUP(E291,'04_PRODUCTOS'!B:E,4,FALSE),VLOOKUP(E291,'04_PRODUCTOS'!B:F,5,FALSE)),IF(D291="Especial",IF(VLOOKUP(E291,'04_PRODUCTOS'!B:G,6,FALSE)="",VLOOKUP(E291,'04_PRODUCTOS'!B:E,4,FALSE),VLOOKUP(E291,'04_PRODUCTOS'!B:G,6,FALSE)),VLOOKUP(E291,'04_PRODUCTOS'!B:E,4,FALSE))),"")</f>
        <v/>
      </c>
      <c r="H291" t="str">
        <f t="shared" si="18"/>
        <v/>
      </c>
      <c r="I291" t="str">
        <f>IFERROR(H291-(F291*VLOOKUP(E291,'04_PRODUCTOS'!B:D,3,FALSE)),"")</f>
        <v/>
      </c>
      <c r="J291" t="str">
        <f t="shared" si="19"/>
        <v/>
      </c>
    </row>
    <row r="292" spans="7:10" x14ac:dyDescent="0.25">
      <c r="G292" t="str">
        <f>IFERROR(IF(D292="Mayorista",IF(VLOOKUP(E292,'04_PRODUCTOS'!B:F,5,FALSE)="",VLOOKUP(E292,'04_PRODUCTOS'!B:E,4,FALSE),VLOOKUP(E292,'04_PRODUCTOS'!B:F,5,FALSE)),IF(D292="Especial",IF(VLOOKUP(E292,'04_PRODUCTOS'!B:G,6,FALSE)="",VLOOKUP(E292,'04_PRODUCTOS'!B:E,4,FALSE),VLOOKUP(E292,'04_PRODUCTOS'!B:G,6,FALSE)),VLOOKUP(E292,'04_PRODUCTOS'!B:E,4,FALSE))),"")</f>
        <v/>
      </c>
      <c r="H292" t="str">
        <f t="shared" si="18"/>
        <v/>
      </c>
      <c r="I292" t="str">
        <f>IFERROR(H292-(F292*VLOOKUP(E292,'04_PRODUCTOS'!B:D,3,FALSE)),"")</f>
        <v/>
      </c>
      <c r="J292" t="str">
        <f t="shared" si="19"/>
        <v/>
      </c>
    </row>
    <row r="293" spans="7:10" x14ac:dyDescent="0.25">
      <c r="G293" t="str">
        <f>IFERROR(IF(D293="Mayorista",IF(VLOOKUP(E293,'04_PRODUCTOS'!B:F,5,FALSE)="",VLOOKUP(E293,'04_PRODUCTOS'!B:E,4,FALSE),VLOOKUP(E293,'04_PRODUCTOS'!B:F,5,FALSE)),IF(D293="Especial",IF(VLOOKUP(E293,'04_PRODUCTOS'!B:G,6,FALSE)="",VLOOKUP(E293,'04_PRODUCTOS'!B:E,4,FALSE),VLOOKUP(E293,'04_PRODUCTOS'!B:G,6,FALSE)),VLOOKUP(E293,'04_PRODUCTOS'!B:E,4,FALSE))),"")</f>
        <v/>
      </c>
      <c r="H293" t="str">
        <f t="shared" si="18"/>
        <v/>
      </c>
      <c r="I293" t="str">
        <f>IFERROR(H293-(F293*VLOOKUP(E293,'04_PRODUCTOS'!B:D,3,FALSE)),"")</f>
        <v/>
      </c>
      <c r="J293" t="str">
        <f t="shared" si="19"/>
        <v/>
      </c>
    </row>
    <row r="294" spans="7:10" x14ac:dyDescent="0.25">
      <c r="G294" t="str">
        <f>IFERROR(IF(D294="Mayorista",IF(VLOOKUP(E294,'04_PRODUCTOS'!B:F,5,FALSE)="",VLOOKUP(E294,'04_PRODUCTOS'!B:E,4,FALSE),VLOOKUP(E294,'04_PRODUCTOS'!B:F,5,FALSE)),IF(D294="Especial",IF(VLOOKUP(E294,'04_PRODUCTOS'!B:G,6,FALSE)="",VLOOKUP(E294,'04_PRODUCTOS'!B:E,4,FALSE),VLOOKUP(E294,'04_PRODUCTOS'!B:G,6,FALSE)),VLOOKUP(E294,'04_PRODUCTOS'!B:E,4,FALSE))),"")</f>
        <v/>
      </c>
      <c r="H294" t="str">
        <f t="shared" si="18"/>
        <v/>
      </c>
      <c r="I294" t="str">
        <f>IFERROR(H294-(F294*VLOOKUP(E294,'04_PRODUCTOS'!B:D,3,FALSE)),"")</f>
        <v/>
      </c>
      <c r="J294" t="str">
        <f t="shared" si="19"/>
        <v/>
      </c>
    </row>
    <row r="295" spans="7:10" x14ac:dyDescent="0.25">
      <c r="G295" t="str">
        <f>IFERROR(IF(D295="Mayorista",IF(VLOOKUP(E295,'04_PRODUCTOS'!B:F,5,FALSE)="",VLOOKUP(E295,'04_PRODUCTOS'!B:E,4,FALSE),VLOOKUP(E295,'04_PRODUCTOS'!B:F,5,FALSE)),IF(D295="Especial",IF(VLOOKUP(E295,'04_PRODUCTOS'!B:G,6,FALSE)="",VLOOKUP(E295,'04_PRODUCTOS'!B:E,4,FALSE),VLOOKUP(E295,'04_PRODUCTOS'!B:G,6,FALSE)),VLOOKUP(E295,'04_PRODUCTOS'!B:E,4,FALSE))),"")</f>
        <v/>
      </c>
      <c r="H295" t="str">
        <f t="shared" si="18"/>
        <v/>
      </c>
      <c r="I295" t="str">
        <f>IFERROR(H295-(F295*VLOOKUP(E295,'04_PRODUCTOS'!B:D,3,FALSE)),"")</f>
        <v/>
      </c>
      <c r="J295" t="str">
        <f t="shared" si="19"/>
        <v/>
      </c>
    </row>
    <row r="296" spans="7:10" x14ac:dyDescent="0.25">
      <c r="G296" t="str">
        <f>IFERROR(IF(D296="Mayorista",IF(VLOOKUP(E296,'04_PRODUCTOS'!B:F,5,FALSE)="",VLOOKUP(E296,'04_PRODUCTOS'!B:E,4,FALSE),VLOOKUP(E296,'04_PRODUCTOS'!B:F,5,FALSE)),IF(D296="Especial",IF(VLOOKUP(E296,'04_PRODUCTOS'!B:G,6,FALSE)="",VLOOKUP(E296,'04_PRODUCTOS'!B:E,4,FALSE),VLOOKUP(E296,'04_PRODUCTOS'!B:G,6,FALSE)),VLOOKUP(E296,'04_PRODUCTOS'!B:E,4,FALSE))),"")</f>
        <v/>
      </c>
      <c r="H296" t="str">
        <f t="shared" si="18"/>
        <v/>
      </c>
      <c r="I296" t="str">
        <f>IFERROR(H296-(F296*VLOOKUP(E296,'04_PRODUCTOS'!B:D,3,FALSE)),"")</f>
        <v/>
      </c>
      <c r="J296" t="str">
        <f t="shared" si="19"/>
        <v/>
      </c>
    </row>
    <row r="297" spans="7:10" x14ac:dyDescent="0.25">
      <c r="G297" t="str">
        <f>IFERROR(IF(D297="Mayorista",IF(VLOOKUP(E297,'04_PRODUCTOS'!B:F,5,FALSE)="",VLOOKUP(E297,'04_PRODUCTOS'!B:E,4,FALSE),VLOOKUP(E297,'04_PRODUCTOS'!B:F,5,FALSE)),IF(D297="Especial",IF(VLOOKUP(E297,'04_PRODUCTOS'!B:G,6,FALSE)="",VLOOKUP(E297,'04_PRODUCTOS'!B:E,4,FALSE),VLOOKUP(E297,'04_PRODUCTOS'!B:G,6,FALSE)),VLOOKUP(E297,'04_PRODUCTOS'!B:E,4,FALSE))),"")</f>
        <v/>
      </c>
      <c r="H297" t="str">
        <f t="shared" si="18"/>
        <v/>
      </c>
      <c r="I297" t="str">
        <f>IFERROR(H297-(F297*VLOOKUP(E297,'04_PRODUCTOS'!B:D,3,FALSE)),"")</f>
        <v/>
      </c>
      <c r="J297" t="str">
        <f t="shared" si="19"/>
        <v/>
      </c>
    </row>
    <row r="298" spans="7:10" x14ac:dyDescent="0.25">
      <c r="G298" t="str">
        <f>IFERROR(IF(D298="Mayorista",IF(VLOOKUP(E298,'04_PRODUCTOS'!B:F,5,FALSE)="",VLOOKUP(E298,'04_PRODUCTOS'!B:E,4,FALSE),VLOOKUP(E298,'04_PRODUCTOS'!B:F,5,FALSE)),IF(D298="Especial",IF(VLOOKUP(E298,'04_PRODUCTOS'!B:G,6,FALSE)="",VLOOKUP(E298,'04_PRODUCTOS'!B:E,4,FALSE),VLOOKUP(E298,'04_PRODUCTOS'!B:G,6,FALSE)),VLOOKUP(E298,'04_PRODUCTOS'!B:E,4,FALSE))),"")</f>
        <v/>
      </c>
      <c r="H298" t="str">
        <f t="shared" si="18"/>
        <v/>
      </c>
      <c r="I298" t="str">
        <f>IFERROR(H298-(F298*VLOOKUP(E298,'04_PRODUCTOS'!B:D,3,FALSE)),"")</f>
        <v/>
      </c>
      <c r="J298" t="str">
        <f t="shared" si="19"/>
        <v/>
      </c>
    </row>
    <row r="299" spans="7:10" x14ac:dyDescent="0.25">
      <c r="G299" t="str">
        <f>IFERROR(IF(D299="Mayorista",IF(VLOOKUP(E299,'04_PRODUCTOS'!B:F,5,FALSE)="",VLOOKUP(E299,'04_PRODUCTOS'!B:E,4,FALSE),VLOOKUP(E299,'04_PRODUCTOS'!B:F,5,FALSE)),IF(D299="Especial",IF(VLOOKUP(E299,'04_PRODUCTOS'!B:G,6,FALSE)="",VLOOKUP(E299,'04_PRODUCTOS'!B:E,4,FALSE),VLOOKUP(E299,'04_PRODUCTOS'!B:G,6,FALSE)),VLOOKUP(E299,'04_PRODUCTOS'!B:E,4,FALSE))),"")</f>
        <v/>
      </c>
      <c r="H299" t="str">
        <f t="shared" si="18"/>
        <v/>
      </c>
      <c r="I299" t="str">
        <f>IFERROR(H299-(F299*VLOOKUP(E299,'04_PRODUCTOS'!B:D,3,FALSE)),"")</f>
        <v/>
      </c>
      <c r="J299" t="str">
        <f t="shared" si="19"/>
        <v/>
      </c>
    </row>
    <row r="300" spans="7:10" x14ac:dyDescent="0.25">
      <c r="G300" t="str">
        <f>IFERROR(IF(D300="Mayorista",IF(VLOOKUP(E300,'04_PRODUCTOS'!B:F,5,FALSE)="",VLOOKUP(E300,'04_PRODUCTOS'!B:E,4,FALSE),VLOOKUP(E300,'04_PRODUCTOS'!B:F,5,FALSE)),IF(D300="Especial",IF(VLOOKUP(E300,'04_PRODUCTOS'!B:G,6,FALSE)="",VLOOKUP(E300,'04_PRODUCTOS'!B:E,4,FALSE),VLOOKUP(E300,'04_PRODUCTOS'!B:G,6,FALSE)),VLOOKUP(E300,'04_PRODUCTOS'!B:E,4,FALSE))),"")</f>
        <v/>
      </c>
      <c r="H300" t="str">
        <f t="shared" si="18"/>
        <v/>
      </c>
      <c r="I300" t="str">
        <f>IFERROR(H300-(F300*VLOOKUP(E300,'04_PRODUCTOS'!B:D,3,FALSE)),"")</f>
        <v/>
      </c>
      <c r="J300" t="str">
        <f t="shared" si="19"/>
        <v/>
      </c>
    </row>
    <row r="301" spans="7:10" x14ac:dyDescent="0.25">
      <c r="G301" t="str">
        <f>IFERROR(IF(D301="Mayorista",IF(VLOOKUP(E301,'04_PRODUCTOS'!B:F,5,FALSE)="",VLOOKUP(E301,'04_PRODUCTOS'!B:E,4,FALSE),VLOOKUP(E301,'04_PRODUCTOS'!B:F,5,FALSE)),IF(D301="Especial",IF(VLOOKUP(E301,'04_PRODUCTOS'!B:G,6,FALSE)="",VLOOKUP(E301,'04_PRODUCTOS'!B:E,4,FALSE),VLOOKUP(E301,'04_PRODUCTOS'!B:G,6,FALSE)),VLOOKUP(E301,'04_PRODUCTOS'!B:E,4,FALSE))),"")</f>
        <v/>
      </c>
      <c r="H301" t="str">
        <f t="shared" si="18"/>
        <v/>
      </c>
      <c r="I301" t="str">
        <f>IFERROR(H301-(F301*VLOOKUP(E301,'04_PRODUCTOS'!B:D,3,FALSE)),"")</f>
        <v/>
      </c>
      <c r="J301" t="str">
        <f t="shared" si="19"/>
        <v/>
      </c>
    </row>
    <row r="302" spans="7:10" x14ac:dyDescent="0.25">
      <c r="G302" t="str">
        <f>IFERROR(IF(D302="Mayorista",IF(VLOOKUP(E302,'04_PRODUCTOS'!B:F,5,FALSE)="",VLOOKUP(E302,'04_PRODUCTOS'!B:E,4,FALSE),VLOOKUP(E302,'04_PRODUCTOS'!B:F,5,FALSE)),IF(D302="Especial",IF(VLOOKUP(E302,'04_PRODUCTOS'!B:G,6,FALSE)="",VLOOKUP(E302,'04_PRODUCTOS'!B:E,4,FALSE),VLOOKUP(E302,'04_PRODUCTOS'!B:G,6,FALSE)),VLOOKUP(E302,'04_PRODUCTOS'!B:E,4,FALSE))),"")</f>
        <v/>
      </c>
      <c r="H302" t="str">
        <f t="shared" si="18"/>
        <v/>
      </c>
      <c r="I302" t="str">
        <f>IFERROR(H302-(F302*VLOOKUP(E302,'04_PRODUCTOS'!B:D,3,FALSE)),"")</f>
        <v/>
      </c>
      <c r="J302" t="str">
        <f t="shared" si="19"/>
        <v/>
      </c>
    </row>
    <row r="303" spans="7:10" x14ac:dyDescent="0.25">
      <c r="G303" t="str">
        <f>IFERROR(IF(D303="Mayorista",IF(VLOOKUP(E303,'04_PRODUCTOS'!B:F,5,FALSE)="",VLOOKUP(E303,'04_PRODUCTOS'!B:E,4,FALSE),VLOOKUP(E303,'04_PRODUCTOS'!B:F,5,FALSE)),IF(D303="Especial",IF(VLOOKUP(E303,'04_PRODUCTOS'!B:G,6,FALSE)="",VLOOKUP(E303,'04_PRODUCTOS'!B:E,4,FALSE),VLOOKUP(E303,'04_PRODUCTOS'!B:G,6,FALSE)),VLOOKUP(E303,'04_PRODUCTOS'!B:E,4,FALSE))),"")</f>
        <v/>
      </c>
      <c r="H303" t="str">
        <f t="shared" si="18"/>
        <v/>
      </c>
      <c r="I303" t="str">
        <f>IFERROR(H303-(F303*VLOOKUP(E303,'04_PRODUCTOS'!B:D,3,FALSE)),"")</f>
        <v/>
      </c>
      <c r="J303" t="str">
        <f t="shared" si="19"/>
        <v/>
      </c>
    </row>
    <row r="304" spans="7:10" x14ac:dyDescent="0.25">
      <c r="G304" t="str">
        <f>IFERROR(IF(D304="Mayorista",IF(VLOOKUP(E304,'04_PRODUCTOS'!B:F,5,FALSE)="",VLOOKUP(E304,'04_PRODUCTOS'!B:E,4,FALSE),VLOOKUP(E304,'04_PRODUCTOS'!B:F,5,FALSE)),IF(D304="Especial",IF(VLOOKUP(E304,'04_PRODUCTOS'!B:G,6,FALSE)="",VLOOKUP(E304,'04_PRODUCTOS'!B:E,4,FALSE),VLOOKUP(E304,'04_PRODUCTOS'!B:G,6,FALSE)),VLOOKUP(E304,'04_PRODUCTOS'!B:E,4,FALSE))),"")</f>
        <v/>
      </c>
      <c r="H304" t="str">
        <f t="shared" si="18"/>
        <v/>
      </c>
      <c r="I304" t="str">
        <f>IFERROR(H304-(F304*VLOOKUP(E304,'04_PRODUCTOS'!B:D,3,FALSE)),"")</f>
        <v/>
      </c>
      <c r="J304" t="str">
        <f t="shared" si="19"/>
        <v/>
      </c>
    </row>
    <row r="305" spans="7:10" x14ac:dyDescent="0.25">
      <c r="G305" t="str">
        <f>IFERROR(IF(D305="Mayorista",IF(VLOOKUP(E305,'04_PRODUCTOS'!B:F,5,FALSE)="",VLOOKUP(E305,'04_PRODUCTOS'!B:E,4,FALSE),VLOOKUP(E305,'04_PRODUCTOS'!B:F,5,FALSE)),IF(D305="Especial",IF(VLOOKUP(E305,'04_PRODUCTOS'!B:G,6,FALSE)="",VLOOKUP(E305,'04_PRODUCTOS'!B:E,4,FALSE),VLOOKUP(E305,'04_PRODUCTOS'!B:G,6,FALSE)),VLOOKUP(E305,'04_PRODUCTOS'!B:E,4,FALSE))),"")</f>
        <v/>
      </c>
      <c r="H305" t="str">
        <f t="shared" si="18"/>
        <v/>
      </c>
      <c r="I305" t="str">
        <f>IFERROR(H305-(F305*VLOOKUP(E305,'04_PRODUCTOS'!B:D,3,FALSE)),"")</f>
        <v/>
      </c>
      <c r="J305" t="str">
        <f t="shared" si="19"/>
        <v/>
      </c>
    </row>
    <row r="306" spans="7:10" x14ac:dyDescent="0.25">
      <c r="G306" t="str">
        <f>IFERROR(IF(D306="Mayorista",IF(VLOOKUP(E306,'04_PRODUCTOS'!B:F,5,FALSE)="",VLOOKUP(E306,'04_PRODUCTOS'!B:E,4,FALSE),VLOOKUP(E306,'04_PRODUCTOS'!B:F,5,FALSE)),IF(D306="Especial",IF(VLOOKUP(E306,'04_PRODUCTOS'!B:G,6,FALSE)="",VLOOKUP(E306,'04_PRODUCTOS'!B:E,4,FALSE),VLOOKUP(E306,'04_PRODUCTOS'!B:G,6,FALSE)),VLOOKUP(E306,'04_PRODUCTOS'!B:E,4,FALSE))),"")</f>
        <v/>
      </c>
      <c r="H306" t="str">
        <f t="shared" si="18"/>
        <v/>
      </c>
      <c r="I306" t="str">
        <f>IFERROR(H306-(F306*VLOOKUP(E306,'04_PRODUCTOS'!B:D,3,FALSE)),"")</f>
        <v/>
      </c>
      <c r="J306" t="str">
        <f t="shared" si="19"/>
        <v/>
      </c>
    </row>
    <row r="307" spans="7:10" x14ac:dyDescent="0.25">
      <c r="G307" t="str">
        <f>IFERROR(IF(D307="Mayorista",IF(VLOOKUP(E307,'04_PRODUCTOS'!B:F,5,FALSE)="",VLOOKUP(E307,'04_PRODUCTOS'!B:E,4,FALSE),VLOOKUP(E307,'04_PRODUCTOS'!B:F,5,FALSE)),IF(D307="Especial",IF(VLOOKUP(E307,'04_PRODUCTOS'!B:G,6,FALSE)="",VLOOKUP(E307,'04_PRODUCTOS'!B:E,4,FALSE),VLOOKUP(E307,'04_PRODUCTOS'!B:G,6,FALSE)),VLOOKUP(E307,'04_PRODUCTOS'!B:E,4,FALSE))),"")</f>
        <v/>
      </c>
      <c r="H307" t="str">
        <f t="shared" si="18"/>
        <v/>
      </c>
      <c r="I307" t="str">
        <f>IFERROR(H307-(F307*VLOOKUP(E307,'04_PRODUCTOS'!B:D,3,FALSE)),"")</f>
        <v/>
      </c>
      <c r="J307" t="str">
        <f t="shared" si="19"/>
        <v/>
      </c>
    </row>
    <row r="308" spans="7:10" x14ac:dyDescent="0.25">
      <c r="G308" t="str">
        <f>IFERROR(IF(D308="Mayorista",IF(VLOOKUP(E308,'04_PRODUCTOS'!B:F,5,FALSE)="",VLOOKUP(E308,'04_PRODUCTOS'!B:E,4,FALSE),VLOOKUP(E308,'04_PRODUCTOS'!B:F,5,FALSE)),IF(D308="Especial",IF(VLOOKUP(E308,'04_PRODUCTOS'!B:G,6,FALSE)="",VLOOKUP(E308,'04_PRODUCTOS'!B:E,4,FALSE),VLOOKUP(E308,'04_PRODUCTOS'!B:G,6,FALSE)),VLOOKUP(E308,'04_PRODUCTOS'!B:E,4,FALSE))),"")</f>
        <v/>
      </c>
      <c r="H308" t="str">
        <f t="shared" si="18"/>
        <v/>
      </c>
      <c r="I308" t="str">
        <f>IFERROR(H308-(F308*VLOOKUP(E308,'04_PRODUCTOS'!B:D,3,FALSE)),"")</f>
        <v/>
      </c>
      <c r="J308" t="str">
        <f t="shared" si="19"/>
        <v/>
      </c>
    </row>
    <row r="309" spans="7:10" x14ac:dyDescent="0.25">
      <c r="G309" t="str">
        <f>IFERROR(IF(D309="Mayorista",IF(VLOOKUP(E309,'04_PRODUCTOS'!B:F,5,FALSE)="",VLOOKUP(E309,'04_PRODUCTOS'!B:E,4,FALSE),VLOOKUP(E309,'04_PRODUCTOS'!B:F,5,FALSE)),IF(D309="Especial",IF(VLOOKUP(E309,'04_PRODUCTOS'!B:G,6,FALSE)="",VLOOKUP(E309,'04_PRODUCTOS'!B:E,4,FALSE),VLOOKUP(E309,'04_PRODUCTOS'!B:G,6,FALSE)),VLOOKUP(E309,'04_PRODUCTOS'!B:E,4,FALSE))),"")</f>
        <v/>
      </c>
      <c r="H309" t="str">
        <f t="shared" si="18"/>
        <v/>
      </c>
      <c r="I309" t="str">
        <f>IFERROR(H309-(F309*VLOOKUP(E309,'04_PRODUCTOS'!B:D,3,FALSE)),"")</f>
        <v/>
      </c>
      <c r="J309" t="str">
        <f t="shared" si="19"/>
        <v/>
      </c>
    </row>
    <row r="310" spans="7:10" x14ac:dyDescent="0.25">
      <c r="G310" t="str">
        <f>IFERROR(IF(D310="Mayorista",IF(VLOOKUP(E310,'04_PRODUCTOS'!B:F,5,FALSE)="",VLOOKUP(E310,'04_PRODUCTOS'!B:E,4,FALSE),VLOOKUP(E310,'04_PRODUCTOS'!B:F,5,FALSE)),IF(D310="Especial",IF(VLOOKUP(E310,'04_PRODUCTOS'!B:G,6,FALSE)="",VLOOKUP(E310,'04_PRODUCTOS'!B:E,4,FALSE),VLOOKUP(E310,'04_PRODUCTOS'!B:G,6,FALSE)),VLOOKUP(E310,'04_PRODUCTOS'!B:E,4,FALSE))),"")</f>
        <v/>
      </c>
      <c r="H310" t="str">
        <f t="shared" si="18"/>
        <v/>
      </c>
      <c r="I310" t="str">
        <f>IFERROR(H310-(F310*VLOOKUP(E310,'04_PRODUCTOS'!B:D,3,FALSE)),"")</f>
        <v/>
      </c>
      <c r="J310" t="str">
        <f t="shared" si="19"/>
        <v/>
      </c>
    </row>
    <row r="311" spans="7:10" x14ac:dyDescent="0.25">
      <c r="G311" t="str">
        <f>IFERROR(IF(D311="Mayorista",IF(VLOOKUP(E311,'04_PRODUCTOS'!B:F,5,FALSE)="",VLOOKUP(E311,'04_PRODUCTOS'!B:E,4,FALSE),VLOOKUP(E311,'04_PRODUCTOS'!B:F,5,FALSE)),IF(D311="Especial",IF(VLOOKUP(E311,'04_PRODUCTOS'!B:G,6,FALSE)="",VLOOKUP(E311,'04_PRODUCTOS'!B:E,4,FALSE),VLOOKUP(E311,'04_PRODUCTOS'!B:G,6,FALSE)),VLOOKUP(E311,'04_PRODUCTOS'!B:E,4,FALSE))),"")</f>
        <v/>
      </c>
      <c r="H311" t="str">
        <f t="shared" si="18"/>
        <v/>
      </c>
      <c r="I311" t="str">
        <f>IFERROR(H311-(F311*VLOOKUP(E311,'04_PRODUCTOS'!B:D,3,FALSE)),"")</f>
        <v/>
      </c>
      <c r="J311" t="str">
        <f t="shared" si="19"/>
        <v/>
      </c>
    </row>
    <row r="312" spans="7:10" x14ac:dyDescent="0.25">
      <c r="G312" t="str">
        <f>IFERROR(IF(D312="Mayorista",IF(VLOOKUP(E312,'04_PRODUCTOS'!B:F,5,FALSE)="",VLOOKUP(E312,'04_PRODUCTOS'!B:E,4,FALSE),VLOOKUP(E312,'04_PRODUCTOS'!B:F,5,FALSE)),IF(D312="Especial",IF(VLOOKUP(E312,'04_PRODUCTOS'!B:G,6,FALSE)="",VLOOKUP(E312,'04_PRODUCTOS'!B:E,4,FALSE),VLOOKUP(E312,'04_PRODUCTOS'!B:G,6,FALSE)),VLOOKUP(E312,'04_PRODUCTOS'!B:E,4,FALSE))),"")</f>
        <v/>
      </c>
      <c r="H312" t="str">
        <f t="shared" si="18"/>
        <v/>
      </c>
      <c r="I312" t="str">
        <f>IFERROR(H312-(F312*VLOOKUP(E312,'04_PRODUCTOS'!B:D,3,FALSE)),"")</f>
        <v/>
      </c>
      <c r="J312" t="str">
        <f t="shared" si="19"/>
        <v/>
      </c>
    </row>
    <row r="313" spans="7:10" x14ac:dyDescent="0.25">
      <c r="G313" t="str">
        <f>IFERROR(IF(D313="Mayorista",IF(VLOOKUP(E313,'04_PRODUCTOS'!B:F,5,FALSE)="",VLOOKUP(E313,'04_PRODUCTOS'!B:E,4,FALSE),VLOOKUP(E313,'04_PRODUCTOS'!B:F,5,FALSE)),IF(D313="Especial",IF(VLOOKUP(E313,'04_PRODUCTOS'!B:G,6,FALSE)="",VLOOKUP(E313,'04_PRODUCTOS'!B:E,4,FALSE),VLOOKUP(E313,'04_PRODUCTOS'!B:G,6,FALSE)),VLOOKUP(E313,'04_PRODUCTOS'!B:E,4,FALSE))),"")</f>
        <v/>
      </c>
      <c r="H313" t="str">
        <f t="shared" si="18"/>
        <v/>
      </c>
      <c r="I313" t="str">
        <f>IFERROR(H313-(F313*VLOOKUP(E313,'04_PRODUCTOS'!B:D,3,FALSE)),"")</f>
        <v/>
      </c>
      <c r="J313" t="str">
        <f t="shared" si="19"/>
        <v/>
      </c>
    </row>
    <row r="314" spans="7:10" x14ac:dyDescent="0.25">
      <c r="G314" t="str">
        <f>IFERROR(IF(D314="Mayorista",IF(VLOOKUP(E314,'04_PRODUCTOS'!B:F,5,FALSE)="",VLOOKUP(E314,'04_PRODUCTOS'!B:E,4,FALSE),VLOOKUP(E314,'04_PRODUCTOS'!B:F,5,FALSE)),IF(D314="Especial",IF(VLOOKUP(E314,'04_PRODUCTOS'!B:G,6,FALSE)="",VLOOKUP(E314,'04_PRODUCTOS'!B:E,4,FALSE),VLOOKUP(E314,'04_PRODUCTOS'!B:G,6,FALSE)),VLOOKUP(E314,'04_PRODUCTOS'!B:E,4,FALSE))),"")</f>
        <v/>
      </c>
      <c r="H314" t="str">
        <f t="shared" si="18"/>
        <v/>
      </c>
      <c r="I314" t="str">
        <f>IFERROR(H314-(F314*VLOOKUP(E314,'04_PRODUCTOS'!B:D,3,FALSE)),"")</f>
        <v/>
      </c>
      <c r="J314" t="str">
        <f t="shared" si="19"/>
        <v/>
      </c>
    </row>
    <row r="315" spans="7:10" x14ac:dyDescent="0.25">
      <c r="G315" t="str">
        <f>IFERROR(IF(D315="Mayorista",IF(VLOOKUP(E315,'04_PRODUCTOS'!B:F,5,FALSE)="",VLOOKUP(E315,'04_PRODUCTOS'!B:E,4,FALSE),VLOOKUP(E315,'04_PRODUCTOS'!B:F,5,FALSE)),IF(D315="Especial",IF(VLOOKUP(E315,'04_PRODUCTOS'!B:G,6,FALSE)="",VLOOKUP(E315,'04_PRODUCTOS'!B:E,4,FALSE),VLOOKUP(E315,'04_PRODUCTOS'!B:G,6,FALSE)),VLOOKUP(E315,'04_PRODUCTOS'!B:E,4,FALSE))),"")</f>
        <v/>
      </c>
      <c r="H315" t="str">
        <f t="shared" si="18"/>
        <v/>
      </c>
      <c r="I315" t="str">
        <f>IFERROR(H315-(F315*VLOOKUP(E315,'04_PRODUCTOS'!B:D,3,FALSE)),"")</f>
        <v/>
      </c>
      <c r="J315" t="str">
        <f t="shared" si="19"/>
        <v/>
      </c>
    </row>
    <row r="316" spans="7:10" x14ac:dyDescent="0.25">
      <c r="G316" t="str">
        <f>IFERROR(IF(D316="Mayorista",IF(VLOOKUP(E316,'04_PRODUCTOS'!B:F,5,FALSE)="",VLOOKUP(E316,'04_PRODUCTOS'!B:E,4,FALSE),VLOOKUP(E316,'04_PRODUCTOS'!B:F,5,FALSE)),IF(D316="Especial",IF(VLOOKUP(E316,'04_PRODUCTOS'!B:G,6,FALSE)="",VLOOKUP(E316,'04_PRODUCTOS'!B:E,4,FALSE),VLOOKUP(E316,'04_PRODUCTOS'!B:G,6,FALSE)),VLOOKUP(E316,'04_PRODUCTOS'!B:E,4,FALSE))),"")</f>
        <v/>
      </c>
      <c r="H316" t="str">
        <f t="shared" si="18"/>
        <v/>
      </c>
      <c r="I316" t="str">
        <f>IFERROR(H316-(F316*VLOOKUP(E316,'04_PRODUCTOS'!B:D,3,FALSE)),"")</f>
        <v/>
      </c>
      <c r="J316" t="str">
        <f t="shared" si="19"/>
        <v/>
      </c>
    </row>
    <row r="317" spans="7:10" x14ac:dyDescent="0.25">
      <c r="G317" t="str">
        <f>IFERROR(IF(D317="Mayorista",IF(VLOOKUP(E317,'04_PRODUCTOS'!B:F,5,FALSE)="",VLOOKUP(E317,'04_PRODUCTOS'!B:E,4,FALSE),VLOOKUP(E317,'04_PRODUCTOS'!B:F,5,FALSE)),IF(D317="Especial",IF(VLOOKUP(E317,'04_PRODUCTOS'!B:G,6,FALSE)="",VLOOKUP(E317,'04_PRODUCTOS'!B:E,4,FALSE),VLOOKUP(E317,'04_PRODUCTOS'!B:G,6,FALSE)),VLOOKUP(E317,'04_PRODUCTOS'!B:E,4,FALSE))),"")</f>
        <v/>
      </c>
      <c r="H317" t="str">
        <f t="shared" si="18"/>
        <v/>
      </c>
      <c r="I317" t="str">
        <f>IFERROR(H317-(F317*VLOOKUP(E317,'04_PRODUCTOS'!B:D,3,FALSE)),"")</f>
        <v/>
      </c>
      <c r="J317" t="str">
        <f t="shared" si="19"/>
        <v/>
      </c>
    </row>
    <row r="318" spans="7:10" x14ac:dyDescent="0.25">
      <c r="G318" t="str">
        <f>IFERROR(IF(D318="Mayorista",IF(VLOOKUP(E318,'04_PRODUCTOS'!B:F,5,FALSE)="",VLOOKUP(E318,'04_PRODUCTOS'!B:E,4,FALSE),VLOOKUP(E318,'04_PRODUCTOS'!B:F,5,FALSE)),IF(D318="Especial",IF(VLOOKUP(E318,'04_PRODUCTOS'!B:G,6,FALSE)="",VLOOKUP(E318,'04_PRODUCTOS'!B:E,4,FALSE),VLOOKUP(E318,'04_PRODUCTOS'!B:G,6,FALSE)),VLOOKUP(E318,'04_PRODUCTOS'!B:E,4,FALSE))),"")</f>
        <v/>
      </c>
      <c r="H318" t="str">
        <f t="shared" si="18"/>
        <v/>
      </c>
      <c r="I318" t="str">
        <f>IFERROR(H318-(F318*VLOOKUP(E318,'04_PRODUCTOS'!B:D,3,FALSE)),"")</f>
        <v/>
      </c>
      <c r="J318" t="str">
        <f t="shared" si="19"/>
        <v/>
      </c>
    </row>
    <row r="319" spans="7:10" x14ac:dyDescent="0.25">
      <c r="G319" t="str">
        <f>IFERROR(IF(D319="Mayorista",IF(VLOOKUP(E319,'04_PRODUCTOS'!B:F,5,FALSE)="",VLOOKUP(E319,'04_PRODUCTOS'!B:E,4,FALSE),VLOOKUP(E319,'04_PRODUCTOS'!B:F,5,FALSE)),IF(D319="Especial",IF(VLOOKUP(E319,'04_PRODUCTOS'!B:G,6,FALSE)="",VLOOKUP(E319,'04_PRODUCTOS'!B:E,4,FALSE),VLOOKUP(E319,'04_PRODUCTOS'!B:G,6,FALSE)),VLOOKUP(E319,'04_PRODUCTOS'!B:E,4,FALSE))),"")</f>
        <v/>
      </c>
      <c r="H319" t="str">
        <f t="shared" si="18"/>
        <v/>
      </c>
      <c r="I319" t="str">
        <f>IFERROR(H319-(F319*VLOOKUP(E319,'04_PRODUCTOS'!B:D,3,FALSE)),"")</f>
        <v/>
      </c>
      <c r="J319" t="str">
        <f t="shared" si="19"/>
        <v/>
      </c>
    </row>
    <row r="320" spans="7:10" x14ac:dyDescent="0.25">
      <c r="G320" t="str">
        <f>IFERROR(IF(D320="Mayorista",IF(VLOOKUP(E320,'04_PRODUCTOS'!B:F,5,FALSE)="",VLOOKUP(E320,'04_PRODUCTOS'!B:E,4,FALSE),VLOOKUP(E320,'04_PRODUCTOS'!B:F,5,FALSE)),IF(D320="Especial",IF(VLOOKUP(E320,'04_PRODUCTOS'!B:G,6,FALSE)="",VLOOKUP(E320,'04_PRODUCTOS'!B:E,4,FALSE),VLOOKUP(E320,'04_PRODUCTOS'!B:G,6,FALSE)),VLOOKUP(E320,'04_PRODUCTOS'!B:E,4,FALSE))),"")</f>
        <v/>
      </c>
      <c r="H320" t="str">
        <f t="shared" si="18"/>
        <v/>
      </c>
      <c r="I320" t="str">
        <f>IFERROR(H320-(F320*VLOOKUP(E320,'04_PRODUCTOS'!B:D,3,FALSE)),"")</f>
        <v/>
      </c>
      <c r="J320" t="str">
        <f t="shared" si="19"/>
        <v/>
      </c>
    </row>
    <row r="321" spans="7:10" x14ac:dyDescent="0.25">
      <c r="G321" t="str">
        <f>IFERROR(IF(D321="Mayorista",IF(VLOOKUP(E321,'04_PRODUCTOS'!B:F,5,FALSE)="",VLOOKUP(E321,'04_PRODUCTOS'!B:E,4,FALSE),VLOOKUP(E321,'04_PRODUCTOS'!B:F,5,FALSE)),IF(D321="Especial",IF(VLOOKUP(E321,'04_PRODUCTOS'!B:G,6,FALSE)="",VLOOKUP(E321,'04_PRODUCTOS'!B:E,4,FALSE),VLOOKUP(E321,'04_PRODUCTOS'!B:G,6,FALSE)),VLOOKUP(E321,'04_PRODUCTOS'!B:E,4,FALSE))),"")</f>
        <v/>
      </c>
      <c r="H321" t="str">
        <f t="shared" si="18"/>
        <v/>
      </c>
      <c r="I321" t="str">
        <f>IFERROR(H321-(F321*VLOOKUP(E321,'04_PRODUCTOS'!B:D,3,FALSE)),"")</f>
        <v/>
      </c>
      <c r="J321" t="str">
        <f t="shared" si="19"/>
        <v/>
      </c>
    </row>
    <row r="322" spans="7:10" x14ac:dyDescent="0.25">
      <c r="G322" t="str">
        <f>IFERROR(IF(D322="Mayorista",IF(VLOOKUP(E322,'04_PRODUCTOS'!B:F,5,FALSE)="",VLOOKUP(E322,'04_PRODUCTOS'!B:E,4,FALSE),VLOOKUP(E322,'04_PRODUCTOS'!B:F,5,FALSE)),IF(D322="Especial",IF(VLOOKUP(E322,'04_PRODUCTOS'!B:G,6,FALSE)="",VLOOKUP(E322,'04_PRODUCTOS'!B:E,4,FALSE),VLOOKUP(E322,'04_PRODUCTOS'!B:G,6,FALSE)),VLOOKUP(E322,'04_PRODUCTOS'!B:E,4,FALSE))),"")</f>
        <v/>
      </c>
      <c r="H322" t="str">
        <f t="shared" ref="H322:H385" si="20">IF(AND(F322&lt;&gt;"",G322&lt;&gt;""),F322*G322,"")</f>
        <v/>
      </c>
      <c r="I322" t="str">
        <f>IFERROR(H322-(F322*VLOOKUP(E322,'04_PRODUCTOS'!B:D,3,FALSE)),"")</f>
        <v/>
      </c>
      <c r="J322" t="str">
        <f t="shared" ref="J322:J385" si="21">IFERROR(I322/H322,"")</f>
        <v/>
      </c>
    </row>
    <row r="323" spans="7:10" x14ac:dyDescent="0.25">
      <c r="G323" t="str">
        <f>IFERROR(IF(D323="Mayorista",IF(VLOOKUP(E323,'04_PRODUCTOS'!B:F,5,FALSE)="",VLOOKUP(E323,'04_PRODUCTOS'!B:E,4,FALSE),VLOOKUP(E323,'04_PRODUCTOS'!B:F,5,FALSE)),IF(D323="Especial",IF(VLOOKUP(E323,'04_PRODUCTOS'!B:G,6,FALSE)="",VLOOKUP(E323,'04_PRODUCTOS'!B:E,4,FALSE),VLOOKUP(E323,'04_PRODUCTOS'!B:G,6,FALSE)),VLOOKUP(E323,'04_PRODUCTOS'!B:E,4,FALSE))),"")</f>
        <v/>
      </c>
      <c r="H323" t="str">
        <f t="shared" si="20"/>
        <v/>
      </c>
      <c r="I323" t="str">
        <f>IFERROR(H323-(F323*VLOOKUP(E323,'04_PRODUCTOS'!B:D,3,FALSE)),"")</f>
        <v/>
      </c>
      <c r="J323" t="str">
        <f t="shared" si="21"/>
        <v/>
      </c>
    </row>
    <row r="324" spans="7:10" x14ac:dyDescent="0.25">
      <c r="G324" t="str">
        <f>IFERROR(IF(D324="Mayorista",IF(VLOOKUP(E324,'04_PRODUCTOS'!B:F,5,FALSE)="",VLOOKUP(E324,'04_PRODUCTOS'!B:E,4,FALSE),VLOOKUP(E324,'04_PRODUCTOS'!B:F,5,FALSE)),IF(D324="Especial",IF(VLOOKUP(E324,'04_PRODUCTOS'!B:G,6,FALSE)="",VLOOKUP(E324,'04_PRODUCTOS'!B:E,4,FALSE),VLOOKUP(E324,'04_PRODUCTOS'!B:G,6,FALSE)),VLOOKUP(E324,'04_PRODUCTOS'!B:E,4,FALSE))),"")</f>
        <v/>
      </c>
      <c r="H324" t="str">
        <f t="shared" si="20"/>
        <v/>
      </c>
      <c r="I324" t="str">
        <f>IFERROR(H324-(F324*VLOOKUP(E324,'04_PRODUCTOS'!B:D,3,FALSE)),"")</f>
        <v/>
      </c>
      <c r="J324" t="str">
        <f t="shared" si="21"/>
        <v/>
      </c>
    </row>
    <row r="325" spans="7:10" x14ac:dyDescent="0.25">
      <c r="G325" t="str">
        <f>IFERROR(IF(D325="Mayorista",IF(VLOOKUP(E325,'04_PRODUCTOS'!B:F,5,FALSE)="",VLOOKUP(E325,'04_PRODUCTOS'!B:E,4,FALSE),VLOOKUP(E325,'04_PRODUCTOS'!B:F,5,FALSE)),IF(D325="Especial",IF(VLOOKUP(E325,'04_PRODUCTOS'!B:G,6,FALSE)="",VLOOKUP(E325,'04_PRODUCTOS'!B:E,4,FALSE),VLOOKUP(E325,'04_PRODUCTOS'!B:G,6,FALSE)),VLOOKUP(E325,'04_PRODUCTOS'!B:E,4,FALSE))),"")</f>
        <v/>
      </c>
      <c r="H325" t="str">
        <f t="shared" si="20"/>
        <v/>
      </c>
      <c r="I325" t="str">
        <f>IFERROR(H325-(F325*VLOOKUP(E325,'04_PRODUCTOS'!B:D,3,FALSE)),"")</f>
        <v/>
      </c>
      <c r="J325" t="str">
        <f t="shared" si="21"/>
        <v/>
      </c>
    </row>
    <row r="326" spans="7:10" x14ac:dyDescent="0.25">
      <c r="G326" t="str">
        <f>IFERROR(IF(D326="Mayorista",IF(VLOOKUP(E326,'04_PRODUCTOS'!B:F,5,FALSE)="",VLOOKUP(E326,'04_PRODUCTOS'!B:E,4,FALSE),VLOOKUP(E326,'04_PRODUCTOS'!B:F,5,FALSE)),IF(D326="Especial",IF(VLOOKUP(E326,'04_PRODUCTOS'!B:G,6,FALSE)="",VLOOKUP(E326,'04_PRODUCTOS'!B:E,4,FALSE),VLOOKUP(E326,'04_PRODUCTOS'!B:G,6,FALSE)),VLOOKUP(E326,'04_PRODUCTOS'!B:E,4,FALSE))),"")</f>
        <v/>
      </c>
      <c r="H326" t="str">
        <f t="shared" si="20"/>
        <v/>
      </c>
      <c r="I326" t="str">
        <f>IFERROR(H326-(F326*VLOOKUP(E326,'04_PRODUCTOS'!B:D,3,FALSE)),"")</f>
        <v/>
      </c>
      <c r="J326" t="str">
        <f t="shared" si="21"/>
        <v/>
      </c>
    </row>
    <row r="327" spans="7:10" x14ac:dyDescent="0.25">
      <c r="G327" t="str">
        <f>IFERROR(IF(D327="Mayorista",IF(VLOOKUP(E327,'04_PRODUCTOS'!B:F,5,FALSE)="",VLOOKUP(E327,'04_PRODUCTOS'!B:E,4,FALSE),VLOOKUP(E327,'04_PRODUCTOS'!B:F,5,FALSE)),IF(D327="Especial",IF(VLOOKUP(E327,'04_PRODUCTOS'!B:G,6,FALSE)="",VLOOKUP(E327,'04_PRODUCTOS'!B:E,4,FALSE),VLOOKUP(E327,'04_PRODUCTOS'!B:G,6,FALSE)),VLOOKUP(E327,'04_PRODUCTOS'!B:E,4,FALSE))),"")</f>
        <v/>
      </c>
      <c r="H327" t="str">
        <f t="shared" si="20"/>
        <v/>
      </c>
      <c r="I327" t="str">
        <f>IFERROR(H327-(F327*VLOOKUP(E327,'04_PRODUCTOS'!B:D,3,FALSE)),"")</f>
        <v/>
      </c>
      <c r="J327" t="str">
        <f t="shared" si="21"/>
        <v/>
      </c>
    </row>
    <row r="328" spans="7:10" x14ac:dyDescent="0.25">
      <c r="G328" t="str">
        <f>IFERROR(IF(D328="Mayorista",IF(VLOOKUP(E328,'04_PRODUCTOS'!B:F,5,FALSE)="",VLOOKUP(E328,'04_PRODUCTOS'!B:E,4,FALSE),VLOOKUP(E328,'04_PRODUCTOS'!B:F,5,FALSE)),IF(D328="Especial",IF(VLOOKUP(E328,'04_PRODUCTOS'!B:G,6,FALSE)="",VLOOKUP(E328,'04_PRODUCTOS'!B:E,4,FALSE),VLOOKUP(E328,'04_PRODUCTOS'!B:G,6,FALSE)),VLOOKUP(E328,'04_PRODUCTOS'!B:E,4,FALSE))),"")</f>
        <v/>
      </c>
      <c r="H328" t="str">
        <f t="shared" si="20"/>
        <v/>
      </c>
      <c r="I328" t="str">
        <f>IFERROR(H328-(F328*VLOOKUP(E328,'04_PRODUCTOS'!B:D,3,FALSE)),"")</f>
        <v/>
      </c>
      <c r="J328" t="str">
        <f t="shared" si="21"/>
        <v/>
      </c>
    </row>
    <row r="329" spans="7:10" x14ac:dyDescent="0.25">
      <c r="G329" t="str">
        <f>IFERROR(IF(D329="Mayorista",IF(VLOOKUP(E329,'04_PRODUCTOS'!B:F,5,FALSE)="",VLOOKUP(E329,'04_PRODUCTOS'!B:E,4,FALSE),VLOOKUP(E329,'04_PRODUCTOS'!B:F,5,FALSE)),IF(D329="Especial",IF(VLOOKUP(E329,'04_PRODUCTOS'!B:G,6,FALSE)="",VLOOKUP(E329,'04_PRODUCTOS'!B:E,4,FALSE),VLOOKUP(E329,'04_PRODUCTOS'!B:G,6,FALSE)),VLOOKUP(E329,'04_PRODUCTOS'!B:E,4,FALSE))),"")</f>
        <v/>
      </c>
      <c r="H329" t="str">
        <f t="shared" si="20"/>
        <v/>
      </c>
      <c r="I329" t="str">
        <f>IFERROR(H329-(F329*VLOOKUP(E329,'04_PRODUCTOS'!B:D,3,FALSE)),"")</f>
        <v/>
      </c>
      <c r="J329" t="str">
        <f t="shared" si="21"/>
        <v/>
      </c>
    </row>
    <row r="330" spans="7:10" x14ac:dyDescent="0.25">
      <c r="G330" t="str">
        <f>IFERROR(IF(D330="Mayorista",IF(VLOOKUP(E330,'04_PRODUCTOS'!B:F,5,FALSE)="",VLOOKUP(E330,'04_PRODUCTOS'!B:E,4,FALSE),VLOOKUP(E330,'04_PRODUCTOS'!B:F,5,FALSE)),IF(D330="Especial",IF(VLOOKUP(E330,'04_PRODUCTOS'!B:G,6,FALSE)="",VLOOKUP(E330,'04_PRODUCTOS'!B:E,4,FALSE),VLOOKUP(E330,'04_PRODUCTOS'!B:G,6,FALSE)),VLOOKUP(E330,'04_PRODUCTOS'!B:E,4,FALSE))),"")</f>
        <v/>
      </c>
      <c r="H330" t="str">
        <f t="shared" si="20"/>
        <v/>
      </c>
      <c r="I330" t="str">
        <f>IFERROR(H330-(F330*VLOOKUP(E330,'04_PRODUCTOS'!B:D,3,FALSE)),"")</f>
        <v/>
      </c>
      <c r="J330" t="str">
        <f t="shared" si="21"/>
        <v/>
      </c>
    </row>
    <row r="331" spans="7:10" x14ac:dyDescent="0.25">
      <c r="G331" t="str">
        <f>IFERROR(IF(D331="Mayorista",IF(VLOOKUP(E331,'04_PRODUCTOS'!B:F,5,FALSE)="",VLOOKUP(E331,'04_PRODUCTOS'!B:E,4,FALSE),VLOOKUP(E331,'04_PRODUCTOS'!B:F,5,FALSE)),IF(D331="Especial",IF(VLOOKUP(E331,'04_PRODUCTOS'!B:G,6,FALSE)="",VLOOKUP(E331,'04_PRODUCTOS'!B:E,4,FALSE),VLOOKUP(E331,'04_PRODUCTOS'!B:G,6,FALSE)),VLOOKUP(E331,'04_PRODUCTOS'!B:E,4,FALSE))),"")</f>
        <v/>
      </c>
      <c r="H331" t="str">
        <f t="shared" si="20"/>
        <v/>
      </c>
      <c r="I331" t="str">
        <f>IFERROR(H331-(F331*VLOOKUP(E331,'04_PRODUCTOS'!B:D,3,FALSE)),"")</f>
        <v/>
      </c>
      <c r="J331" t="str">
        <f t="shared" si="21"/>
        <v/>
      </c>
    </row>
    <row r="332" spans="7:10" x14ac:dyDescent="0.25">
      <c r="G332" t="str">
        <f>IFERROR(IF(D332="Mayorista",IF(VLOOKUP(E332,'04_PRODUCTOS'!B:F,5,FALSE)="",VLOOKUP(E332,'04_PRODUCTOS'!B:E,4,FALSE),VLOOKUP(E332,'04_PRODUCTOS'!B:F,5,FALSE)),IF(D332="Especial",IF(VLOOKUP(E332,'04_PRODUCTOS'!B:G,6,FALSE)="",VLOOKUP(E332,'04_PRODUCTOS'!B:E,4,FALSE),VLOOKUP(E332,'04_PRODUCTOS'!B:G,6,FALSE)),VLOOKUP(E332,'04_PRODUCTOS'!B:E,4,FALSE))),"")</f>
        <v/>
      </c>
      <c r="H332" t="str">
        <f t="shared" si="20"/>
        <v/>
      </c>
      <c r="I332" t="str">
        <f>IFERROR(H332-(F332*VLOOKUP(E332,'04_PRODUCTOS'!B:D,3,FALSE)),"")</f>
        <v/>
      </c>
      <c r="J332" t="str">
        <f t="shared" si="21"/>
        <v/>
      </c>
    </row>
    <row r="333" spans="7:10" x14ac:dyDescent="0.25">
      <c r="G333" t="str">
        <f>IFERROR(IF(D333="Mayorista",IF(VLOOKUP(E333,'04_PRODUCTOS'!B:F,5,FALSE)="",VLOOKUP(E333,'04_PRODUCTOS'!B:E,4,FALSE),VLOOKUP(E333,'04_PRODUCTOS'!B:F,5,FALSE)),IF(D333="Especial",IF(VLOOKUP(E333,'04_PRODUCTOS'!B:G,6,FALSE)="",VLOOKUP(E333,'04_PRODUCTOS'!B:E,4,FALSE),VLOOKUP(E333,'04_PRODUCTOS'!B:G,6,FALSE)),VLOOKUP(E333,'04_PRODUCTOS'!B:E,4,FALSE))),"")</f>
        <v/>
      </c>
      <c r="H333" t="str">
        <f t="shared" si="20"/>
        <v/>
      </c>
      <c r="I333" t="str">
        <f>IFERROR(H333-(F333*VLOOKUP(E333,'04_PRODUCTOS'!B:D,3,FALSE)),"")</f>
        <v/>
      </c>
      <c r="J333" t="str">
        <f t="shared" si="21"/>
        <v/>
      </c>
    </row>
    <row r="334" spans="7:10" x14ac:dyDescent="0.25">
      <c r="G334" t="str">
        <f>IFERROR(IF(D334="Mayorista",IF(VLOOKUP(E334,'04_PRODUCTOS'!B:F,5,FALSE)="",VLOOKUP(E334,'04_PRODUCTOS'!B:E,4,FALSE),VLOOKUP(E334,'04_PRODUCTOS'!B:F,5,FALSE)),IF(D334="Especial",IF(VLOOKUP(E334,'04_PRODUCTOS'!B:G,6,FALSE)="",VLOOKUP(E334,'04_PRODUCTOS'!B:E,4,FALSE),VLOOKUP(E334,'04_PRODUCTOS'!B:G,6,FALSE)),VLOOKUP(E334,'04_PRODUCTOS'!B:E,4,FALSE))),"")</f>
        <v/>
      </c>
      <c r="H334" t="str">
        <f t="shared" si="20"/>
        <v/>
      </c>
      <c r="I334" t="str">
        <f>IFERROR(H334-(F334*VLOOKUP(E334,'04_PRODUCTOS'!B:D,3,FALSE)),"")</f>
        <v/>
      </c>
      <c r="J334" t="str">
        <f t="shared" si="21"/>
        <v/>
      </c>
    </row>
    <row r="335" spans="7:10" x14ac:dyDescent="0.25">
      <c r="G335" t="str">
        <f>IFERROR(IF(D335="Mayorista",IF(VLOOKUP(E335,'04_PRODUCTOS'!B:F,5,FALSE)="",VLOOKUP(E335,'04_PRODUCTOS'!B:E,4,FALSE),VLOOKUP(E335,'04_PRODUCTOS'!B:F,5,FALSE)),IF(D335="Especial",IF(VLOOKUP(E335,'04_PRODUCTOS'!B:G,6,FALSE)="",VLOOKUP(E335,'04_PRODUCTOS'!B:E,4,FALSE),VLOOKUP(E335,'04_PRODUCTOS'!B:G,6,FALSE)),VLOOKUP(E335,'04_PRODUCTOS'!B:E,4,FALSE))),"")</f>
        <v/>
      </c>
      <c r="H335" t="str">
        <f t="shared" si="20"/>
        <v/>
      </c>
      <c r="I335" t="str">
        <f>IFERROR(H335-(F335*VLOOKUP(E335,'04_PRODUCTOS'!B:D,3,FALSE)),"")</f>
        <v/>
      </c>
      <c r="J335" t="str">
        <f t="shared" si="21"/>
        <v/>
      </c>
    </row>
    <row r="336" spans="7:10" x14ac:dyDescent="0.25">
      <c r="G336" t="str">
        <f>IFERROR(IF(D336="Mayorista",IF(VLOOKUP(E336,'04_PRODUCTOS'!B:F,5,FALSE)="",VLOOKUP(E336,'04_PRODUCTOS'!B:E,4,FALSE),VLOOKUP(E336,'04_PRODUCTOS'!B:F,5,FALSE)),IF(D336="Especial",IF(VLOOKUP(E336,'04_PRODUCTOS'!B:G,6,FALSE)="",VLOOKUP(E336,'04_PRODUCTOS'!B:E,4,FALSE),VLOOKUP(E336,'04_PRODUCTOS'!B:G,6,FALSE)),VLOOKUP(E336,'04_PRODUCTOS'!B:E,4,FALSE))),"")</f>
        <v/>
      </c>
      <c r="H336" t="str">
        <f t="shared" si="20"/>
        <v/>
      </c>
      <c r="I336" t="str">
        <f>IFERROR(H336-(F336*VLOOKUP(E336,'04_PRODUCTOS'!B:D,3,FALSE)),"")</f>
        <v/>
      </c>
      <c r="J336" t="str">
        <f t="shared" si="21"/>
        <v/>
      </c>
    </row>
    <row r="337" spans="7:10" x14ac:dyDescent="0.25">
      <c r="G337" t="str">
        <f>IFERROR(IF(D337="Mayorista",IF(VLOOKUP(E337,'04_PRODUCTOS'!B:F,5,FALSE)="",VLOOKUP(E337,'04_PRODUCTOS'!B:E,4,FALSE),VLOOKUP(E337,'04_PRODUCTOS'!B:F,5,FALSE)),IF(D337="Especial",IF(VLOOKUP(E337,'04_PRODUCTOS'!B:G,6,FALSE)="",VLOOKUP(E337,'04_PRODUCTOS'!B:E,4,FALSE),VLOOKUP(E337,'04_PRODUCTOS'!B:G,6,FALSE)),VLOOKUP(E337,'04_PRODUCTOS'!B:E,4,FALSE))),"")</f>
        <v/>
      </c>
      <c r="H337" t="str">
        <f t="shared" si="20"/>
        <v/>
      </c>
      <c r="I337" t="str">
        <f>IFERROR(H337-(F337*VLOOKUP(E337,'04_PRODUCTOS'!B:D,3,FALSE)),"")</f>
        <v/>
      </c>
      <c r="J337" t="str">
        <f t="shared" si="21"/>
        <v/>
      </c>
    </row>
    <row r="338" spans="7:10" x14ac:dyDescent="0.25">
      <c r="G338" t="str">
        <f>IFERROR(IF(D338="Mayorista",IF(VLOOKUP(E338,'04_PRODUCTOS'!B:F,5,FALSE)="",VLOOKUP(E338,'04_PRODUCTOS'!B:E,4,FALSE),VLOOKUP(E338,'04_PRODUCTOS'!B:F,5,FALSE)),IF(D338="Especial",IF(VLOOKUP(E338,'04_PRODUCTOS'!B:G,6,FALSE)="",VLOOKUP(E338,'04_PRODUCTOS'!B:E,4,FALSE),VLOOKUP(E338,'04_PRODUCTOS'!B:G,6,FALSE)),VLOOKUP(E338,'04_PRODUCTOS'!B:E,4,FALSE))),"")</f>
        <v/>
      </c>
      <c r="H338" t="str">
        <f t="shared" si="20"/>
        <v/>
      </c>
      <c r="I338" t="str">
        <f>IFERROR(H338-(F338*VLOOKUP(E338,'04_PRODUCTOS'!B:D,3,FALSE)),"")</f>
        <v/>
      </c>
      <c r="J338" t="str">
        <f t="shared" si="21"/>
        <v/>
      </c>
    </row>
    <row r="339" spans="7:10" x14ac:dyDescent="0.25">
      <c r="G339" t="str">
        <f>IFERROR(IF(D339="Mayorista",IF(VLOOKUP(E339,'04_PRODUCTOS'!B:F,5,FALSE)="",VLOOKUP(E339,'04_PRODUCTOS'!B:E,4,FALSE),VLOOKUP(E339,'04_PRODUCTOS'!B:F,5,FALSE)),IF(D339="Especial",IF(VLOOKUP(E339,'04_PRODUCTOS'!B:G,6,FALSE)="",VLOOKUP(E339,'04_PRODUCTOS'!B:E,4,FALSE),VLOOKUP(E339,'04_PRODUCTOS'!B:G,6,FALSE)),VLOOKUP(E339,'04_PRODUCTOS'!B:E,4,FALSE))),"")</f>
        <v/>
      </c>
      <c r="H339" t="str">
        <f t="shared" si="20"/>
        <v/>
      </c>
      <c r="I339" t="str">
        <f>IFERROR(H339-(F339*VLOOKUP(E339,'04_PRODUCTOS'!B:D,3,FALSE)),"")</f>
        <v/>
      </c>
      <c r="J339" t="str">
        <f t="shared" si="21"/>
        <v/>
      </c>
    </row>
    <row r="340" spans="7:10" x14ac:dyDescent="0.25">
      <c r="G340" t="str">
        <f>IFERROR(IF(D340="Mayorista",IF(VLOOKUP(E340,'04_PRODUCTOS'!B:F,5,FALSE)="",VLOOKUP(E340,'04_PRODUCTOS'!B:E,4,FALSE),VLOOKUP(E340,'04_PRODUCTOS'!B:F,5,FALSE)),IF(D340="Especial",IF(VLOOKUP(E340,'04_PRODUCTOS'!B:G,6,FALSE)="",VLOOKUP(E340,'04_PRODUCTOS'!B:E,4,FALSE),VLOOKUP(E340,'04_PRODUCTOS'!B:G,6,FALSE)),VLOOKUP(E340,'04_PRODUCTOS'!B:E,4,FALSE))),"")</f>
        <v/>
      </c>
      <c r="H340" t="str">
        <f t="shared" si="20"/>
        <v/>
      </c>
      <c r="I340" t="str">
        <f>IFERROR(H340-(F340*VLOOKUP(E340,'04_PRODUCTOS'!B:D,3,FALSE)),"")</f>
        <v/>
      </c>
      <c r="J340" t="str">
        <f t="shared" si="21"/>
        <v/>
      </c>
    </row>
    <row r="341" spans="7:10" x14ac:dyDescent="0.25">
      <c r="G341" t="str">
        <f>IFERROR(IF(D341="Mayorista",IF(VLOOKUP(E341,'04_PRODUCTOS'!B:F,5,FALSE)="",VLOOKUP(E341,'04_PRODUCTOS'!B:E,4,FALSE),VLOOKUP(E341,'04_PRODUCTOS'!B:F,5,FALSE)),IF(D341="Especial",IF(VLOOKUP(E341,'04_PRODUCTOS'!B:G,6,FALSE)="",VLOOKUP(E341,'04_PRODUCTOS'!B:E,4,FALSE),VLOOKUP(E341,'04_PRODUCTOS'!B:G,6,FALSE)),VLOOKUP(E341,'04_PRODUCTOS'!B:E,4,FALSE))),"")</f>
        <v/>
      </c>
      <c r="H341" t="str">
        <f t="shared" si="20"/>
        <v/>
      </c>
      <c r="I341" t="str">
        <f>IFERROR(H341-(F341*VLOOKUP(E341,'04_PRODUCTOS'!B:D,3,FALSE)),"")</f>
        <v/>
      </c>
      <c r="J341" t="str">
        <f t="shared" si="21"/>
        <v/>
      </c>
    </row>
    <row r="342" spans="7:10" x14ac:dyDescent="0.25">
      <c r="G342" t="str">
        <f>IFERROR(IF(D342="Mayorista",IF(VLOOKUP(E342,'04_PRODUCTOS'!B:F,5,FALSE)="",VLOOKUP(E342,'04_PRODUCTOS'!B:E,4,FALSE),VLOOKUP(E342,'04_PRODUCTOS'!B:F,5,FALSE)),IF(D342="Especial",IF(VLOOKUP(E342,'04_PRODUCTOS'!B:G,6,FALSE)="",VLOOKUP(E342,'04_PRODUCTOS'!B:E,4,FALSE),VLOOKUP(E342,'04_PRODUCTOS'!B:G,6,FALSE)),VLOOKUP(E342,'04_PRODUCTOS'!B:E,4,FALSE))),"")</f>
        <v/>
      </c>
      <c r="H342" t="str">
        <f t="shared" si="20"/>
        <v/>
      </c>
      <c r="I342" t="str">
        <f>IFERROR(H342-(F342*VLOOKUP(E342,'04_PRODUCTOS'!B:D,3,FALSE)),"")</f>
        <v/>
      </c>
      <c r="J342" t="str">
        <f t="shared" si="21"/>
        <v/>
      </c>
    </row>
    <row r="343" spans="7:10" x14ac:dyDescent="0.25">
      <c r="G343" t="str">
        <f>IFERROR(IF(D343="Mayorista",IF(VLOOKUP(E343,'04_PRODUCTOS'!B:F,5,FALSE)="",VLOOKUP(E343,'04_PRODUCTOS'!B:E,4,FALSE),VLOOKUP(E343,'04_PRODUCTOS'!B:F,5,FALSE)),IF(D343="Especial",IF(VLOOKUP(E343,'04_PRODUCTOS'!B:G,6,FALSE)="",VLOOKUP(E343,'04_PRODUCTOS'!B:E,4,FALSE),VLOOKUP(E343,'04_PRODUCTOS'!B:G,6,FALSE)),VLOOKUP(E343,'04_PRODUCTOS'!B:E,4,FALSE))),"")</f>
        <v/>
      </c>
      <c r="H343" t="str">
        <f t="shared" si="20"/>
        <v/>
      </c>
      <c r="I343" t="str">
        <f>IFERROR(H343-(F343*VLOOKUP(E343,'04_PRODUCTOS'!B:D,3,FALSE)),"")</f>
        <v/>
      </c>
      <c r="J343" t="str">
        <f t="shared" si="21"/>
        <v/>
      </c>
    </row>
    <row r="344" spans="7:10" x14ac:dyDescent="0.25">
      <c r="G344" t="str">
        <f>IFERROR(IF(D344="Mayorista",IF(VLOOKUP(E344,'04_PRODUCTOS'!B:F,5,FALSE)="",VLOOKUP(E344,'04_PRODUCTOS'!B:E,4,FALSE),VLOOKUP(E344,'04_PRODUCTOS'!B:F,5,FALSE)),IF(D344="Especial",IF(VLOOKUP(E344,'04_PRODUCTOS'!B:G,6,FALSE)="",VLOOKUP(E344,'04_PRODUCTOS'!B:E,4,FALSE),VLOOKUP(E344,'04_PRODUCTOS'!B:G,6,FALSE)),VLOOKUP(E344,'04_PRODUCTOS'!B:E,4,FALSE))),"")</f>
        <v/>
      </c>
      <c r="H344" t="str">
        <f t="shared" si="20"/>
        <v/>
      </c>
      <c r="I344" t="str">
        <f>IFERROR(H344-(F344*VLOOKUP(E344,'04_PRODUCTOS'!B:D,3,FALSE)),"")</f>
        <v/>
      </c>
      <c r="J344" t="str">
        <f t="shared" si="21"/>
        <v/>
      </c>
    </row>
    <row r="345" spans="7:10" x14ac:dyDescent="0.25">
      <c r="G345" t="str">
        <f>IFERROR(IF(D345="Mayorista",IF(VLOOKUP(E345,'04_PRODUCTOS'!B:F,5,FALSE)="",VLOOKUP(E345,'04_PRODUCTOS'!B:E,4,FALSE),VLOOKUP(E345,'04_PRODUCTOS'!B:F,5,FALSE)),IF(D345="Especial",IF(VLOOKUP(E345,'04_PRODUCTOS'!B:G,6,FALSE)="",VLOOKUP(E345,'04_PRODUCTOS'!B:E,4,FALSE),VLOOKUP(E345,'04_PRODUCTOS'!B:G,6,FALSE)),VLOOKUP(E345,'04_PRODUCTOS'!B:E,4,FALSE))),"")</f>
        <v/>
      </c>
      <c r="H345" t="str">
        <f t="shared" si="20"/>
        <v/>
      </c>
      <c r="I345" t="str">
        <f>IFERROR(H345-(F345*VLOOKUP(E345,'04_PRODUCTOS'!B:D,3,FALSE)),"")</f>
        <v/>
      </c>
      <c r="J345" t="str">
        <f t="shared" si="21"/>
        <v/>
      </c>
    </row>
    <row r="346" spans="7:10" x14ac:dyDescent="0.25">
      <c r="G346" t="str">
        <f>IFERROR(IF(D346="Mayorista",IF(VLOOKUP(E346,'04_PRODUCTOS'!B:F,5,FALSE)="",VLOOKUP(E346,'04_PRODUCTOS'!B:E,4,FALSE),VLOOKUP(E346,'04_PRODUCTOS'!B:F,5,FALSE)),IF(D346="Especial",IF(VLOOKUP(E346,'04_PRODUCTOS'!B:G,6,FALSE)="",VLOOKUP(E346,'04_PRODUCTOS'!B:E,4,FALSE),VLOOKUP(E346,'04_PRODUCTOS'!B:G,6,FALSE)),VLOOKUP(E346,'04_PRODUCTOS'!B:E,4,FALSE))),"")</f>
        <v/>
      </c>
      <c r="H346" t="str">
        <f t="shared" si="20"/>
        <v/>
      </c>
      <c r="I346" t="str">
        <f>IFERROR(H346-(F346*VLOOKUP(E346,'04_PRODUCTOS'!B:D,3,FALSE)),"")</f>
        <v/>
      </c>
      <c r="J346" t="str">
        <f t="shared" si="21"/>
        <v/>
      </c>
    </row>
    <row r="347" spans="7:10" x14ac:dyDescent="0.25">
      <c r="G347" t="str">
        <f>IFERROR(IF(D347="Mayorista",IF(VLOOKUP(E347,'04_PRODUCTOS'!B:F,5,FALSE)="",VLOOKUP(E347,'04_PRODUCTOS'!B:E,4,FALSE),VLOOKUP(E347,'04_PRODUCTOS'!B:F,5,FALSE)),IF(D347="Especial",IF(VLOOKUP(E347,'04_PRODUCTOS'!B:G,6,FALSE)="",VLOOKUP(E347,'04_PRODUCTOS'!B:E,4,FALSE),VLOOKUP(E347,'04_PRODUCTOS'!B:G,6,FALSE)),VLOOKUP(E347,'04_PRODUCTOS'!B:E,4,FALSE))),"")</f>
        <v/>
      </c>
      <c r="H347" t="str">
        <f t="shared" si="20"/>
        <v/>
      </c>
      <c r="I347" t="str">
        <f>IFERROR(H347-(F347*VLOOKUP(E347,'04_PRODUCTOS'!B:D,3,FALSE)),"")</f>
        <v/>
      </c>
      <c r="J347" t="str">
        <f t="shared" si="21"/>
        <v/>
      </c>
    </row>
    <row r="348" spans="7:10" x14ac:dyDescent="0.25">
      <c r="G348" t="str">
        <f>IFERROR(IF(D348="Mayorista",IF(VLOOKUP(E348,'04_PRODUCTOS'!B:F,5,FALSE)="",VLOOKUP(E348,'04_PRODUCTOS'!B:E,4,FALSE),VLOOKUP(E348,'04_PRODUCTOS'!B:F,5,FALSE)),IF(D348="Especial",IF(VLOOKUP(E348,'04_PRODUCTOS'!B:G,6,FALSE)="",VLOOKUP(E348,'04_PRODUCTOS'!B:E,4,FALSE),VLOOKUP(E348,'04_PRODUCTOS'!B:G,6,FALSE)),VLOOKUP(E348,'04_PRODUCTOS'!B:E,4,FALSE))),"")</f>
        <v/>
      </c>
      <c r="H348" t="str">
        <f t="shared" si="20"/>
        <v/>
      </c>
      <c r="I348" t="str">
        <f>IFERROR(H348-(F348*VLOOKUP(E348,'04_PRODUCTOS'!B:D,3,FALSE)),"")</f>
        <v/>
      </c>
      <c r="J348" t="str">
        <f t="shared" si="21"/>
        <v/>
      </c>
    </row>
    <row r="349" spans="7:10" x14ac:dyDescent="0.25">
      <c r="G349" t="str">
        <f>IFERROR(IF(D349="Mayorista",IF(VLOOKUP(E349,'04_PRODUCTOS'!B:F,5,FALSE)="",VLOOKUP(E349,'04_PRODUCTOS'!B:E,4,FALSE),VLOOKUP(E349,'04_PRODUCTOS'!B:F,5,FALSE)),IF(D349="Especial",IF(VLOOKUP(E349,'04_PRODUCTOS'!B:G,6,FALSE)="",VLOOKUP(E349,'04_PRODUCTOS'!B:E,4,FALSE),VLOOKUP(E349,'04_PRODUCTOS'!B:G,6,FALSE)),VLOOKUP(E349,'04_PRODUCTOS'!B:E,4,FALSE))),"")</f>
        <v/>
      </c>
      <c r="H349" t="str">
        <f t="shared" si="20"/>
        <v/>
      </c>
      <c r="I349" t="str">
        <f>IFERROR(H349-(F349*VLOOKUP(E349,'04_PRODUCTOS'!B:D,3,FALSE)),"")</f>
        <v/>
      </c>
      <c r="J349" t="str">
        <f t="shared" si="21"/>
        <v/>
      </c>
    </row>
    <row r="350" spans="7:10" x14ac:dyDescent="0.25">
      <c r="G350" t="str">
        <f>IFERROR(IF(D350="Mayorista",IF(VLOOKUP(E350,'04_PRODUCTOS'!B:F,5,FALSE)="",VLOOKUP(E350,'04_PRODUCTOS'!B:E,4,FALSE),VLOOKUP(E350,'04_PRODUCTOS'!B:F,5,FALSE)),IF(D350="Especial",IF(VLOOKUP(E350,'04_PRODUCTOS'!B:G,6,FALSE)="",VLOOKUP(E350,'04_PRODUCTOS'!B:E,4,FALSE),VLOOKUP(E350,'04_PRODUCTOS'!B:G,6,FALSE)),VLOOKUP(E350,'04_PRODUCTOS'!B:E,4,FALSE))),"")</f>
        <v/>
      </c>
      <c r="H350" t="str">
        <f t="shared" si="20"/>
        <v/>
      </c>
      <c r="I350" t="str">
        <f>IFERROR(H350-(F350*VLOOKUP(E350,'04_PRODUCTOS'!B:D,3,FALSE)),"")</f>
        <v/>
      </c>
      <c r="J350" t="str">
        <f t="shared" si="21"/>
        <v/>
      </c>
    </row>
    <row r="351" spans="7:10" x14ac:dyDescent="0.25">
      <c r="G351" t="str">
        <f>IFERROR(IF(D351="Mayorista",IF(VLOOKUP(E351,'04_PRODUCTOS'!B:F,5,FALSE)="",VLOOKUP(E351,'04_PRODUCTOS'!B:E,4,FALSE),VLOOKUP(E351,'04_PRODUCTOS'!B:F,5,FALSE)),IF(D351="Especial",IF(VLOOKUP(E351,'04_PRODUCTOS'!B:G,6,FALSE)="",VLOOKUP(E351,'04_PRODUCTOS'!B:E,4,FALSE),VLOOKUP(E351,'04_PRODUCTOS'!B:G,6,FALSE)),VLOOKUP(E351,'04_PRODUCTOS'!B:E,4,FALSE))),"")</f>
        <v/>
      </c>
      <c r="H351" t="str">
        <f t="shared" si="20"/>
        <v/>
      </c>
      <c r="I351" t="str">
        <f>IFERROR(H351-(F351*VLOOKUP(E351,'04_PRODUCTOS'!B:D,3,FALSE)),"")</f>
        <v/>
      </c>
      <c r="J351" t="str">
        <f t="shared" si="21"/>
        <v/>
      </c>
    </row>
    <row r="352" spans="7:10" x14ac:dyDescent="0.25">
      <c r="G352" t="str">
        <f>IFERROR(IF(D352="Mayorista",IF(VLOOKUP(E352,'04_PRODUCTOS'!B:F,5,FALSE)="",VLOOKUP(E352,'04_PRODUCTOS'!B:E,4,FALSE),VLOOKUP(E352,'04_PRODUCTOS'!B:F,5,FALSE)),IF(D352="Especial",IF(VLOOKUP(E352,'04_PRODUCTOS'!B:G,6,FALSE)="",VLOOKUP(E352,'04_PRODUCTOS'!B:E,4,FALSE),VLOOKUP(E352,'04_PRODUCTOS'!B:G,6,FALSE)),VLOOKUP(E352,'04_PRODUCTOS'!B:E,4,FALSE))),"")</f>
        <v/>
      </c>
      <c r="H352" t="str">
        <f t="shared" si="20"/>
        <v/>
      </c>
      <c r="I352" t="str">
        <f>IFERROR(H352-(F352*VLOOKUP(E352,'04_PRODUCTOS'!B:D,3,FALSE)),"")</f>
        <v/>
      </c>
      <c r="J352" t="str">
        <f t="shared" si="21"/>
        <v/>
      </c>
    </row>
    <row r="353" spans="7:10" x14ac:dyDescent="0.25">
      <c r="G353" t="str">
        <f>IFERROR(IF(D353="Mayorista",IF(VLOOKUP(E353,'04_PRODUCTOS'!B:F,5,FALSE)="",VLOOKUP(E353,'04_PRODUCTOS'!B:E,4,FALSE),VLOOKUP(E353,'04_PRODUCTOS'!B:F,5,FALSE)),IF(D353="Especial",IF(VLOOKUP(E353,'04_PRODUCTOS'!B:G,6,FALSE)="",VLOOKUP(E353,'04_PRODUCTOS'!B:E,4,FALSE),VLOOKUP(E353,'04_PRODUCTOS'!B:G,6,FALSE)),VLOOKUP(E353,'04_PRODUCTOS'!B:E,4,FALSE))),"")</f>
        <v/>
      </c>
      <c r="H353" t="str">
        <f t="shared" si="20"/>
        <v/>
      </c>
      <c r="I353" t="str">
        <f>IFERROR(H353-(F353*VLOOKUP(E353,'04_PRODUCTOS'!B:D,3,FALSE)),"")</f>
        <v/>
      </c>
      <c r="J353" t="str">
        <f t="shared" si="21"/>
        <v/>
      </c>
    </row>
    <row r="354" spans="7:10" x14ac:dyDescent="0.25">
      <c r="G354" t="str">
        <f>IFERROR(IF(D354="Mayorista",IF(VLOOKUP(E354,'04_PRODUCTOS'!B:F,5,FALSE)="",VLOOKUP(E354,'04_PRODUCTOS'!B:E,4,FALSE),VLOOKUP(E354,'04_PRODUCTOS'!B:F,5,FALSE)),IF(D354="Especial",IF(VLOOKUP(E354,'04_PRODUCTOS'!B:G,6,FALSE)="",VLOOKUP(E354,'04_PRODUCTOS'!B:E,4,FALSE),VLOOKUP(E354,'04_PRODUCTOS'!B:G,6,FALSE)),VLOOKUP(E354,'04_PRODUCTOS'!B:E,4,FALSE))),"")</f>
        <v/>
      </c>
      <c r="H354" t="str">
        <f t="shared" si="20"/>
        <v/>
      </c>
      <c r="I354" t="str">
        <f>IFERROR(H354-(F354*VLOOKUP(E354,'04_PRODUCTOS'!B:D,3,FALSE)),"")</f>
        <v/>
      </c>
      <c r="J354" t="str">
        <f t="shared" si="21"/>
        <v/>
      </c>
    </row>
    <row r="355" spans="7:10" x14ac:dyDescent="0.25">
      <c r="G355" t="str">
        <f>IFERROR(IF(D355="Mayorista",IF(VLOOKUP(E355,'04_PRODUCTOS'!B:F,5,FALSE)="",VLOOKUP(E355,'04_PRODUCTOS'!B:E,4,FALSE),VLOOKUP(E355,'04_PRODUCTOS'!B:F,5,FALSE)),IF(D355="Especial",IF(VLOOKUP(E355,'04_PRODUCTOS'!B:G,6,FALSE)="",VLOOKUP(E355,'04_PRODUCTOS'!B:E,4,FALSE),VLOOKUP(E355,'04_PRODUCTOS'!B:G,6,FALSE)),VLOOKUP(E355,'04_PRODUCTOS'!B:E,4,FALSE))),"")</f>
        <v/>
      </c>
      <c r="H355" t="str">
        <f t="shared" si="20"/>
        <v/>
      </c>
      <c r="I355" t="str">
        <f>IFERROR(H355-(F355*VLOOKUP(E355,'04_PRODUCTOS'!B:D,3,FALSE)),"")</f>
        <v/>
      </c>
      <c r="J355" t="str">
        <f t="shared" si="21"/>
        <v/>
      </c>
    </row>
    <row r="356" spans="7:10" x14ac:dyDescent="0.25">
      <c r="G356" t="str">
        <f>IFERROR(IF(D356="Mayorista",IF(VLOOKUP(E356,'04_PRODUCTOS'!B:F,5,FALSE)="",VLOOKUP(E356,'04_PRODUCTOS'!B:E,4,FALSE),VLOOKUP(E356,'04_PRODUCTOS'!B:F,5,FALSE)),IF(D356="Especial",IF(VLOOKUP(E356,'04_PRODUCTOS'!B:G,6,FALSE)="",VLOOKUP(E356,'04_PRODUCTOS'!B:E,4,FALSE),VLOOKUP(E356,'04_PRODUCTOS'!B:G,6,FALSE)),VLOOKUP(E356,'04_PRODUCTOS'!B:E,4,FALSE))),"")</f>
        <v/>
      </c>
      <c r="H356" t="str">
        <f t="shared" si="20"/>
        <v/>
      </c>
      <c r="I356" t="str">
        <f>IFERROR(H356-(F356*VLOOKUP(E356,'04_PRODUCTOS'!B:D,3,FALSE)),"")</f>
        <v/>
      </c>
      <c r="J356" t="str">
        <f t="shared" si="21"/>
        <v/>
      </c>
    </row>
    <row r="357" spans="7:10" x14ac:dyDescent="0.25">
      <c r="G357" t="str">
        <f>IFERROR(IF(D357="Mayorista",IF(VLOOKUP(E357,'04_PRODUCTOS'!B:F,5,FALSE)="",VLOOKUP(E357,'04_PRODUCTOS'!B:E,4,FALSE),VLOOKUP(E357,'04_PRODUCTOS'!B:F,5,FALSE)),IF(D357="Especial",IF(VLOOKUP(E357,'04_PRODUCTOS'!B:G,6,FALSE)="",VLOOKUP(E357,'04_PRODUCTOS'!B:E,4,FALSE),VLOOKUP(E357,'04_PRODUCTOS'!B:G,6,FALSE)),VLOOKUP(E357,'04_PRODUCTOS'!B:E,4,FALSE))),"")</f>
        <v/>
      </c>
      <c r="H357" t="str">
        <f t="shared" si="20"/>
        <v/>
      </c>
      <c r="I357" t="str">
        <f>IFERROR(H357-(F357*VLOOKUP(E357,'04_PRODUCTOS'!B:D,3,FALSE)),"")</f>
        <v/>
      </c>
      <c r="J357" t="str">
        <f t="shared" si="21"/>
        <v/>
      </c>
    </row>
    <row r="358" spans="7:10" x14ac:dyDescent="0.25">
      <c r="G358" t="str">
        <f>IFERROR(IF(D358="Mayorista",IF(VLOOKUP(E358,'04_PRODUCTOS'!B:F,5,FALSE)="",VLOOKUP(E358,'04_PRODUCTOS'!B:E,4,FALSE),VLOOKUP(E358,'04_PRODUCTOS'!B:F,5,FALSE)),IF(D358="Especial",IF(VLOOKUP(E358,'04_PRODUCTOS'!B:G,6,FALSE)="",VLOOKUP(E358,'04_PRODUCTOS'!B:E,4,FALSE),VLOOKUP(E358,'04_PRODUCTOS'!B:G,6,FALSE)),VLOOKUP(E358,'04_PRODUCTOS'!B:E,4,FALSE))),"")</f>
        <v/>
      </c>
      <c r="H358" t="str">
        <f t="shared" si="20"/>
        <v/>
      </c>
      <c r="I358" t="str">
        <f>IFERROR(H358-(F358*VLOOKUP(E358,'04_PRODUCTOS'!B:D,3,FALSE)),"")</f>
        <v/>
      </c>
      <c r="J358" t="str">
        <f t="shared" si="21"/>
        <v/>
      </c>
    </row>
    <row r="359" spans="7:10" x14ac:dyDescent="0.25">
      <c r="G359" t="str">
        <f>IFERROR(IF(D359="Mayorista",IF(VLOOKUP(E359,'04_PRODUCTOS'!B:F,5,FALSE)="",VLOOKUP(E359,'04_PRODUCTOS'!B:E,4,FALSE),VLOOKUP(E359,'04_PRODUCTOS'!B:F,5,FALSE)),IF(D359="Especial",IF(VLOOKUP(E359,'04_PRODUCTOS'!B:G,6,FALSE)="",VLOOKUP(E359,'04_PRODUCTOS'!B:E,4,FALSE),VLOOKUP(E359,'04_PRODUCTOS'!B:G,6,FALSE)),VLOOKUP(E359,'04_PRODUCTOS'!B:E,4,FALSE))),"")</f>
        <v/>
      </c>
      <c r="H359" t="str">
        <f t="shared" si="20"/>
        <v/>
      </c>
      <c r="I359" t="str">
        <f>IFERROR(H359-(F359*VLOOKUP(E359,'04_PRODUCTOS'!B:D,3,FALSE)),"")</f>
        <v/>
      </c>
      <c r="J359" t="str">
        <f t="shared" si="21"/>
        <v/>
      </c>
    </row>
    <row r="360" spans="7:10" x14ac:dyDescent="0.25">
      <c r="G360" t="str">
        <f>IFERROR(IF(D360="Mayorista",IF(VLOOKUP(E360,'04_PRODUCTOS'!B:F,5,FALSE)="",VLOOKUP(E360,'04_PRODUCTOS'!B:E,4,FALSE),VLOOKUP(E360,'04_PRODUCTOS'!B:F,5,FALSE)),IF(D360="Especial",IF(VLOOKUP(E360,'04_PRODUCTOS'!B:G,6,FALSE)="",VLOOKUP(E360,'04_PRODUCTOS'!B:E,4,FALSE),VLOOKUP(E360,'04_PRODUCTOS'!B:G,6,FALSE)),VLOOKUP(E360,'04_PRODUCTOS'!B:E,4,FALSE))),"")</f>
        <v/>
      </c>
      <c r="H360" t="str">
        <f t="shared" si="20"/>
        <v/>
      </c>
      <c r="I360" t="str">
        <f>IFERROR(H360-(F360*VLOOKUP(E360,'04_PRODUCTOS'!B:D,3,FALSE)),"")</f>
        <v/>
      </c>
      <c r="J360" t="str">
        <f t="shared" si="21"/>
        <v/>
      </c>
    </row>
    <row r="361" spans="7:10" x14ac:dyDescent="0.25">
      <c r="G361" t="str">
        <f>IFERROR(IF(D361="Mayorista",IF(VLOOKUP(E361,'04_PRODUCTOS'!B:F,5,FALSE)="",VLOOKUP(E361,'04_PRODUCTOS'!B:E,4,FALSE),VLOOKUP(E361,'04_PRODUCTOS'!B:F,5,FALSE)),IF(D361="Especial",IF(VLOOKUP(E361,'04_PRODUCTOS'!B:G,6,FALSE)="",VLOOKUP(E361,'04_PRODUCTOS'!B:E,4,FALSE),VLOOKUP(E361,'04_PRODUCTOS'!B:G,6,FALSE)),VLOOKUP(E361,'04_PRODUCTOS'!B:E,4,FALSE))),"")</f>
        <v/>
      </c>
      <c r="H361" t="str">
        <f t="shared" si="20"/>
        <v/>
      </c>
      <c r="I361" t="str">
        <f>IFERROR(H361-(F361*VLOOKUP(E361,'04_PRODUCTOS'!B:D,3,FALSE)),"")</f>
        <v/>
      </c>
      <c r="J361" t="str">
        <f t="shared" si="21"/>
        <v/>
      </c>
    </row>
    <row r="362" spans="7:10" x14ac:dyDescent="0.25">
      <c r="G362" t="str">
        <f>IFERROR(IF(D362="Mayorista",IF(VLOOKUP(E362,'04_PRODUCTOS'!B:F,5,FALSE)="",VLOOKUP(E362,'04_PRODUCTOS'!B:E,4,FALSE),VLOOKUP(E362,'04_PRODUCTOS'!B:F,5,FALSE)),IF(D362="Especial",IF(VLOOKUP(E362,'04_PRODUCTOS'!B:G,6,FALSE)="",VLOOKUP(E362,'04_PRODUCTOS'!B:E,4,FALSE),VLOOKUP(E362,'04_PRODUCTOS'!B:G,6,FALSE)),VLOOKUP(E362,'04_PRODUCTOS'!B:E,4,FALSE))),"")</f>
        <v/>
      </c>
      <c r="H362" t="str">
        <f t="shared" si="20"/>
        <v/>
      </c>
      <c r="I362" t="str">
        <f>IFERROR(H362-(F362*VLOOKUP(E362,'04_PRODUCTOS'!B:D,3,FALSE)),"")</f>
        <v/>
      </c>
      <c r="J362" t="str">
        <f t="shared" si="21"/>
        <v/>
      </c>
    </row>
    <row r="363" spans="7:10" x14ac:dyDescent="0.25">
      <c r="G363" t="str">
        <f>IFERROR(IF(D363="Mayorista",IF(VLOOKUP(E363,'04_PRODUCTOS'!B:F,5,FALSE)="",VLOOKUP(E363,'04_PRODUCTOS'!B:E,4,FALSE),VLOOKUP(E363,'04_PRODUCTOS'!B:F,5,FALSE)),IF(D363="Especial",IF(VLOOKUP(E363,'04_PRODUCTOS'!B:G,6,FALSE)="",VLOOKUP(E363,'04_PRODUCTOS'!B:E,4,FALSE),VLOOKUP(E363,'04_PRODUCTOS'!B:G,6,FALSE)),VLOOKUP(E363,'04_PRODUCTOS'!B:E,4,FALSE))),"")</f>
        <v/>
      </c>
      <c r="H363" t="str">
        <f t="shared" si="20"/>
        <v/>
      </c>
      <c r="I363" t="str">
        <f>IFERROR(H363-(F363*VLOOKUP(E363,'04_PRODUCTOS'!B:D,3,FALSE)),"")</f>
        <v/>
      </c>
      <c r="J363" t="str">
        <f t="shared" si="21"/>
        <v/>
      </c>
    </row>
    <row r="364" spans="7:10" x14ac:dyDescent="0.25">
      <c r="G364" t="str">
        <f>IFERROR(IF(D364="Mayorista",IF(VLOOKUP(E364,'04_PRODUCTOS'!B:F,5,FALSE)="",VLOOKUP(E364,'04_PRODUCTOS'!B:E,4,FALSE),VLOOKUP(E364,'04_PRODUCTOS'!B:F,5,FALSE)),IF(D364="Especial",IF(VLOOKUP(E364,'04_PRODUCTOS'!B:G,6,FALSE)="",VLOOKUP(E364,'04_PRODUCTOS'!B:E,4,FALSE),VLOOKUP(E364,'04_PRODUCTOS'!B:G,6,FALSE)),VLOOKUP(E364,'04_PRODUCTOS'!B:E,4,FALSE))),"")</f>
        <v/>
      </c>
      <c r="H364" t="str">
        <f t="shared" si="20"/>
        <v/>
      </c>
      <c r="I364" t="str">
        <f>IFERROR(H364-(F364*VLOOKUP(E364,'04_PRODUCTOS'!B:D,3,FALSE)),"")</f>
        <v/>
      </c>
      <c r="J364" t="str">
        <f t="shared" si="21"/>
        <v/>
      </c>
    </row>
    <row r="365" spans="7:10" x14ac:dyDescent="0.25">
      <c r="G365" t="str">
        <f>IFERROR(IF(D365="Mayorista",IF(VLOOKUP(E365,'04_PRODUCTOS'!B:F,5,FALSE)="",VLOOKUP(E365,'04_PRODUCTOS'!B:E,4,FALSE),VLOOKUP(E365,'04_PRODUCTOS'!B:F,5,FALSE)),IF(D365="Especial",IF(VLOOKUP(E365,'04_PRODUCTOS'!B:G,6,FALSE)="",VLOOKUP(E365,'04_PRODUCTOS'!B:E,4,FALSE),VLOOKUP(E365,'04_PRODUCTOS'!B:G,6,FALSE)),VLOOKUP(E365,'04_PRODUCTOS'!B:E,4,FALSE))),"")</f>
        <v/>
      </c>
      <c r="H365" t="str">
        <f t="shared" si="20"/>
        <v/>
      </c>
      <c r="I365" t="str">
        <f>IFERROR(H365-(F365*VLOOKUP(E365,'04_PRODUCTOS'!B:D,3,FALSE)),"")</f>
        <v/>
      </c>
      <c r="J365" t="str">
        <f t="shared" si="21"/>
        <v/>
      </c>
    </row>
    <row r="366" spans="7:10" x14ac:dyDescent="0.25">
      <c r="G366" t="str">
        <f>IFERROR(IF(D366="Mayorista",IF(VLOOKUP(E366,'04_PRODUCTOS'!B:F,5,FALSE)="",VLOOKUP(E366,'04_PRODUCTOS'!B:E,4,FALSE),VLOOKUP(E366,'04_PRODUCTOS'!B:F,5,FALSE)),IF(D366="Especial",IF(VLOOKUP(E366,'04_PRODUCTOS'!B:G,6,FALSE)="",VLOOKUP(E366,'04_PRODUCTOS'!B:E,4,FALSE),VLOOKUP(E366,'04_PRODUCTOS'!B:G,6,FALSE)),VLOOKUP(E366,'04_PRODUCTOS'!B:E,4,FALSE))),"")</f>
        <v/>
      </c>
      <c r="H366" t="str">
        <f t="shared" si="20"/>
        <v/>
      </c>
      <c r="I366" t="str">
        <f>IFERROR(H366-(F366*VLOOKUP(E366,'04_PRODUCTOS'!B:D,3,FALSE)),"")</f>
        <v/>
      </c>
      <c r="J366" t="str">
        <f t="shared" si="21"/>
        <v/>
      </c>
    </row>
    <row r="367" spans="7:10" x14ac:dyDescent="0.25">
      <c r="G367" t="str">
        <f>IFERROR(IF(D367="Mayorista",IF(VLOOKUP(E367,'04_PRODUCTOS'!B:F,5,FALSE)="",VLOOKUP(E367,'04_PRODUCTOS'!B:E,4,FALSE),VLOOKUP(E367,'04_PRODUCTOS'!B:F,5,FALSE)),IF(D367="Especial",IF(VLOOKUP(E367,'04_PRODUCTOS'!B:G,6,FALSE)="",VLOOKUP(E367,'04_PRODUCTOS'!B:E,4,FALSE),VLOOKUP(E367,'04_PRODUCTOS'!B:G,6,FALSE)),VLOOKUP(E367,'04_PRODUCTOS'!B:E,4,FALSE))),"")</f>
        <v/>
      </c>
      <c r="H367" t="str">
        <f t="shared" si="20"/>
        <v/>
      </c>
      <c r="I367" t="str">
        <f>IFERROR(H367-(F367*VLOOKUP(E367,'04_PRODUCTOS'!B:D,3,FALSE)),"")</f>
        <v/>
      </c>
      <c r="J367" t="str">
        <f t="shared" si="21"/>
        <v/>
      </c>
    </row>
    <row r="368" spans="7:10" x14ac:dyDescent="0.25">
      <c r="G368" t="str">
        <f>IFERROR(IF(D368="Mayorista",IF(VLOOKUP(E368,'04_PRODUCTOS'!B:F,5,FALSE)="",VLOOKUP(E368,'04_PRODUCTOS'!B:E,4,FALSE),VLOOKUP(E368,'04_PRODUCTOS'!B:F,5,FALSE)),IF(D368="Especial",IF(VLOOKUP(E368,'04_PRODUCTOS'!B:G,6,FALSE)="",VLOOKUP(E368,'04_PRODUCTOS'!B:E,4,FALSE),VLOOKUP(E368,'04_PRODUCTOS'!B:G,6,FALSE)),VLOOKUP(E368,'04_PRODUCTOS'!B:E,4,FALSE))),"")</f>
        <v/>
      </c>
      <c r="H368" t="str">
        <f t="shared" si="20"/>
        <v/>
      </c>
      <c r="I368" t="str">
        <f>IFERROR(H368-(F368*VLOOKUP(E368,'04_PRODUCTOS'!B:D,3,FALSE)),"")</f>
        <v/>
      </c>
      <c r="J368" t="str">
        <f t="shared" si="21"/>
        <v/>
      </c>
    </row>
    <row r="369" spans="7:10" x14ac:dyDescent="0.25">
      <c r="G369" t="str">
        <f>IFERROR(IF(D369="Mayorista",IF(VLOOKUP(E369,'04_PRODUCTOS'!B:F,5,FALSE)="",VLOOKUP(E369,'04_PRODUCTOS'!B:E,4,FALSE),VLOOKUP(E369,'04_PRODUCTOS'!B:F,5,FALSE)),IF(D369="Especial",IF(VLOOKUP(E369,'04_PRODUCTOS'!B:G,6,FALSE)="",VLOOKUP(E369,'04_PRODUCTOS'!B:E,4,FALSE),VLOOKUP(E369,'04_PRODUCTOS'!B:G,6,FALSE)),VLOOKUP(E369,'04_PRODUCTOS'!B:E,4,FALSE))),"")</f>
        <v/>
      </c>
      <c r="H369" t="str">
        <f t="shared" si="20"/>
        <v/>
      </c>
      <c r="I369" t="str">
        <f>IFERROR(H369-(F369*VLOOKUP(E369,'04_PRODUCTOS'!B:D,3,FALSE)),"")</f>
        <v/>
      </c>
      <c r="J369" t="str">
        <f t="shared" si="21"/>
        <v/>
      </c>
    </row>
    <row r="370" spans="7:10" x14ac:dyDescent="0.25">
      <c r="G370" t="str">
        <f>IFERROR(IF(D370="Mayorista",IF(VLOOKUP(E370,'04_PRODUCTOS'!B:F,5,FALSE)="",VLOOKUP(E370,'04_PRODUCTOS'!B:E,4,FALSE),VLOOKUP(E370,'04_PRODUCTOS'!B:F,5,FALSE)),IF(D370="Especial",IF(VLOOKUP(E370,'04_PRODUCTOS'!B:G,6,FALSE)="",VLOOKUP(E370,'04_PRODUCTOS'!B:E,4,FALSE),VLOOKUP(E370,'04_PRODUCTOS'!B:G,6,FALSE)),VLOOKUP(E370,'04_PRODUCTOS'!B:E,4,FALSE))),"")</f>
        <v/>
      </c>
      <c r="H370" t="str">
        <f t="shared" si="20"/>
        <v/>
      </c>
      <c r="I370" t="str">
        <f>IFERROR(H370-(F370*VLOOKUP(E370,'04_PRODUCTOS'!B:D,3,FALSE)),"")</f>
        <v/>
      </c>
      <c r="J370" t="str">
        <f t="shared" si="21"/>
        <v/>
      </c>
    </row>
    <row r="371" spans="7:10" x14ac:dyDescent="0.25">
      <c r="G371" t="str">
        <f>IFERROR(IF(D371="Mayorista",IF(VLOOKUP(E371,'04_PRODUCTOS'!B:F,5,FALSE)="",VLOOKUP(E371,'04_PRODUCTOS'!B:E,4,FALSE),VLOOKUP(E371,'04_PRODUCTOS'!B:F,5,FALSE)),IF(D371="Especial",IF(VLOOKUP(E371,'04_PRODUCTOS'!B:G,6,FALSE)="",VLOOKUP(E371,'04_PRODUCTOS'!B:E,4,FALSE),VLOOKUP(E371,'04_PRODUCTOS'!B:G,6,FALSE)),VLOOKUP(E371,'04_PRODUCTOS'!B:E,4,FALSE))),"")</f>
        <v/>
      </c>
      <c r="H371" t="str">
        <f t="shared" si="20"/>
        <v/>
      </c>
      <c r="I371" t="str">
        <f>IFERROR(H371-(F371*VLOOKUP(E371,'04_PRODUCTOS'!B:D,3,FALSE)),"")</f>
        <v/>
      </c>
      <c r="J371" t="str">
        <f t="shared" si="21"/>
        <v/>
      </c>
    </row>
    <row r="372" spans="7:10" x14ac:dyDescent="0.25">
      <c r="G372" t="str">
        <f>IFERROR(IF(D372="Mayorista",IF(VLOOKUP(E372,'04_PRODUCTOS'!B:F,5,FALSE)="",VLOOKUP(E372,'04_PRODUCTOS'!B:E,4,FALSE),VLOOKUP(E372,'04_PRODUCTOS'!B:F,5,FALSE)),IF(D372="Especial",IF(VLOOKUP(E372,'04_PRODUCTOS'!B:G,6,FALSE)="",VLOOKUP(E372,'04_PRODUCTOS'!B:E,4,FALSE),VLOOKUP(E372,'04_PRODUCTOS'!B:G,6,FALSE)),VLOOKUP(E372,'04_PRODUCTOS'!B:E,4,FALSE))),"")</f>
        <v/>
      </c>
      <c r="H372" t="str">
        <f t="shared" si="20"/>
        <v/>
      </c>
      <c r="I372" t="str">
        <f>IFERROR(H372-(F372*VLOOKUP(E372,'04_PRODUCTOS'!B:D,3,FALSE)),"")</f>
        <v/>
      </c>
      <c r="J372" t="str">
        <f t="shared" si="21"/>
        <v/>
      </c>
    </row>
    <row r="373" spans="7:10" x14ac:dyDescent="0.25">
      <c r="G373" t="str">
        <f>IFERROR(IF(D373="Mayorista",IF(VLOOKUP(E373,'04_PRODUCTOS'!B:F,5,FALSE)="",VLOOKUP(E373,'04_PRODUCTOS'!B:E,4,FALSE),VLOOKUP(E373,'04_PRODUCTOS'!B:F,5,FALSE)),IF(D373="Especial",IF(VLOOKUP(E373,'04_PRODUCTOS'!B:G,6,FALSE)="",VLOOKUP(E373,'04_PRODUCTOS'!B:E,4,FALSE),VLOOKUP(E373,'04_PRODUCTOS'!B:G,6,FALSE)),VLOOKUP(E373,'04_PRODUCTOS'!B:E,4,FALSE))),"")</f>
        <v/>
      </c>
      <c r="H373" t="str">
        <f t="shared" si="20"/>
        <v/>
      </c>
      <c r="I373" t="str">
        <f>IFERROR(H373-(F373*VLOOKUP(E373,'04_PRODUCTOS'!B:D,3,FALSE)),"")</f>
        <v/>
      </c>
      <c r="J373" t="str">
        <f t="shared" si="21"/>
        <v/>
      </c>
    </row>
    <row r="374" spans="7:10" x14ac:dyDescent="0.25">
      <c r="G374" t="str">
        <f>IFERROR(IF(D374="Mayorista",IF(VLOOKUP(E374,'04_PRODUCTOS'!B:F,5,FALSE)="",VLOOKUP(E374,'04_PRODUCTOS'!B:E,4,FALSE),VLOOKUP(E374,'04_PRODUCTOS'!B:F,5,FALSE)),IF(D374="Especial",IF(VLOOKUP(E374,'04_PRODUCTOS'!B:G,6,FALSE)="",VLOOKUP(E374,'04_PRODUCTOS'!B:E,4,FALSE),VLOOKUP(E374,'04_PRODUCTOS'!B:G,6,FALSE)),VLOOKUP(E374,'04_PRODUCTOS'!B:E,4,FALSE))),"")</f>
        <v/>
      </c>
      <c r="H374" t="str">
        <f t="shared" si="20"/>
        <v/>
      </c>
      <c r="I374" t="str">
        <f>IFERROR(H374-(F374*VLOOKUP(E374,'04_PRODUCTOS'!B:D,3,FALSE)),"")</f>
        <v/>
      </c>
      <c r="J374" t="str">
        <f t="shared" si="21"/>
        <v/>
      </c>
    </row>
    <row r="375" spans="7:10" x14ac:dyDescent="0.25">
      <c r="G375" t="str">
        <f>IFERROR(IF(D375="Mayorista",IF(VLOOKUP(E375,'04_PRODUCTOS'!B:F,5,FALSE)="",VLOOKUP(E375,'04_PRODUCTOS'!B:E,4,FALSE),VLOOKUP(E375,'04_PRODUCTOS'!B:F,5,FALSE)),IF(D375="Especial",IF(VLOOKUP(E375,'04_PRODUCTOS'!B:G,6,FALSE)="",VLOOKUP(E375,'04_PRODUCTOS'!B:E,4,FALSE),VLOOKUP(E375,'04_PRODUCTOS'!B:G,6,FALSE)),VLOOKUP(E375,'04_PRODUCTOS'!B:E,4,FALSE))),"")</f>
        <v/>
      </c>
      <c r="H375" t="str">
        <f t="shared" si="20"/>
        <v/>
      </c>
      <c r="I375" t="str">
        <f>IFERROR(H375-(F375*VLOOKUP(E375,'04_PRODUCTOS'!B:D,3,FALSE)),"")</f>
        <v/>
      </c>
      <c r="J375" t="str">
        <f t="shared" si="21"/>
        <v/>
      </c>
    </row>
    <row r="376" spans="7:10" x14ac:dyDescent="0.25">
      <c r="G376" t="str">
        <f>IFERROR(IF(D376="Mayorista",IF(VLOOKUP(E376,'04_PRODUCTOS'!B:F,5,FALSE)="",VLOOKUP(E376,'04_PRODUCTOS'!B:E,4,FALSE),VLOOKUP(E376,'04_PRODUCTOS'!B:F,5,FALSE)),IF(D376="Especial",IF(VLOOKUP(E376,'04_PRODUCTOS'!B:G,6,FALSE)="",VLOOKUP(E376,'04_PRODUCTOS'!B:E,4,FALSE),VLOOKUP(E376,'04_PRODUCTOS'!B:G,6,FALSE)),VLOOKUP(E376,'04_PRODUCTOS'!B:E,4,FALSE))),"")</f>
        <v/>
      </c>
      <c r="H376" t="str">
        <f t="shared" si="20"/>
        <v/>
      </c>
      <c r="I376" t="str">
        <f>IFERROR(H376-(F376*VLOOKUP(E376,'04_PRODUCTOS'!B:D,3,FALSE)),"")</f>
        <v/>
      </c>
      <c r="J376" t="str">
        <f t="shared" si="21"/>
        <v/>
      </c>
    </row>
    <row r="377" spans="7:10" x14ac:dyDescent="0.25">
      <c r="G377" t="str">
        <f>IFERROR(IF(D377="Mayorista",IF(VLOOKUP(E377,'04_PRODUCTOS'!B:F,5,FALSE)="",VLOOKUP(E377,'04_PRODUCTOS'!B:E,4,FALSE),VLOOKUP(E377,'04_PRODUCTOS'!B:F,5,FALSE)),IF(D377="Especial",IF(VLOOKUP(E377,'04_PRODUCTOS'!B:G,6,FALSE)="",VLOOKUP(E377,'04_PRODUCTOS'!B:E,4,FALSE),VLOOKUP(E377,'04_PRODUCTOS'!B:G,6,FALSE)),VLOOKUP(E377,'04_PRODUCTOS'!B:E,4,FALSE))),"")</f>
        <v/>
      </c>
      <c r="H377" t="str">
        <f t="shared" si="20"/>
        <v/>
      </c>
      <c r="I377" t="str">
        <f>IFERROR(H377-(F377*VLOOKUP(E377,'04_PRODUCTOS'!B:D,3,FALSE)),"")</f>
        <v/>
      </c>
      <c r="J377" t="str">
        <f t="shared" si="21"/>
        <v/>
      </c>
    </row>
    <row r="378" spans="7:10" x14ac:dyDescent="0.25">
      <c r="G378" t="str">
        <f>IFERROR(IF(D378="Mayorista",IF(VLOOKUP(E378,'04_PRODUCTOS'!B:F,5,FALSE)="",VLOOKUP(E378,'04_PRODUCTOS'!B:E,4,FALSE),VLOOKUP(E378,'04_PRODUCTOS'!B:F,5,FALSE)),IF(D378="Especial",IF(VLOOKUP(E378,'04_PRODUCTOS'!B:G,6,FALSE)="",VLOOKUP(E378,'04_PRODUCTOS'!B:E,4,FALSE),VLOOKUP(E378,'04_PRODUCTOS'!B:G,6,FALSE)),VLOOKUP(E378,'04_PRODUCTOS'!B:E,4,FALSE))),"")</f>
        <v/>
      </c>
      <c r="H378" t="str">
        <f t="shared" si="20"/>
        <v/>
      </c>
      <c r="I378" t="str">
        <f>IFERROR(H378-(F378*VLOOKUP(E378,'04_PRODUCTOS'!B:D,3,FALSE)),"")</f>
        <v/>
      </c>
      <c r="J378" t="str">
        <f t="shared" si="21"/>
        <v/>
      </c>
    </row>
    <row r="379" spans="7:10" x14ac:dyDescent="0.25">
      <c r="G379" t="str">
        <f>IFERROR(IF(D379="Mayorista",IF(VLOOKUP(E379,'04_PRODUCTOS'!B:F,5,FALSE)="",VLOOKUP(E379,'04_PRODUCTOS'!B:E,4,FALSE),VLOOKUP(E379,'04_PRODUCTOS'!B:F,5,FALSE)),IF(D379="Especial",IF(VLOOKUP(E379,'04_PRODUCTOS'!B:G,6,FALSE)="",VLOOKUP(E379,'04_PRODUCTOS'!B:E,4,FALSE),VLOOKUP(E379,'04_PRODUCTOS'!B:G,6,FALSE)),VLOOKUP(E379,'04_PRODUCTOS'!B:E,4,FALSE))),"")</f>
        <v/>
      </c>
      <c r="H379" t="str">
        <f t="shared" si="20"/>
        <v/>
      </c>
      <c r="I379" t="str">
        <f>IFERROR(H379-(F379*VLOOKUP(E379,'04_PRODUCTOS'!B:D,3,FALSE)),"")</f>
        <v/>
      </c>
      <c r="J379" t="str">
        <f t="shared" si="21"/>
        <v/>
      </c>
    </row>
    <row r="380" spans="7:10" x14ac:dyDescent="0.25">
      <c r="G380" t="str">
        <f>IFERROR(IF(D380="Mayorista",IF(VLOOKUP(E380,'04_PRODUCTOS'!B:F,5,FALSE)="",VLOOKUP(E380,'04_PRODUCTOS'!B:E,4,FALSE),VLOOKUP(E380,'04_PRODUCTOS'!B:F,5,FALSE)),IF(D380="Especial",IF(VLOOKUP(E380,'04_PRODUCTOS'!B:G,6,FALSE)="",VLOOKUP(E380,'04_PRODUCTOS'!B:E,4,FALSE),VLOOKUP(E380,'04_PRODUCTOS'!B:G,6,FALSE)),VLOOKUP(E380,'04_PRODUCTOS'!B:E,4,FALSE))),"")</f>
        <v/>
      </c>
      <c r="H380" t="str">
        <f t="shared" si="20"/>
        <v/>
      </c>
      <c r="I380" t="str">
        <f>IFERROR(H380-(F380*VLOOKUP(E380,'04_PRODUCTOS'!B:D,3,FALSE)),"")</f>
        <v/>
      </c>
      <c r="J380" t="str">
        <f t="shared" si="21"/>
        <v/>
      </c>
    </row>
    <row r="381" spans="7:10" x14ac:dyDescent="0.25">
      <c r="G381" t="str">
        <f>IFERROR(IF(D381="Mayorista",IF(VLOOKUP(E381,'04_PRODUCTOS'!B:F,5,FALSE)="",VLOOKUP(E381,'04_PRODUCTOS'!B:E,4,FALSE),VLOOKUP(E381,'04_PRODUCTOS'!B:F,5,FALSE)),IF(D381="Especial",IF(VLOOKUP(E381,'04_PRODUCTOS'!B:G,6,FALSE)="",VLOOKUP(E381,'04_PRODUCTOS'!B:E,4,FALSE),VLOOKUP(E381,'04_PRODUCTOS'!B:G,6,FALSE)),VLOOKUP(E381,'04_PRODUCTOS'!B:E,4,FALSE))),"")</f>
        <v/>
      </c>
      <c r="H381" t="str">
        <f t="shared" si="20"/>
        <v/>
      </c>
      <c r="I381" t="str">
        <f>IFERROR(H381-(F381*VLOOKUP(E381,'04_PRODUCTOS'!B:D,3,FALSE)),"")</f>
        <v/>
      </c>
      <c r="J381" t="str">
        <f t="shared" si="21"/>
        <v/>
      </c>
    </row>
    <row r="382" spans="7:10" x14ac:dyDescent="0.25">
      <c r="G382" t="str">
        <f>IFERROR(IF(D382="Mayorista",IF(VLOOKUP(E382,'04_PRODUCTOS'!B:F,5,FALSE)="",VLOOKUP(E382,'04_PRODUCTOS'!B:E,4,FALSE),VLOOKUP(E382,'04_PRODUCTOS'!B:F,5,FALSE)),IF(D382="Especial",IF(VLOOKUP(E382,'04_PRODUCTOS'!B:G,6,FALSE)="",VLOOKUP(E382,'04_PRODUCTOS'!B:E,4,FALSE),VLOOKUP(E382,'04_PRODUCTOS'!B:G,6,FALSE)),VLOOKUP(E382,'04_PRODUCTOS'!B:E,4,FALSE))),"")</f>
        <v/>
      </c>
      <c r="H382" t="str">
        <f t="shared" si="20"/>
        <v/>
      </c>
      <c r="I382" t="str">
        <f>IFERROR(H382-(F382*VLOOKUP(E382,'04_PRODUCTOS'!B:D,3,FALSE)),"")</f>
        <v/>
      </c>
      <c r="J382" t="str">
        <f t="shared" si="21"/>
        <v/>
      </c>
    </row>
    <row r="383" spans="7:10" x14ac:dyDescent="0.25">
      <c r="G383" t="str">
        <f>IFERROR(IF(D383="Mayorista",IF(VLOOKUP(E383,'04_PRODUCTOS'!B:F,5,FALSE)="",VLOOKUP(E383,'04_PRODUCTOS'!B:E,4,FALSE),VLOOKUP(E383,'04_PRODUCTOS'!B:F,5,FALSE)),IF(D383="Especial",IF(VLOOKUP(E383,'04_PRODUCTOS'!B:G,6,FALSE)="",VLOOKUP(E383,'04_PRODUCTOS'!B:E,4,FALSE),VLOOKUP(E383,'04_PRODUCTOS'!B:G,6,FALSE)),VLOOKUP(E383,'04_PRODUCTOS'!B:E,4,FALSE))),"")</f>
        <v/>
      </c>
      <c r="H383" t="str">
        <f t="shared" si="20"/>
        <v/>
      </c>
      <c r="I383" t="str">
        <f>IFERROR(H383-(F383*VLOOKUP(E383,'04_PRODUCTOS'!B:D,3,FALSE)),"")</f>
        <v/>
      </c>
      <c r="J383" t="str">
        <f t="shared" si="21"/>
        <v/>
      </c>
    </row>
    <row r="384" spans="7:10" x14ac:dyDescent="0.25">
      <c r="G384" t="str">
        <f>IFERROR(IF(D384="Mayorista",IF(VLOOKUP(E384,'04_PRODUCTOS'!B:F,5,FALSE)="",VLOOKUP(E384,'04_PRODUCTOS'!B:E,4,FALSE),VLOOKUP(E384,'04_PRODUCTOS'!B:F,5,FALSE)),IF(D384="Especial",IF(VLOOKUP(E384,'04_PRODUCTOS'!B:G,6,FALSE)="",VLOOKUP(E384,'04_PRODUCTOS'!B:E,4,FALSE),VLOOKUP(E384,'04_PRODUCTOS'!B:G,6,FALSE)),VLOOKUP(E384,'04_PRODUCTOS'!B:E,4,FALSE))),"")</f>
        <v/>
      </c>
      <c r="H384" t="str">
        <f t="shared" si="20"/>
        <v/>
      </c>
      <c r="I384" t="str">
        <f>IFERROR(H384-(F384*VLOOKUP(E384,'04_PRODUCTOS'!B:D,3,FALSE)),"")</f>
        <v/>
      </c>
      <c r="J384" t="str">
        <f t="shared" si="21"/>
        <v/>
      </c>
    </row>
    <row r="385" spans="7:10" x14ac:dyDescent="0.25">
      <c r="G385" t="str">
        <f>IFERROR(IF(D385="Mayorista",IF(VLOOKUP(E385,'04_PRODUCTOS'!B:F,5,FALSE)="",VLOOKUP(E385,'04_PRODUCTOS'!B:E,4,FALSE),VLOOKUP(E385,'04_PRODUCTOS'!B:F,5,FALSE)),IF(D385="Especial",IF(VLOOKUP(E385,'04_PRODUCTOS'!B:G,6,FALSE)="",VLOOKUP(E385,'04_PRODUCTOS'!B:E,4,FALSE),VLOOKUP(E385,'04_PRODUCTOS'!B:G,6,FALSE)),VLOOKUP(E385,'04_PRODUCTOS'!B:E,4,FALSE))),"")</f>
        <v/>
      </c>
      <c r="H385" t="str">
        <f t="shared" si="20"/>
        <v/>
      </c>
      <c r="I385" t="str">
        <f>IFERROR(H385-(F385*VLOOKUP(E385,'04_PRODUCTOS'!B:D,3,FALSE)),"")</f>
        <v/>
      </c>
      <c r="J385" t="str">
        <f t="shared" si="21"/>
        <v/>
      </c>
    </row>
    <row r="386" spans="7:10" x14ac:dyDescent="0.25">
      <c r="G386" t="str">
        <f>IFERROR(IF(D386="Mayorista",IF(VLOOKUP(E386,'04_PRODUCTOS'!B:F,5,FALSE)="",VLOOKUP(E386,'04_PRODUCTOS'!B:E,4,FALSE),VLOOKUP(E386,'04_PRODUCTOS'!B:F,5,FALSE)),IF(D386="Especial",IF(VLOOKUP(E386,'04_PRODUCTOS'!B:G,6,FALSE)="",VLOOKUP(E386,'04_PRODUCTOS'!B:E,4,FALSE),VLOOKUP(E386,'04_PRODUCTOS'!B:G,6,FALSE)),VLOOKUP(E386,'04_PRODUCTOS'!B:E,4,FALSE))),"")</f>
        <v/>
      </c>
      <c r="H386" t="str">
        <f t="shared" ref="H386:H449" si="22">IF(AND(F386&lt;&gt;"",G386&lt;&gt;""),F386*G386,"")</f>
        <v/>
      </c>
      <c r="I386" t="str">
        <f>IFERROR(H386-(F386*VLOOKUP(E386,'04_PRODUCTOS'!B:D,3,FALSE)),"")</f>
        <v/>
      </c>
      <c r="J386" t="str">
        <f t="shared" ref="J386:J449" si="23">IFERROR(I386/H386,"")</f>
        <v/>
      </c>
    </row>
    <row r="387" spans="7:10" x14ac:dyDescent="0.25">
      <c r="G387" t="str">
        <f>IFERROR(IF(D387="Mayorista",IF(VLOOKUP(E387,'04_PRODUCTOS'!B:F,5,FALSE)="",VLOOKUP(E387,'04_PRODUCTOS'!B:E,4,FALSE),VLOOKUP(E387,'04_PRODUCTOS'!B:F,5,FALSE)),IF(D387="Especial",IF(VLOOKUP(E387,'04_PRODUCTOS'!B:G,6,FALSE)="",VLOOKUP(E387,'04_PRODUCTOS'!B:E,4,FALSE),VLOOKUP(E387,'04_PRODUCTOS'!B:G,6,FALSE)),VLOOKUP(E387,'04_PRODUCTOS'!B:E,4,FALSE))),"")</f>
        <v/>
      </c>
      <c r="H387" t="str">
        <f t="shared" si="22"/>
        <v/>
      </c>
      <c r="I387" t="str">
        <f>IFERROR(H387-(F387*VLOOKUP(E387,'04_PRODUCTOS'!B:D,3,FALSE)),"")</f>
        <v/>
      </c>
      <c r="J387" t="str">
        <f t="shared" si="23"/>
        <v/>
      </c>
    </row>
    <row r="388" spans="7:10" x14ac:dyDescent="0.25">
      <c r="G388" t="str">
        <f>IFERROR(IF(D388="Mayorista",IF(VLOOKUP(E388,'04_PRODUCTOS'!B:F,5,FALSE)="",VLOOKUP(E388,'04_PRODUCTOS'!B:E,4,FALSE),VLOOKUP(E388,'04_PRODUCTOS'!B:F,5,FALSE)),IF(D388="Especial",IF(VLOOKUP(E388,'04_PRODUCTOS'!B:G,6,FALSE)="",VLOOKUP(E388,'04_PRODUCTOS'!B:E,4,FALSE),VLOOKUP(E388,'04_PRODUCTOS'!B:G,6,FALSE)),VLOOKUP(E388,'04_PRODUCTOS'!B:E,4,FALSE))),"")</f>
        <v/>
      </c>
      <c r="H388" t="str">
        <f t="shared" si="22"/>
        <v/>
      </c>
      <c r="I388" t="str">
        <f>IFERROR(H388-(F388*VLOOKUP(E388,'04_PRODUCTOS'!B:D,3,FALSE)),"")</f>
        <v/>
      </c>
      <c r="J388" t="str">
        <f t="shared" si="23"/>
        <v/>
      </c>
    </row>
    <row r="389" spans="7:10" x14ac:dyDescent="0.25">
      <c r="G389" t="str">
        <f>IFERROR(IF(D389="Mayorista",IF(VLOOKUP(E389,'04_PRODUCTOS'!B:F,5,FALSE)="",VLOOKUP(E389,'04_PRODUCTOS'!B:E,4,FALSE),VLOOKUP(E389,'04_PRODUCTOS'!B:F,5,FALSE)),IF(D389="Especial",IF(VLOOKUP(E389,'04_PRODUCTOS'!B:G,6,FALSE)="",VLOOKUP(E389,'04_PRODUCTOS'!B:E,4,FALSE),VLOOKUP(E389,'04_PRODUCTOS'!B:G,6,FALSE)),VLOOKUP(E389,'04_PRODUCTOS'!B:E,4,FALSE))),"")</f>
        <v/>
      </c>
      <c r="H389" t="str">
        <f t="shared" si="22"/>
        <v/>
      </c>
      <c r="I389" t="str">
        <f>IFERROR(H389-(F389*VLOOKUP(E389,'04_PRODUCTOS'!B:D,3,FALSE)),"")</f>
        <v/>
      </c>
      <c r="J389" t="str">
        <f t="shared" si="23"/>
        <v/>
      </c>
    </row>
    <row r="390" spans="7:10" x14ac:dyDescent="0.25">
      <c r="G390" t="str">
        <f>IFERROR(IF(D390="Mayorista",IF(VLOOKUP(E390,'04_PRODUCTOS'!B:F,5,FALSE)="",VLOOKUP(E390,'04_PRODUCTOS'!B:E,4,FALSE),VLOOKUP(E390,'04_PRODUCTOS'!B:F,5,FALSE)),IF(D390="Especial",IF(VLOOKUP(E390,'04_PRODUCTOS'!B:G,6,FALSE)="",VLOOKUP(E390,'04_PRODUCTOS'!B:E,4,FALSE),VLOOKUP(E390,'04_PRODUCTOS'!B:G,6,FALSE)),VLOOKUP(E390,'04_PRODUCTOS'!B:E,4,FALSE))),"")</f>
        <v/>
      </c>
      <c r="H390" t="str">
        <f t="shared" si="22"/>
        <v/>
      </c>
      <c r="I390" t="str">
        <f>IFERROR(H390-(F390*VLOOKUP(E390,'04_PRODUCTOS'!B:D,3,FALSE)),"")</f>
        <v/>
      </c>
      <c r="J390" t="str">
        <f t="shared" si="23"/>
        <v/>
      </c>
    </row>
    <row r="391" spans="7:10" x14ac:dyDescent="0.25">
      <c r="G391" t="str">
        <f>IFERROR(IF(D391="Mayorista",IF(VLOOKUP(E391,'04_PRODUCTOS'!B:F,5,FALSE)="",VLOOKUP(E391,'04_PRODUCTOS'!B:E,4,FALSE),VLOOKUP(E391,'04_PRODUCTOS'!B:F,5,FALSE)),IF(D391="Especial",IF(VLOOKUP(E391,'04_PRODUCTOS'!B:G,6,FALSE)="",VLOOKUP(E391,'04_PRODUCTOS'!B:E,4,FALSE),VLOOKUP(E391,'04_PRODUCTOS'!B:G,6,FALSE)),VLOOKUP(E391,'04_PRODUCTOS'!B:E,4,FALSE))),"")</f>
        <v/>
      </c>
      <c r="H391" t="str">
        <f t="shared" si="22"/>
        <v/>
      </c>
      <c r="I391" t="str">
        <f>IFERROR(H391-(F391*VLOOKUP(E391,'04_PRODUCTOS'!B:D,3,FALSE)),"")</f>
        <v/>
      </c>
      <c r="J391" t="str">
        <f t="shared" si="23"/>
        <v/>
      </c>
    </row>
    <row r="392" spans="7:10" x14ac:dyDescent="0.25">
      <c r="G392" t="str">
        <f>IFERROR(IF(D392="Mayorista",IF(VLOOKUP(E392,'04_PRODUCTOS'!B:F,5,FALSE)="",VLOOKUP(E392,'04_PRODUCTOS'!B:E,4,FALSE),VLOOKUP(E392,'04_PRODUCTOS'!B:F,5,FALSE)),IF(D392="Especial",IF(VLOOKUP(E392,'04_PRODUCTOS'!B:G,6,FALSE)="",VLOOKUP(E392,'04_PRODUCTOS'!B:E,4,FALSE),VLOOKUP(E392,'04_PRODUCTOS'!B:G,6,FALSE)),VLOOKUP(E392,'04_PRODUCTOS'!B:E,4,FALSE))),"")</f>
        <v/>
      </c>
      <c r="H392" t="str">
        <f t="shared" si="22"/>
        <v/>
      </c>
      <c r="I392" t="str">
        <f>IFERROR(H392-(F392*VLOOKUP(E392,'04_PRODUCTOS'!B:D,3,FALSE)),"")</f>
        <v/>
      </c>
      <c r="J392" t="str">
        <f t="shared" si="23"/>
        <v/>
      </c>
    </row>
    <row r="393" spans="7:10" x14ac:dyDescent="0.25">
      <c r="G393" t="str">
        <f>IFERROR(IF(D393="Mayorista",IF(VLOOKUP(E393,'04_PRODUCTOS'!B:F,5,FALSE)="",VLOOKUP(E393,'04_PRODUCTOS'!B:E,4,FALSE),VLOOKUP(E393,'04_PRODUCTOS'!B:F,5,FALSE)),IF(D393="Especial",IF(VLOOKUP(E393,'04_PRODUCTOS'!B:G,6,FALSE)="",VLOOKUP(E393,'04_PRODUCTOS'!B:E,4,FALSE),VLOOKUP(E393,'04_PRODUCTOS'!B:G,6,FALSE)),VLOOKUP(E393,'04_PRODUCTOS'!B:E,4,FALSE))),"")</f>
        <v/>
      </c>
      <c r="H393" t="str">
        <f t="shared" si="22"/>
        <v/>
      </c>
      <c r="I393" t="str">
        <f>IFERROR(H393-(F393*VLOOKUP(E393,'04_PRODUCTOS'!B:D,3,FALSE)),"")</f>
        <v/>
      </c>
      <c r="J393" t="str">
        <f t="shared" si="23"/>
        <v/>
      </c>
    </row>
    <row r="394" spans="7:10" x14ac:dyDescent="0.25">
      <c r="G394" t="str">
        <f>IFERROR(IF(D394="Mayorista",IF(VLOOKUP(E394,'04_PRODUCTOS'!B:F,5,FALSE)="",VLOOKUP(E394,'04_PRODUCTOS'!B:E,4,FALSE),VLOOKUP(E394,'04_PRODUCTOS'!B:F,5,FALSE)),IF(D394="Especial",IF(VLOOKUP(E394,'04_PRODUCTOS'!B:G,6,FALSE)="",VLOOKUP(E394,'04_PRODUCTOS'!B:E,4,FALSE),VLOOKUP(E394,'04_PRODUCTOS'!B:G,6,FALSE)),VLOOKUP(E394,'04_PRODUCTOS'!B:E,4,FALSE))),"")</f>
        <v/>
      </c>
      <c r="H394" t="str">
        <f t="shared" si="22"/>
        <v/>
      </c>
      <c r="I394" t="str">
        <f>IFERROR(H394-(F394*VLOOKUP(E394,'04_PRODUCTOS'!B:D,3,FALSE)),"")</f>
        <v/>
      </c>
      <c r="J394" t="str">
        <f t="shared" si="23"/>
        <v/>
      </c>
    </row>
    <row r="395" spans="7:10" x14ac:dyDescent="0.25">
      <c r="G395" t="str">
        <f>IFERROR(IF(D395="Mayorista",IF(VLOOKUP(E395,'04_PRODUCTOS'!B:F,5,FALSE)="",VLOOKUP(E395,'04_PRODUCTOS'!B:E,4,FALSE),VLOOKUP(E395,'04_PRODUCTOS'!B:F,5,FALSE)),IF(D395="Especial",IF(VLOOKUP(E395,'04_PRODUCTOS'!B:G,6,FALSE)="",VLOOKUP(E395,'04_PRODUCTOS'!B:E,4,FALSE),VLOOKUP(E395,'04_PRODUCTOS'!B:G,6,FALSE)),VLOOKUP(E395,'04_PRODUCTOS'!B:E,4,FALSE))),"")</f>
        <v/>
      </c>
      <c r="H395" t="str">
        <f t="shared" si="22"/>
        <v/>
      </c>
      <c r="I395" t="str">
        <f>IFERROR(H395-(F395*VLOOKUP(E395,'04_PRODUCTOS'!B:D,3,FALSE)),"")</f>
        <v/>
      </c>
      <c r="J395" t="str">
        <f t="shared" si="23"/>
        <v/>
      </c>
    </row>
    <row r="396" spans="7:10" x14ac:dyDescent="0.25">
      <c r="G396" t="str">
        <f>IFERROR(IF(D396="Mayorista",IF(VLOOKUP(E396,'04_PRODUCTOS'!B:F,5,FALSE)="",VLOOKUP(E396,'04_PRODUCTOS'!B:E,4,FALSE),VLOOKUP(E396,'04_PRODUCTOS'!B:F,5,FALSE)),IF(D396="Especial",IF(VLOOKUP(E396,'04_PRODUCTOS'!B:G,6,FALSE)="",VLOOKUP(E396,'04_PRODUCTOS'!B:E,4,FALSE),VLOOKUP(E396,'04_PRODUCTOS'!B:G,6,FALSE)),VLOOKUP(E396,'04_PRODUCTOS'!B:E,4,FALSE))),"")</f>
        <v/>
      </c>
      <c r="H396" t="str">
        <f t="shared" si="22"/>
        <v/>
      </c>
      <c r="I396" t="str">
        <f>IFERROR(H396-(F396*VLOOKUP(E396,'04_PRODUCTOS'!B:D,3,FALSE)),"")</f>
        <v/>
      </c>
      <c r="J396" t="str">
        <f t="shared" si="23"/>
        <v/>
      </c>
    </row>
    <row r="397" spans="7:10" x14ac:dyDescent="0.25">
      <c r="G397" t="str">
        <f>IFERROR(IF(D397="Mayorista",IF(VLOOKUP(E397,'04_PRODUCTOS'!B:F,5,FALSE)="",VLOOKUP(E397,'04_PRODUCTOS'!B:E,4,FALSE),VLOOKUP(E397,'04_PRODUCTOS'!B:F,5,FALSE)),IF(D397="Especial",IF(VLOOKUP(E397,'04_PRODUCTOS'!B:G,6,FALSE)="",VLOOKUP(E397,'04_PRODUCTOS'!B:E,4,FALSE),VLOOKUP(E397,'04_PRODUCTOS'!B:G,6,FALSE)),VLOOKUP(E397,'04_PRODUCTOS'!B:E,4,FALSE))),"")</f>
        <v/>
      </c>
      <c r="H397" t="str">
        <f t="shared" si="22"/>
        <v/>
      </c>
      <c r="I397" t="str">
        <f>IFERROR(H397-(F397*VLOOKUP(E397,'04_PRODUCTOS'!B:D,3,FALSE)),"")</f>
        <v/>
      </c>
      <c r="J397" t="str">
        <f t="shared" si="23"/>
        <v/>
      </c>
    </row>
    <row r="398" spans="7:10" x14ac:dyDescent="0.25">
      <c r="G398" t="str">
        <f>IFERROR(IF(D398="Mayorista",IF(VLOOKUP(E398,'04_PRODUCTOS'!B:F,5,FALSE)="",VLOOKUP(E398,'04_PRODUCTOS'!B:E,4,FALSE),VLOOKUP(E398,'04_PRODUCTOS'!B:F,5,FALSE)),IF(D398="Especial",IF(VLOOKUP(E398,'04_PRODUCTOS'!B:G,6,FALSE)="",VLOOKUP(E398,'04_PRODUCTOS'!B:E,4,FALSE),VLOOKUP(E398,'04_PRODUCTOS'!B:G,6,FALSE)),VLOOKUP(E398,'04_PRODUCTOS'!B:E,4,FALSE))),"")</f>
        <v/>
      </c>
      <c r="H398" t="str">
        <f t="shared" si="22"/>
        <v/>
      </c>
      <c r="I398" t="str">
        <f>IFERROR(H398-(F398*VLOOKUP(E398,'04_PRODUCTOS'!B:D,3,FALSE)),"")</f>
        <v/>
      </c>
      <c r="J398" t="str">
        <f t="shared" si="23"/>
        <v/>
      </c>
    </row>
    <row r="399" spans="7:10" x14ac:dyDescent="0.25">
      <c r="G399" t="str">
        <f>IFERROR(IF(D399="Mayorista",IF(VLOOKUP(E399,'04_PRODUCTOS'!B:F,5,FALSE)="",VLOOKUP(E399,'04_PRODUCTOS'!B:E,4,FALSE),VLOOKUP(E399,'04_PRODUCTOS'!B:F,5,FALSE)),IF(D399="Especial",IF(VLOOKUP(E399,'04_PRODUCTOS'!B:G,6,FALSE)="",VLOOKUP(E399,'04_PRODUCTOS'!B:E,4,FALSE),VLOOKUP(E399,'04_PRODUCTOS'!B:G,6,FALSE)),VLOOKUP(E399,'04_PRODUCTOS'!B:E,4,FALSE))),"")</f>
        <v/>
      </c>
      <c r="H399" t="str">
        <f t="shared" si="22"/>
        <v/>
      </c>
      <c r="I399" t="str">
        <f>IFERROR(H399-(F399*VLOOKUP(E399,'04_PRODUCTOS'!B:D,3,FALSE)),"")</f>
        <v/>
      </c>
      <c r="J399" t="str">
        <f t="shared" si="23"/>
        <v/>
      </c>
    </row>
    <row r="400" spans="7:10" x14ac:dyDescent="0.25">
      <c r="G400" t="str">
        <f>IFERROR(IF(D400="Mayorista",IF(VLOOKUP(E400,'04_PRODUCTOS'!B:F,5,FALSE)="",VLOOKUP(E400,'04_PRODUCTOS'!B:E,4,FALSE),VLOOKUP(E400,'04_PRODUCTOS'!B:F,5,FALSE)),IF(D400="Especial",IF(VLOOKUP(E400,'04_PRODUCTOS'!B:G,6,FALSE)="",VLOOKUP(E400,'04_PRODUCTOS'!B:E,4,FALSE),VLOOKUP(E400,'04_PRODUCTOS'!B:G,6,FALSE)),VLOOKUP(E400,'04_PRODUCTOS'!B:E,4,FALSE))),"")</f>
        <v/>
      </c>
      <c r="H400" t="str">
        <f t="shared" si="22"/>
        <v/>
      </c>
      <c r="I400" t="str">
        <f>IFERROR(H400-(F400*VLOOKUP(E400,'04_PRODUCTOS'!B:D,3,FALSE)),"")</f>
        <v/>
      </c>
      <c r="J400" t="str">
        <f t="shared" si="23"/>
        <v/>
      </c>
    </row>
    <row r="401" spans="7:10" x14ac:dyDescent="0.25">
      <c r="G401" t="str">
        <f>IFERROR(IF(D401="Mayorista",IF(VLOOKUP(E401,'04_PRODUCTOS'!B:F,5,FALSE)="",VLOOKUP(E401,'04_PRODUCTOS'!B:E,4,FALSE),VLOOKUP(E401,'04_PRODUCTOS'!B:F,5,FALSE)),IF(D401="Especial",IF(VLOOKUP(E401,'04_PRODUCTOS'!B:G,6,FALSE)="",VLOOKUP(E401,'04_PRODUCTOS'!B:E,4,FALSE),VLOOKUP(E401,'04_PRODUCTOS'!B:G,6,FALSE)),VLOOKUP(E401,'04_PRODUCTOS'!B:E,4,FALSE))),"")</f>
        <v/>
      </c>
      <c r="H401" t="str">
        <f t="shared" si="22"/>
        <v/>
      </c>
      <c r="I401" t="str">
        <f>IFERROR(H401-(F401*VLOOKUP(E401,'04_PRODUCTOS'!B:D,3,FALSE)),"")</f>
        <v/>
      </c>
      <c r="J401" t="str">
        <f t="shared" si="23"/>
        <v/>
      </c>
    </row>
    <row r="402" spans="7:10" x14ac:dyDescent="0.25">
      <c r="G402" t="str">
        <f>IFERROR(IF(D402="Mayorista",IF(VLOOKUP(E402,'04_PRODUCTOS'!B:F,5,FALSE)="",VLOOKUP(E402,'04_PRODUCTOS'!B:E,4,FALSE),VLOOKUP(E402,'04_PRODUCTOS'!B:F,5,FALSE)),IF(D402="Especial",IF(VLOOKUP(E402,'04_PRODUCTOS'!B:G,6,FALSE)="",VLOOKUP(E402,'04_PRODUCTOS'!B:E,4,FALSE),VLOOKUP(E402,'04_PRODUCTOS'!B:G,6,FALSE)),VLOOKUP(E402,'04_PRODUCTOS'!B:E,4,FALSE))),"")</f>
        <v/>
      </c>
      <c r="H402" t="str">
        <f t="shared" si="22"/>
        <v/>
      </c>
      <c r="I402" t="str">
        <f>IFERROR(H402-(F402*VLOOKUP(E402,'04_PRODUCTOS'!B:D,3,FALSE)),"")</f>
        <v/>
      </c>
      <c r="J402" t="str">
        <f t="shared" si="23"/>
        <v/>
      </c>
    </row>
    <row r="403" spans="7:10" x14ac:dyDescent="0.25">
      <c r="G403" t="str">
        <f>IFERROR(IF(D403="Mayorista",IF(VLOOKUP(E403,'04_PRODUCTOS'!B:F,5,FALSE)="",VLOOKUP(E403,'04_PRODUCTOS'!B:E,4,FALSE),VLOOKUP(E403,'04_PRODUCTOS'!B:F,5,FALSE)),IF(D403="Especial",IF(VLOOKUP(E403,'04_PRODUCTOS'!B:G,6,FALSE)="",VLOOKUP(E403,'04_PRODUCTOS'!B:E,4,FALSE),VLOOKUP(E403,'04_PRODUCTOS'!B:G,6,FALSE)),VLOOKUP(E403,'04_PRODUCTOS'!B:E,4,FALSE))),"")</f>
        <v/>
      </c>
      <c r="H403" t="str">
        <f t="shared" si="22"/>
        <v/>
      </c>
      <c r="I403" t="str">
        <f>IFERROR(H403-(F403*VLOOKUP(E403,'04_PRODUCTOS'!B:D,3,FALSE)),"")</f>
        <v/>
      </c>
      <c r="J403" t="str">
        <f t="shared" si="23"/>
        <v/>
      </c>
    </row>
    <row r="404" spans="7:10" x14ac:dyDescent="0.25">
      <c r="G404" t="str">
        <f>IFERROR(IF(D404="Mayorista",IF(VLOOKUP(E404,'04_PRODUCTOS'!B:F,5,FALSE)="",VLOOKUP(E404,'04_PRODUCTOS'!B:E,4,FALSE),VLOOKUP(E404,'04_PRODUCTOS'!B:F,5,FALSE)),IF(D404="Especial",IF(VLOOKUP(E404,'04_PRODUCTOS'!B:G,6,FALSE)="",VLOOKUP(E404,'04_PRODUCTOS'!B:E,4,FALSE),VLOOKUP(E404,'04_PRODUCTOS'!B:G,6,FALSE)),VLOOKUP(E404,'04_PRODUCTOS'!B:E,4,FALSE))),"")</f>
        <v/>
      </c>
      <c r="H404" t="str">
        <f t="shared" si="22"/>
        <v/>
      </c>
      <c r="I404" t="str">
        <f>IFERROR(H404-(F404*VLOOKUP(E404,'04_PRODUCTOS'!B:D,3,FALSE)),"")</f>
        <v/>
      </c>
      <c r="J404" t="str">
        <f t="shared" si="23"/>
        <v/>
      </c>
    </row>
    <row r="405" spans="7:10" x14ac:dyDescent="0.25">
      <c r="G405" t="str">
        <f>IFERROR(IF(D405="Mayorista",IF(VLOOKUP(E405,'04_PRODUCTOS'!B:F,5,FALSE)="",VLOOKUP(E405,'04_PRODUCTOS'!B:E,4,FALSE),VLOOKUP(E405,'04_PRODUCTOS'!B:F,5,FALSE)),IF(D405="Especial",IF(VLOOKUP(E405,'04_PRODUCTOS'!B:G,6,FALSE)="",VLOOKUP(E405,'04_PRODUCTOS'!B:E,4,FALSE),VLOOKUP(E405,'04_PRODUCTOS'!B:G,6,FALSE)),VLOOKUP(E405,'04_PRODUCTOS'!B:E,4,FALSE))),"")</f>
        <v/>
      </c>
      <c r="H405" t="str">
        <f t="shared" si="22"/>
        <v/>
      </c>
      <c r="I405" t="str">
        <f>IFERROR(H405-(F405*VLOOKUP(E405,'04_PRODUCTOS'!B:D,3,FALSE)),"")</f>
        <v/>
      </c>
      <c r="J405" t="str">
        <f t="shared" si="23"/>
        <v/>
      </c>
    </row>
    <row r="406" spans="7:10" x14ac:dyDescent="0.25">
      <c r="G406" t="str">
        <f>IFERROR(IF(D406="Mayorista",IF(VLOOKUP(E406,'04_PRODUCTOS'!B:F,5,FALSE)="",VLOOKUP(E406,'04_PRODUCTOS'!B:E,4,FALSE),VLOOKUP(E406,'04_PRODUCTOS'!B:F,5,FALSE)),IF(D406="Especial",IF(VLOOKUP(E406,'04_PRODUCTOS'!B:G,6,FALSE)="",VLOOKUP(E406,'04_PRODUCTOS'!B:E,4,FALSE),VLOOKUP(E406,'04_PRODUCTOS'!B:G,6,FALSE)),VLOOKUP(E406,'04_PRODUCTOS'!B:E,4,FALSE))),"")</f>
        <v/>
      </c>
      <c r="H406" t="str">
        <f t="shared" si="22"/>
        <v/>
      </c>
      <c r="I406" t="str">
        <f>IFERROR(H406-(F406*VLOOKUP(E406,'04_PRODUCTOS'!B:D,3,FALSE)),"")</f>
        <v/>
      </c>
      <c r="J406" t="str">
        <f t="shared" si="23"/>
        <v/>
      </c>
    </row>
    <row r="407" spans="7:10" x14ac:dyDescent="0.25">
      <c r="G407" t="str">
        <f>IFERROR(IF(D407="Mayorista",IF(VLOOKUP(E407,'04_PRODUCTOS'!B:F,5,FALSE)="",VLOOKUP(E407,'04_PRODUCTOS'!B:E,4,FALSE),VLOOKUP(E407,'04_PRODUCTOS'!B:F,5,FALSE)),IF(D407="Especial",IF(VLOOKUP(E407,'04_PRODUCTOS'!B:G,6,FALSE)="",VLOOKUP(E407,'04_PRODUCTOS'!B:E,4,FALSE),VLOOKUP(E407,'04_PRODUCTOS'!B:G,6,FALSE)),VLOOKUP(E407,'04_PRODUCTOS'!B:E,4,FALSE))),"")</f>
        <v/>
      </c>
      <c r="H407" t="str">
        <f t="shared" si="22"/>
        <v/>
      </c>
      <c r="I407" t="str">
        <f>IFERROR(H407-(F407*VLOOKUP(E407,'04_PRODUCTOS'!B:D,3,FALSE)),"")</f>
        <v/>
      </c>
      <c r="J407" t="str">
        <f t="shared" si="23"/>
        <v/>
      </c>
    </row>
    <row r="408" spans="7:10" x14ac:dyDescent="0.25">
      <c r="G408" t="str">
        <f>IFERROR(IF(D408="Mayorista",IF(VLOOKUP(E408,'04_PRODUCTOS'!B:F,5,FALSE)="",VLOOKUP(E408,'04_PRODUCTOS'!B:E,4,FALSE),VLOOKUP(E408,'04_PRODUCTOS'!B:F,5,FALSE)),IF(D408="Especial",IF(VLOOKUP(E408,'04_PRODUCTOS'!B:G,6,FALSE)="",VLOOKUP(E408,'04_PRODUCTOS'!B:E,4,FALSE),VLOOKUP(E408,'04_PRODUCTOS'!B:G,6,FALSE)),VLOOKUP(E408,'04_PRODUCTOS'!B:E,4,FALSE))),"")</f>
        <v/>
      </c>
      <c r="H408" t="str">
        <f t="shared" si="22"/>
        <v/>
      </c>
      <c r="I408" t="str">
        <f>IFERROR(H408-(F408*VLOOKUP(E408,'04_PRODUCTOS'!B:D,3,FALSE)),"")</f>
        <v/>
      </c>
      <c r="J408" t="str">
        <f t="shared" si="23"/>
        <v/>
      </c>
    </row>
    <row r="409" spans="7:10" x14ac:dyDescent="0.25">
      <c r="G409" t="str">
        <f>IFERROR(IF(D409="Mayorista",IF(VLOOKUP(E409,'04_PRODUCTOS'!B:F,5,FALSE)="",VLOOKUP(E409,'04_PRODUCTOS'!B:E,4,FALSE),VLOOKUP(E409,'04_PRODUCTOS'!B:F,5,FALSE)),IF(D409="Especial",IF(VLOOKUP(E409,'04_PRODUCTOS'!B:G,6,FALSE)="",VLOOKUP(E409,'04_PRODUCTOS'!B:E,4,FALSE),VLOOKUP(E409,'04_PRODUCTOS'!B:G,6,FALSE)),VLOOKUP(E409,'04_PRODUCTOS'!B:E,4,FALSE))),"")</f>
        <v/>
      </c>
      <c r="H409" t="str">
        <f t="shared" si="22"/>
        <v/>
      </c>
      <c r="I409" t="str">
        <f>IFERROR(H409-(F409*VLOOKUP(E409,'04_PRODUCTOS'!B:D,3,FALSE)),"")</f>
        <v/>
      </c>
      <c r="J409" t="str">
        <f t="shared" si="23"/>
        <v/>
      </c>
    </row>
    <row r="410" spans="7:10" x14ac:dyDescent="0.25">
      <c r="G410" t="str">
        <f>IFERROR(IF(D410="Mayorista",IF(VLOOKUP(E410,'04_PRODUCTOS'!B:F,5,FALSE)="",VLOOKUP(E410,'04_PRODUCTOS'!B:E,4,FALSE),VLOOKUP(E410,'04_PRODUCTOS'!B:F,5,FALSE)),IF(D410="Especial",IF(VLOOKUP(E410,'04_PRODUCTOS'!B:G,6,FALSE)="",VLOOKUP(E410,'04_PRODUCTOS'!B:E,4,FALSE),VLOOKUP(E410,'04_PRODUCTOS'!B:G,6,FALSE)),VLOOKUP(E410,'04_PRODUCTOS'!B:E,4,FALSE))),"")</f>
        <v/>
      </c>
      <c r="H410" t="str">
        <f t="shared" si="22"/>
        <v/>
      </c>
      <c r="I410" t="str">
        <f>IFERROR(H410-(F410*VLOOKUP(E410,'04_PRODUCTOS'!B:D,3,FALSE)),"")</f>
        <v/>
      </c>
      <c r="J410" t="str">
        <f t="shared" si="23"/>
        <v/>
      </c>
    </row>
    <row r="411" spans="7:10" x14ac:dyDescent="0.25">
      <c r="G411" t="str">
        <f>IFERROR(IF(D411="Mayorista",IF(VLOOKUP(E411,'04_PRODUCTOS'!B:F,5,FALSE)="",VLOOKUP(E411,'04_PRODUCTOS'!B:E,4,FALSE),VLOOKUP(E411,'04_PRODUCTOS'!B:F,5,FALSE)),IF(D411="Especial",IF(VLOOKUP(E411,'04_PRODUCTOS'!B:G,6,FALSE)="",VLOOKUP(E411,'04_PRODUCTOS'!B:E,4,FALSE),VLOOKUP(E411,'04_PRODUCTOS'!B:G,6,FALSE)),VLOOKUP(E411,'04_PRODUCTOS'!B:E,4,FALSE))),"")</f>
        <v/>
      </c>
      <c r="H411" t="str">
        <f t="shared" si="22"/>
        <v/>
      </c>
      <c r="I411" t="str">
        <f>IFERROR(H411-(F411*VLOOKUP(E411,'04_PRODUCTOS'!B:D,3,FALSE)),"")</f>
        <v/>
      </c>
      <c r="J411" t="str">
        <f t="shared" si="23"/>
        <v/>
      </c>
    </row>
    <row r="412" spans="7:10" x14ac:dyDescent="0.25">
      <c r="G412" t="str">
        <f>IFERROR(IF(D412="Mayorista",IF(VLOOKUP(E412,'04_PRODUCTOS'!B:F,5,FALSE)="",VLOOKUP(E412,'04_PRODUCTOS'!B:E,4,FALSE),VLOOKUP(E412,'04_PRODUCTOS'!B:F,5,FALSE)),IF(D412="Especial",IF(VLOOKUP(E412,'04_PRODUCTOS'!B:G,6,FALSE)="",VLOOKUP(E412,'04_PRODUCTOS'!B:E,4,FALSE),VLOOKUP(E412,'04_PRODUCTOS'!B:G,6,FALSE)),VLOOKUP(E412,'04_PRODUCTOS'!B:E,4,FALSE))),"")</f>
        <v/>
      </c>
      <c r="H412" t="str">
        <f t="shared" si="22"/>
        <v/>
      </c>
      <c r="I412" t="str">
        <f>IFERROR(H412-(F412*VLOOKUP(E412,'04_PRODUCTOS'!B:D,3,FALSE)),"")</f>
        <v/>
      </c>
      <c r="J412" t="str">
        <f t="shared" si="23"/>
        <v/>
      </c>
    </row>
    <row r="413" spans="7:10" x14ac:dyDescent="0.25">
      <c r="G413" t="str">
        <f>IFERROR(IF(D413="Mayorista",IF(VLOOKUP(E413,'04_PRODUCTOS'!B:F,5,FALSE)="",VLOOKUP(E413,'04_PRODUCTOS'!B:E,4,FALSE),VLOOKUP(E413,'04_PRODUCTOS'!B:F,5,FALSE)),IF(D413="Especial",IF(VLOOKUP(E413,'04_PRODUCTOS'!B:G,6,FALSE)="",VLOOKUP(E413,'04_PRODUCTOS'!B:E,4,FALSE),VLOOKUP(E413,'04_PRODUCTOS'!B:G,6,FALSE)),VLOOKUP(E413,'04_PRODUCTOS'!B:E,4,FALSE))),"")</f>
        <v/>
      </c>
      <c r="H413" t="str">
        <f t="shared" si="22"/>
        <v/>
      </c>
      <c r="I413" t="str">
        <f>IFERROR(H413-(F413*VLOOKUP(E413,'04_PRODUCTOS'!B:D,3,FALSE)),"")</f>
        <v/>
      </c>
      <c r="J413" t="str">
        <f t="shared" si="23"/>
        <v/>
      </c>
    </row>
    <row r="414" spans="7:10" x14ac:dyDescent="0.25">
      <c r="G414" t="str">
        <f>IFERROR(IF(D414="Mayorista",IF(VLOOKUP(E414,'04_PRODUCTOS'!B:F,5,FALSE)="",VLOOKUP(E414,'04_PRODUCTOS'!B:E,4,FALSE),VLOOKUP(E414,'04_PRODUCTOS'!B:F,5,FALSE)),IF(D414="Especial",IF(VLOOKUP(E414,'04_PRODUCTOS'!B:G,6,FALSE)="",VLOOKUP(E414,'04_PRODUCTOS'!B:E,4,FALSE),VLOOKUP(E414,'04_PRODUCTOS'!B:G,6,FALSE)),VLOOKUP(E414,'04_PRODUCTOS'!B:E,4,FALSE))),"")</f>
        <v/>
      </c>
      <c r="H414" t="str">
        <f t="shared" si="22"/>
        <v/>
      </c>
      <c r="I414" t="str">
        <f>IFERROR(H414-(F414*VLOOKUP(E414,'04_PRODUCTOS'!B:D,3,FALSE)),"")</f>
        <v/>
      </c>
      <c r="J414" t="str">
        <f t="shared" si="23"/>
        <v/>
      </c>
    </row>
    <row r="415" spans="7:10" x14ac:dyDescent="0.25">
      <c r="G415" t="str">
        <f>IFERROR(IF(D415="Mayorista",IF(VLOOKUP(E415,'04_PRODUCTOS'!B:F,5,FALSE)="",VLOOKUP(E415,'04_PRODUCTOS'!B:E,4,FALSE),VLOOKUP(E415,'04_PRODUCTOS'!B:F,5,FALSE)),IF(D415="Especial",IF(VLOOKUP(E415,'04_PRODUCTOS'!B:G,6,FALSE)="",VLOOKUP(E415,'04_PRODUCTOS'!B:E,4,FALSE),VLOOKUP(E415,'04_PRODUCTOS'!B:G,6,FALSE)),VLOOKUP(E415,'04_PRODUCTOS'!B:E,4,FALSE))),"")</f>
        <v/>
      </c>
      <c r="H415" t="str">
        <f t="shared" si="22"/>
        <v/>
      </c>
      <c r="I415" t="str">
        <f>IFERROR(H415-(F415*VLOOKUP(E415,'04_PRODUCTOS'!B:D,3,FALSE)),"")</f>
        <v/>
      </c>
      <c r="J415" t="str">
        <f t="shared" si="23"/>
        <v/>
      </c>
    </row>
    <row r="416" spans="7:10" x14ac:dyDescent="0.25">
      <c r="G416" t="str">
        <f>IFERROR(IF(D416="Mayorista",IF(VLOOKUP(E416,'04_PRODUCTOS'!B:F,5,FALSE)="",VLOOKUP(E416,'04_PRODUCTOS'!B:E,4,FALSE),VLOOKUP(E416,'04_PRODUCTOS'!B:F,5,FALSE)),IF(D416="Especial",IF(VLOOKUP(E416,'04_PRODUCTOS'!B:G,6,FALSE)="",VLOOKUP(E416,'04_PRODUCTOS'!B:E,4,FALSE),VLOOKUP(E416,'04_PRODUCTOS'!B:G,6,FALSE)),VLOOKUP(E416,'04_PRODUCTOS'!B:E,4,FALSE))),"")</f>
        <v/>
      </c>
      <c r="H416" t="str">
        <f t="shared" si="22"/>
        <v/>
      </c>
      <c r="I416" t="str">
        <f>IFERROR(H416-(F416*VLOOKUP(E416,'04_PRODUCTOS'!B:D,3,FALSE)),"")</f>
        <v/>
      </c>
      <c r="J416" t="str">
        <f t="shared" si="23"/>
        <v/>
      </c>
    </row>
    <row r="417" spans="7:10" x14ac:dyDescent="0.25">
      <c r="G417" t="str">
        <f>IFERROR(IF(D417="Mayorista",IF(VLOOKUP(E417,'04_PRODUCTOS'!B:F,5,FALSE)="",VLOOKUP(E417,'04_PRODUCTOS'!B:E,4,FALSE),VLOOKUP(E417,'04_PRODUCTOS'!B:F,5,FALSE)),IF(D417="Especial",IF(VLOOKUP(E417,'04_PRODUCTOS'!B:G,6,FALSE)="",VLOOKUP(E417,'04_PRODUCTOS'!B:E,4,FALSE),VLOOKUP(E417,'04_PRODUCTOS'!B:G,6,FALSE)),VLOOKUP(E417,'04_PRODUCTOS'!B:E,4,FALSE))),"")</f>
        <v/>
      </c>
      <c r="H417" t="str">
        <f t="shared" si="22"/>
        <v/>
      </c>
      <c r="I417" t="str">
        <f>IFERROR(H417-(F417*VLOOKUP(E417,'04_PRODUCTOS'!B:D,3,FALSE)),"")</f>
        <v/>
      </c>
      <c r="J417" t="str">
        <f t="shared" si="23"/>
        <v/>
      </c>
    </row>
    <row r="418" spans="7:10" x14ac:dyDescent="0.25">
      <c r="G418" t="str">
        <f>IFERROR(IF(D418="Mayorista",IF(VLOOKUP(E418,'04_PRODUCTOS'!B:F,5,FALSE)="",VLOOKUP(E418,'04_PRODUCTOS'!B:E,4,FALSE),VLOOKUP(E418,'04_PRODUCTOS'!B:F,5,FALSE)),IF(D418="Especial",IF(VLOOKUP(E418,'04_PRODUCTOS'!B:G,6,FALSE)="",VLOOKUP(E418,'04_PRODUCTOS'!B:E,4,FALSE),VLOOKUP(E418,'04_PRODUCTOS'!B:G,6,FALSE)),VLOOKUP(E418,'04_PRODUCTOS'!B:E,4,FALSE))),"")</f>
        <v/>
      </c>
      <c r="H418" t="str">
        <f t="shared" si="22"/>
        <v/>
      </c>
      <c r="I418" t="str">
        <f>IFERROR(H418-(F418*VLOOKUP(E418,'04_PRODUCTOS'!B:D,3,FALSE)),"")</f>
        <v/>
      </c>
      <c r="J418" t="str">
        <f t="shared" si="23"/>
        <v/>
      </c>
    </row>
    <row r="419" spans="7:10" x14ac:dyDescent="0.25">
      <c r="G419" t="str">
        <f>IFERROR(IF(D419="Mayorista",IF(VLOOKUP(E419,'04_PRODUCTOS'!B:F,5,FALSE)="",VLOOKUP(E419,'04_PRODUCTOS'!B:E,4,FALSE),VLOOKUP(E419,'04_PRODUCTOS'!B:F,5,FALSE)),IF(D419="Especial",IF(VLOOKUP(E419,'04_PRODUCTOS'!B:G,6,FALSE)="",VLOOKUP(E419,'04_PRODUCTOS'!B:E,4,FALSE),VLOOKUP(E419,'04_PRODUCTOS'!B:G,6,FALSE)),VLOOKUP(E419,'04_PRODUCTOS'!B:E,4,FALSE))),"")</f>
        <v/>
      </c>
      <c r="H419" t="str">
        <f t="shared" si="22"/>
        <v/>
      </c>
      <c r="I419" t="str">
        <f>IFERROR(H419-(F419*VLOOKUP(E419,'04_PRODUCTOS'!B:D,3,FALSE)),"")</f>
        <v/>
      </c>
      <c r="J419" t="str">
        <f t="shared" si="23"/>
        <v/>
      </c>
    </row>
    <row r="420" spans="7:10" x14ac:dyDescent="0.25">
      <c r="G420" t="str">
        <f>IFERROR(IF(D420="Mayorista",IF(VLOOKUP(E420,'04_PRODUCTOS'!B:F,5,FALSE)="",VLOOKUP(E420,'04_PRODUCTOS'!B:E,4,FALSE),VLOOKUP(E420,'04_PRODUCTOS'!B:F,5,FALSE)),IF(D420="Especial",IF(VLOOKUP(E420,'04_PRODUCTOS'!B:G,6,FALSE)="",VLOOKUP(E420,'04_PRODUCTOS'!B:E,4,FALSE),VLOOKUP(E420,'04_PRODUCTOS'!B:G,6,FALSE)),VLOOKUP(E420,'04_PRODUCTOS'!B:E,4,FALSE))),"")</f>
        <v/>
      </c>
      <c r="H420" t="str">
        <f t="shared" si="22"/>
        <v/>
      </c>
      <c r="I420" t="str">
        <f>IFERROR(H420-(F420*VLOOKUP(E420,'04_PRODUCTOS'!B:D,3,FALSE)),"")</f>
        <v/>
      </c>
      <c r="J420" t="str">
        <f t="shared" si="23"/>
        <v/>
      </c>
    </row>
    <row r="421" spans="7:10" x14ac:dyDescent="0.25">
      <c r="G421" t="str">
        <f>IFERROR(IF(D421="Mayorista",IF(VLOOKUP(E421,'04_PRODUCTOS'!B:F,5,FALSE)="",VLOOKUP(E421,'04_PRODUCTOS'!B:E,4,FALSE),VLOOKUP(E421,'04_PRODUCTOS'!B:F,5,FALSE)),IF(D421="Especial",IF(VLOOKUP(E421,'04_PRODUCTOS'!B:G,6,FALSE)="",VLOOKUP(E421,'04_PRODUCTOS'!B:E,4,FALSE),VLOOKUP(E421,'04_PRODUCTOS'!B:G,6,FALSE)),VLOOKUP(E421,'04_PRODUCTOS'!B:E,4,FALSE))),"")</f>
        <v/>
      </c>
      <c r="H421" t="str">
        <f t="shared" si="22"/>
        <v/>
      </c>
      <c r="I421" t="str">
        <f>IFERROR(H421-(F421*VLOOKUP(E421,'04_PRODUCTOS'!B:D,3,FALSE)),"")</f>
        <v/>
      </c>
      <c r="J421" t="str">
        <f t="shared" si="23"/>
        <v/>
      </c>
    </row>
    <row r="422" spans="7:10" x14ac:dyDescent="0.25">
      <c r="G422" t="str">
        <f>IFERROR(IF(D422="Mayorista",IF(VLOOKUP(E422,'04_PRODUCTOS'!B:F,5,FALSE)="",VLOOKUP(E422,'04_PRODUCTOS'!B:E,4,FALSE),VLOOKUP(E422,'04_PRODUCTOS'!B:F,5,FALSE)),IF(D422="Especial",IF(VLOOKUP(E422,'04_PRODUCTOS'!B:G,6,FALSE)="",VLOOKUP(E422,'04_PRODUCTOS'!B:E,4,FALSE),VLOOKUP(E422,'04_PRODUCTOS'!B:G,6,FALSE)),VLOOKUP(E422,'04_PRODUCTOS'!B:E,4,FALSE))),"")</f>
        <v/>
      </c>
      <c r="H422" t="str">
        <f t="shared" si="22"/>
        <v/>
      </c>
      <c r="I422" t="str">
        <f>IFERROR(H422-(F422*VLOOKUP(E422,'04_PRODUCTOS'!B:D,3,FALSE)),"")</f>
        <v/>
      </c>
      <c r="J422" t="str">
        <f t="shared" si="23"/>
        <v/>
      </c>
    </row>
    <row r="423" spans="7:10" x14ac:dyDescent="0.25">
      <c r="G423" t="str">
        <f>IFERROR(IF(D423="Mayorista",IF(VLOOKUP(E423,'04_PRODUCTOS'!B:F,5,FALSE)="",VLOOKUP(E423,'04_PRODUCTOS'!B:E,4,FALSE),VLOOKUP(E423,'04_PRODUCTOS'!B:F,5,FALSE)),IF(D423="Especial",IF(VLOOKUP(E423,'04_PRODUCTOS'!B:G,6,FALSE)="",VLOOKUP(E423,'04_PRODUCTOS'!B:E,4,FALSE),VLOOKUP(E423,'04_PRODUCTOS'!B:G,6,FALSE)),VLOOKUP(E423,'04_PRODUCTOS'!B:E,4,FALSE))),"")</f>
        <v/>
      </c>
      <c r="H423" t="str">
        <f t="shared" si="22"/>
        <v/>
      </c>
      <c r="I423" t="str">
        <f>IFERROR(H423-(F423*VLOOKUP(E423,'04_PRODUCTOS'!B:D,3,FALSE)),"")</f>
        <v/>
      </c>
      <c r="J423" t="str">
        <f t="shared" si="23"/>
        <v/>
      </c>
    </row>
    <row r="424" spans="7:10" x14ac:dyDescent="0.25">
      <c r="G424" t="str">
        <f>IFERROR(IF(D424="Mayorista",IF(VLOOKUP(E424,'04_PRODUCTOS'!B:F,5,FALSE)="",VLOOKUP(E424,'04_PRODUCTOS'!B:E,4,FALSE),VLOOKUP(E424,'04_PRODUCTOS'!B:F,5,FALSE)),IF(D424="Especial",IF(VLOOKUP(E424,'04_PRODUCTOS'!B:G,6,FALSE)="",VLOOKUP(E424,'04_PRODUCTOS'!B:E,4,FALSE),VLOOKUP(E424,'04_PRODUCTOS'!B:G,6,FALSE)),VLOOKUP(E424,'04_PRODUCTOS'!B:E,4,FALSE))),"")</f>
        <v/>
      </c>
      <c r="H424" t="str">
        <f t="shared" si="22"/>
        <v/>
      </c>
      <c r="I424" t="str">
        <f>IFERROR(H424-(F424*VLOOKUP(E424,'04_PRODUCTOS'!B:D,3,FALSE)),"")</f>
        <v/>
      </c>
      <c r="J424" t="str">
        <f t="shared" si="23"/>
        <v/>
      </c>
    </row>
    <row r="425" spans="7:10" x14ac:dyDescent="0.25">
      <c r="G425" t="str">
        <f>IFERROR(IF(D425="Mayorista",IF(VLOOKUP(E425,'04_PRODUCTOS'!B:F,5,FALSE)="",VLOOKUP(E425,'04_PRODUCTOS'!B:E,4,FALSE),VLOOKUP(E425,'04_PRODUCTOS'!B:F,5,FALSE)),IF(D425="Especial",IF(VLOOKUP(E425,'04_PRODUCTOS'!B:G,6,FALSE)="",VLOOKUP(E425,'04_PRODUCTOS'!B:E,4,FALSE),VLOOKUP(E425,'04_PRODUCTOS'!B:G,6,FALSE)),VLOOKUP(E425,'04_PRODUCTOS'!B:E,4,FALSE))),"")</f>
        <v/>
      </c>
      <c r="H425" t="str">
        <f t="shared" si="22"/>
        <v/>
      </c>
      <c r="I425" t="str">
        <f>IFERROR(H425-(F425*VLOOKUP(E425,'04_PRODUCTOS'!B:D,3,FALSE)),"")</f>
        <v/>
      </c>
      <c r="J425" t="str">
        <f t="shared" si="23"/>
        <v/>
      </c>
    </row>
    <row r="426" spans="7:10" x14ac:dyDescent="0.25">
      <c r="G426" t="str">
        <f>IFERROR(IF(D426="Mayorista",IF(VLOOKUP(E426,'04_PRODUCTOS'!B:F,5,FALSE)="",VLOOKUP(E426,'04_PRODUCTOS'!B:E,4,FALSE),VLOOKUP(E426,'04_PRODUCTOS'!B:F,5,FALSE)),IF(D426="Especial",IF(VLOOKUP(E426,'04_PRODUCTOS'!B:G,6,FALSE)="",VLOOKUP(E426,'04_PRODUCTOS'!B:E,4,FALSE),VLOOKUP(E426,'04_PRODUCTOS'!B:G,6,FALSE)),VLOOKUP(E426,'04_PRODUCTOS'!B:E,4,FALSE))),"")</f>
        <v/>
      </c>
      <c r="H426" t="str">
        <f t="shared" si="22"/>
        <v/>
      </c>
      <c r="I426" t="str">
        <f>IFERROR(H426-(F426*VLOOKUP(E426,'04_PRODUCTOS'!B:D,3,FALSE)),"")</f>
        <v/>
      </c>
      <c r="J426" t="str">
        <f t="shared" si="23"/>
        <v/>
      </c>
    </row>
    <row r="427" spans="7:10" x14ac:dyDescent="0.25">
      <c r="G427" t="str">
        <f>IFERROR(IF(D427="Mayorista",IF(VLOOKUP(E427,'04_PRODUCTOS'!B:F,5,FALSE)="",VLOOKUP(E427,'04_PRODUCTOS'!B:E,4,FALSE),VLOOKUP(E427,'04_PRODUCTOS'!B:F,5,FALSE)),IF(D427="Especial",IF(VLOOKUP(E427,'04_PRODUCTOS'!B:G,6,FALSE)="",VLOOKUP(E427,'04_PRODUCTOS'!B:E,4,FALSE),VLOOKUP(E427,'04_PRODUCTOS'!B:G,6,FALSE)),VLOOKUP(E427,'04_PRODUCTOS'!B:E,4,FALSE))),"")</f>
        <v/>
      </c>
      <c r="H427" t="str">
        <f t="shared" si="22"/>
        <v/>
      </c>
      <c r="I427" t="str">
        <f>IFERROR(H427-(F427*VLOOKUP(E427,'04_PRODUCTOS'!B:D,3,FALSE)),"")</f>
        <v/>
      </c>
      <c r="J427" t="str">
        <f t="shared" si="23"/>
        <v/>
      </c>
    </row>
    <row r="428" spans="7:10" x14ac:dyDescent="0.25">
      <c r="G428" t="str">
        <f>IFERROR(IF(D428="Mayorista",IF(VLOOKUP(E428,'04_PRODUCTOS'!B:F,5,FALSE)="",VLOOKUP(E428,'04_PRODUCTOS'!B:E,4,FALSE),VLOOKUP(E428,'04_PRODUCTOS'!B:F,5,FALSE)),IF(D428="Especial",IF(VLOOKUP(E428,'04_PRODUCTOS'!B:G,6,FALSE)="",VLOOKUP(E428,'04_PRODUCTOS'!B:E,4,FALSE),VLOOKUP(E428,'04_PRODUCTOS'!B:G,6,FALSE)),VLOOKUP(E428,'04_PRODUCTOS'!B:E,4,FALSE))),"")</f>
        <v/>
      </c>
      <c r="H428" t="str">
        <f t="shared" si="22"/>
        <v/>
      </c>
      <c r="I428" t="str">
        <f>IFERROR(H428-(F428*VLOOKUP(E428,'04_PRODUCTOS'!B:D,3,FALSE)),"")</f>
        <v/>
      </c>
      <c r="J428" t="str">
        <f t="shared" si="23"/>
        <v/>
      </c>
    </row>
    <row r="429" spans="7:10" x14ac:dyDescent="0.25">
      <c r="G429" t="str">
        <f>IFERROR(IF(D429="Mayorista",IF(VLOOKUP(E429,'04_PRODUCTOS'!B:F,5,FALSE)="",VLOOKUP(E429,'04_PRODUCTOS'!B:E,4,FALSE),VLOOKUP(E429,'04_PRODUCTOS'!B:F,5,FALSE)),IF(D429="Especial",IF(VLOOKUP(E429,'04_PRODUCTOS'!B:G,6,FALSE)="",VLOOKUP(E429,'04_PRODUCTOS'!B:E,4,FALSE),VLOOKUP(E429,'04_PRODUCTOS'!B:G,6,FALSE)),VLOOKUP(E429,'04_PRODUCTOS'!B:E,4,FALSE))),"")</f>
        <v/>
      </c>
      <c r="H429" t="str">
        <f t="shared" si="22"/>
        <v/>
      </c>
      <c r="I429" t="str">
        <f>IFERROR(H429-(F429*VLOOKUP(E429,'04_PRODUCTOS'!B:D,3,FALSE)),"")</f>
        <v/>
      </c>
      <c r="J429" t="str">
        <f t="shared" si="23"/>
        <v/>
      </c>
    </row>
    <row r="430" spans="7:10" x14ac:dyDescent="0.25">
      <c r="G430" t="str">
        <f>IFERROR(IF(D430="Mayorista",IF(VLOOKUP(E430,'04_PRODUCTOS'!B:F,5,FALSE)="",VLOOKUP(E430,'04_PRODUCTOS'!B:E,4,FALSE),VLOOKUP(E430,'04_PRODUCTOS'!B:F,5,FALSE)),IF(D430="Especial",IF(VLOOKUP(E430,'04_PRODUCTOS'!B:G,6,FALSE)="",VLOOKUP(E430,'04_PRODUCTOS'!B:E,4,FALSE),VLOOKUP(E430,'04_PRODUCTOS'!B:G,6,FALSE)),VLOOKUP(E430,'04_PRODUCTOS'!B:E,4,FALSE))),"")</f>
        <v/>
      </c>
      <c r="H430" t="str">
        <f t="shared" si="22"/>
        <v/>
      </c>
      <c r="I430" t="str">
        <f>IFERROR(H430-(F430*VLOOKUP(E430,'04_PRODUCTOS'!B:D,3,FALSE)),"")</f>
        <v/>
      </c>
      <c r="J430" t="str">
        <f t="shared" si="23"/>
        <v/>
      </c>
    </row>
    <row r="431" spans="7:10" x14ac:dyDescent="0.25">
      <c r="G431" t="str">
        <f>IFERROR(IF(D431="Mayorista",IF(VLOOKUP(E431,'04_PRODUCTOS'!B:F,5,FALSE)="",VLOOKUP(E431,'04_PRODUCTOS'!B:E,4,FALSE),VLOOKUP(E431,'04_PRODUCTOS'!B:F,5,FALSE)),IF(D431="Especial",IF(VLOOKUP(E431,'04_PRODUCTOS'!B:G,6,FALSE)="",VLOOKUP(E431,'04_PRODUCTOS'!B:E,4,FALSE),VLOOKUP(E431,'04_PRODUCTOS'!B:G,6,FALSE)),VLOOKUP(E431,'04_PRODUCTOS'!B:E,4,FALSE))),"")</f>
        <v/>
      </c>
      <c r="H431" t="str">
        <f t="shared" si="22"/>
        <v/>
      </c>
      <c r="I431" t="str">
        <f>IFERROR(H431-(F431*VLOOKUP(E431,'04_PRODUCTOS'!B:D,3,FALSE)),"")</f>
        <v/>
      </c>
      <c r="J431" t="str">
        <f t="shared" si="23"/>
        <v/>
      </c>
    </row>
    <row r="432" spans="7:10" x14ac:dyDescent="0.25">
      <c r="G432" t="str">
        <f>IFERROR(IF(D432="Mayorista",IF(VLOOKUP(E432,'04_PRODUCTOS'!B:F,5,FALSE)="",VLOOKUP(E432,'04_PRODUCTOS'!B:E,4,FALSE),VLOOKUP(E432,'04_PRODUCTOS'!B:F,5,FALSE)),IF(D432="Especial",IF(VLOOKUP(E432,'04_PRODUCTOS'!B:G,6,FALSE)="",VLOOKUP(E432,'04_PRODUCTOS'!B:E,4,FALSE),VLOOKUP(E432,'04_PRODUCTOS'!B:G,6,FALSE)),VLOOKUP(E432,'04_PRODUCTOS'!B:E,4,FALSE))),"")</f>
        <v/>
      </c>
      <c r="H432" t="str">
        <f t="shared" si="22"/>
        <v/>
      </c>
      <c r="I432" t="str">
        <f>IFERROR(H432-(F432*VLOOKUP(E432,'04_PRODUCTOS'!B:D,3,FALSE)),"")</f>
        <v/>
      </c>
      <c r="J432" t="str">
        <f t="shared" si="23"/>
        <v/>
      </c>
    </row>
    <row r="433" spans="7:10" x14ac:dyDescent="0.25">
      <c r="G433" t="str">
        <f>IFERROR(IF(D433="Mayorista",IF(VLOOKUP(E433,'04_PRODUCTOS'!B:F,5,FALSE)="",VLOOKUP(E433,'04_PRODUCTOS'!B:E,4,FALSE),VLOOKUP(E433,'04_PRODUCTOS'!B:F,5,FALSE)),IF(D433="Especial",IF(VLOOKUP(E433,'04_PRODUCTOS'!B:G,6,FALSE)="",VLOOKUP(E433,'04_PRODUCTOS'!B:E,4,FALSE),VLOOKUP(E433,'04_PRODUCTOS'!B:G,6,FALSE)),VLOOKUP(E433,'04_PRODUCTOS'!B:E,4,FALSE))),"")</f>
        <v/>
      </c>
      <c r="H433" t="str">
        <f t="shared" si="22"/>
        <v/>
      </c>
      <c r="I433" t="str">
        <f>IFERROR(H433-(F433*VLOOKUP(E433,'04_PRODUCTOS'!B:D,3,FALSE)),"")</f>
        <v/>
      </c>
      <c r="J433" t="str">
        <f t="shared" si="23"/>
        <v/>
      </c>
    </row>
    <row r="434" spans="7:10" x14ac:dyDescent="0.25">
      <c r="G434" t="str">
        <f>IFERROR(IF(D434="Mayorista",IF(VLOOKUP(E434,'04_PRODUCTOS'!B:F,5,FALSE)="",VLOOKUP(E434,'04_PRODUCTOS'!B:E,4,FALSE),VLOOKUP(E434,'04_PRODUCTOS'!B:F,5,FALSE)),IF(D434="Especial",IF(VLOOKUP(E434,'04_PRODUCTOS'!B:G,6,FALSE)="",VLOOKUP(E434,'04_PRODUCTOS'!B:E,4,FALSE),VLOOKUP(E434,'04_PRODUCTOS'!B:G,6,FALSE)),VLOOKUP(E434,'04_PRODUCTOS'!B:E,4,FALSE))),"")</f>
        <v/>
      </c>
      <c r="H434" t="str">
        <f t="shared" si="22"/>
        <v/>
      </c>
      <c r="I434" t="str">
        <f>IFERROR(H434-(F434*VLOOKUP(E434,'04_PRODUCTOS'!B:D,3,FALSE)),"")</f>
        <v/>
      </c>
      <c r="J434" t="str">
        <f t="shared" si="23"/>
        <v/>
      </c>
    </row>
    <row r="435" spans="7:10" x14ac:dyDescent="0.25">
      <c r="G435" t="str">
        <f>IFERROR(IF(D435="Mayorista",IF(VLOOKUP(E435,'04_PRODUCTOS'!B:F,5,FALSE)="",VLOOKUP(E435,'04_PRODUCTOS'!B:E,4,FALSE),VLOOKUP(E435,'04_PRODUCTOS'!B:F,5,FALSE)),IF(D435="Especial",IF(VLOOKUP(E435,'04_PRODUCTOS'!B:G,6,FALSE)="",VLOOKUP(E435,'04_PRODUCTOS'!B:E,4,FALSE),VLOOKUP(E435,'04_PRODUCTOS'!B:G,6,FALSE)),VLOOKUP(E435,'04_PRODUCTOS'!B:E,4,FALSE))),"")</f>
        <v/>
      </c>
      <c r="H435" t="str">
        <f t="shared" si="22"/>
        <v/>
      </c>
      <c r="I435" t="str">
        <f>IFERROR(H435-(F435*VLOOKUP(E435,'04_PRODUCTOS'!B:D,3,FALSE)),"")</f>
        <v/>
      </c>
      <c r="J435" t="str">
        <f t="shared" si="23"/>
        <v/>
      </c>
    </row>
    <row r="436" spans="7:10" x14ac:dyDescent="0.25">
      <c r="G436" t="str">
        <f>IFERROR(IF(D436="Mayorista",IF(VLOOKUP(E436,'04_PRODUCTOS'!B:F,5,FALSE)="",VLOOKUP(E436,'04_PRODUCTOS'!B:E,4,FALSE),VLOOKUP(E436,'04_PRODUCTOS'!B:F,5,FALSE)),IF(D436="Especial",IF(VLOOKUP(E436,'04_PRODUCTOS'!B:G,6,FALSE)="",VLOOKUP(E436,'04_PRODUCTOS'!B:E,4,FALSE),VLOOKUP(E436,'04_PRODUCTOS'!B:G,6,FALSE)),VLOOKUP(E436,'04_PRODUCTOS'!B:E,4,FALSE))),"")</f>
        <v/>
      </c>
      <c r="H436" t="str">
        <f t="shared" si="22"/>
        <v/>
      </c>
      <c r="I436" t="str">
        <f>IFERROR(H436-(F436*VLOOKUP(E436,'04_PRODUCTOS'!B:D,3,FALSE)),"")</f>
        <v/>
      </c>
      <c r="J436" t="str">
        <f t="shared" si="23"/>
        <v/>
      </c>
    </row>
    <row r="437" spans="7:10" x14ac:dyDescent="0.25">
      <c r="G437" t="str">
        <f>IFERROR(IF(D437="Mayorista",IF(VLOOKUP(E437,'04_PRODUCTOS'!B:F,5,FALSE)="",VLOOKUP(E437,'04_PRODUCTOS'!B:E,4,FALSE),VLOOKUP(E437,'04_PRODUCTOS'!B:F,5,FALSE)),IF(D437="Especial",IF(VLOOKUP(E437,'04_PRODUCTOS'!B:G,6,FALSE)="",VLOOKUP(E437,'04_PRODUCTOS'!B:E,4,FALSE),VLOOKUP(E437,'04_PRODUCTOS'!B:G,6,FALSE)),VLOOKUP(E437,'04_PRODUCTOS'!B:E,4,FALSE))),"")</f>
        <v/>
      </c>
      <c r="H437" t="str">
        <f t="shared" si="22"/>
        <v/>
      </c>
      <c r="I437" t="str">
        <f>IFERROR(H437-(F437*VLOOKUP(E437,'04_PRODUCTOS'!B:D,3,FALSE)),"")</f>
        <v/>
      </c>
      <c r="J437" t="str">
        <f t="shared" si="23"/>
        <v/>
      </c>
    </row>
    <row r="438" spans="7:10" x14ac:dyDescent="0.25">
      <c r="G438" t="str">
        <f>IFERROR(IF(D438="Mayorista",IF(VLOOKUP(E438,'04_PRODUCTOS'!B:F,5,FALSE)="",VLOOKUP(E438,'04_PRODUCTOS'!B:E,4,FALSE),VLOOKUP(E438,'04_PRODUCTOS'!B:F,5,FALSE)),IF(D438="Especial",IF(VLOOKUP(E438,'04_PRODUCTOS'!B:G,6,FALSE)="",VLOOKUP(E438,'04_PRODUCTOS'!B:E,4,FALSE),VLOOKUP(E438,'04_PRODUCTOS'!B:G,6,FALSE)),VLOOKUP(E438,'04_PRODUCTOS'!B:E,4,FALSE))),"")</f>
        <v/>
      </c>
      <c r="H438" t="str">
        <f t="shared" si="22"/>
        <v/>
      </c>
      <c r="I438" t="str">
        <f>IFERROR(H438-(F438*VLOOKUP(E438,'04_PRODUCTOS'!B:D,3,FALSE)),"")</f>
        <v/>
      </c>
      <c r="J438" t="str">
        <f t="shared" si="23"/>
        <v/>
      </c>
    </row>
    <row r="439" spans="7:10" x14ac:dyDescent="0.25">
      <c r="G439" t="str">
        <f>IFERROR(IF(D439="Mayorista",IF(VLOOKUP(E439,'04_PRODUCTOS'!B:F,5,FALSE)="",VLOOKUP(E439,'04_PRODUCTOS'!B:E,4,FALSE),VLOOKUP(E439,'04_PRODUCTOS'!B:F,5,FALSE)),IF(D439="Especial",IF(VLOOKUP(E439,'04_PRODUCTOS'!B:G,6,FALSE)="",VLOOKUP(E439,'04_PRODUCTOS'!B:E,4,FALSE),VLOOKUP(E439,'04_PRODUCTOS'!B:G,6,FALSE)),VLOOKUP(E439,'04_PRODUCTOS'!B:E,4,FALSE))),"")</f>
        <v/>
      </c>
      <c r="H439" t="str">
        <f t="shared" si="22"/>
        <v/>
      </c>
      <c r="I439" t="str">
        <f>IFERROR(H439-(F439*VLOOKUP(E439,'04_PRODUCTOS'!B:D,3,FALSE)),"")</f>
        <v/>
      </c>
      <c r="J439" t="str">
        <f t="shared" si="23"/>
        <v/>
      </c>
    </row>
    <row r="440" spans="7:10" x14ac:dyDescent="0.25">
      <c r="G440" t="str">
        <f>IFERROR(IF(D440="Mayorista",IF(VLOOKUP(E440,'04_PRODUCTOS'!B:F,5,FALSE)="",VLOOKUP(E440,'04_PRODUCTOS'!B:E,4,FALSE),VLOOKUP(E440,'04_PRODUCTOS'!B:F,5,FALSE)),IF(D440="Especial",IF(VLOOKUP(E440,'04_PRODUCTOS'!B:G,6,FALSE)="",VLOOKUP(E440,'04_PRODUCTOS'!B:E,4,FALSE),VLOOKUP(E440,'04_PRODUCTOS'!B:G,6,FALSE)),VLOOKUP(E440,'04_PRODUCTOS'!B:E,4,FALSE))),"")</f>
        <v/>
      </c>
      <c r="H440" t="str">
        <f t="shared" si="22"/>
        <v/>
      </c>
      <c r="I440" t="str">
        <f>IFERROR(H440-(F440*VLOOKUP(E440,'04_PRODUCTOS'!B:D,3,FALSE)),"")</f>
        <v/>
      </c>
      <c r="J440" t="str">
        <f t="shared" si="23"/>
        <v/>
      </c>
    </row>
    <row r="441" spans="7:10" x14ac:dyDescent="0.25">
      <c r="G441" t="str">
        <f>IFERROR(IF(D441="Mayorista",IF(VLOOKUP(E441,'04_PRODUCTOS'!B:F,5,FALSE)="",VLOOKUP(E441,'04_PRODUCTOS'!B:E,4,FALSE),VLOOKUP(E441,'04_PRODUCTOS'!B:F,5,FALSE)),IF(D441="Especial",IF(VLOOKUP(E441,'04_PRODUCTOS'!B:G,6,FALSE)="",VLOOKUP(E441,'04_PRODUCTOS'!B:E,4,FALSE),VLOOKUP(E441,'04_PRODUCTOS'!B:G,6,FALSE)),VLOOKUP(E441,'04_PRODUCTOS'!B:E,4,FALSE))),"")</f>
        <v/>
      </c>
      <c r="H441" t="str">
        <f t="shared" si="22"/>
        <v/>
      </c>
      <c r="I441" t="str">
        <f>IFERROR(H441-(F441*VLOOKUP(E441,'04_PRODUCTOS'!B:D,3,FALSE)),"")</f>
        <v/>
      </c>
      <c r="J441" t="str">
        <f t="shared" si="23"/>
        <v/>
      </c>
    </row>
    <row r="442" spans="7:10" x14ac:dyDescent="0.25">
      <c r="G442" t="str">
        <f>IFERROR(IF(D442="Mayorista",IF(VLOOKUP(E442,'04_PRODUCTOS'!B:F,5,FALSE)="",VLOOKUP(E442,'04_PRODUCTOS'!B:E,4,FALSE),VLOOKUP(E442,'04_PRODUCTOS'!B:F,5,FALSE)),IF(D442="Especial",IF(VLOOKUP(E442,'04_PRODUCTOS'!B:G,6,FALSE)="",VLOOKUP(E442,'04_PRODUCTOS'!B:E,4,FALSE),VLOOKUP(E442,'04_PRODUCTOS'!B:G,6,FALSE)),VLOOKUP(E442,'04_PRODUCTOS'!B:E,4,FALSE))),"")</f>
        <v/>
      </c>
      <c r="H442" t="str">
        <f t="shared" si="22"/>
        <v/>
      </c>
      <c r="I442" t="str">
        <f>IFERROR(H442-(F442*VLOOKUP(E442,'04_PRODUCTOS'!B:D,3,FALSE)),"")</f>
        <v/>
      </c>
      <c r="J442" t="str">
        <f t="shared" si="23"/>
        <v/>
      </c>
    </row>
    <row r="443" spans="7:10" x14ac:dyDescent="0.25">
      <c r="G443" t="str">
        <f>IFERROR(IF(D443="Mayorista",IF(VLOOKUP(E443,'04_PRODUCTOS'!B:F,5,FALSE)="",VLOOKUP(E443,'04_PRODUCTOS'!B:E,4,FALSE),VLOOKUP(E443,'04_PRODUCTOS'!B:F,5,FALSE)),IF(D443="Especial",IF(VLOOKUP(E443,'04_PRODUCTOS'!B:G,6,FALSE)="",VLOOKUP(E443,'04_PRODUCTOS'!B:E,4,FALSE),VLOOKUP(E443,'04_PRODUCTOS'!B:G,6,FALSE)),VLOOKUP(E443,'04_PRODUCTOS'!B:E,4,FALSE))),"")</f>
        <v/>
      </c>
      <c r="H443" t="str">
        <f t="shared" si="22"/>
        <v/>
      </c>
      <c r="I443" t="str">
        <f>IFERROR(H443-(F443*VLOOKUP(E443,'04_PRODUCTOS'!B:D,3,FALSE)),"")</f>
        <v/>
      </c>
      <c r="J443" t="str">
        <f t="shared" si="23"/>
        <v/>
      </c>
    </row>
    <row r="444" spans="7:10" x14ac:dyDescent="0.25">
      <c r="G444" t="str">
        <f>IFERROR(IF(D444="Mayorista",IF(VLOOKUP(E444,'04_PRODUCTOS'!B:F,5,FALSE)="",VLOOKUP(E444,'04_PRODUCTOS'!B:E,4,FALSE),VLOOKUP(E444,'04_PRODUCTOS'!B:F,5,FALSE)),IF(D444="Especial",IF(VLOOKUP(E444,'04_PRODUCTOS'!B:G,6,FALSE)="",VLOOKUP(E444,'04_PRODUCTOS'!B:E,4,FALSE),VLOOKUP(E444,'04_PRODUCTOS'!B:G,6,FALSE)),VLOOKUP(E444,'04_PRODUCTOS'!B:E,4,FALSE))),"")</f>
        <v/>
      </c>
      <c r="H444" t="str">
        <f t="shared" si="22"/>
        <v/>
      </c>
      <c r="I444" t="str">
        <f>IFERROR(H444-(F444*VLOOKUP(E444,'04_PRODUCTOS'!B:D,3,FALSE)),"")</f>
        <v/>
      </c>
      <c r="J444" t="str">
        <f t="shared" si="23"/>
        <v/>
      </c>
    </row>
    <row r="445" spans="7:10" x14ac:dyDescent="0.25">
      <c r="G445" t="str">
        <f>IFERROR(IF(D445="Mayorista",IF(VLOOKUP(E445,'04_PRODUCTOS'!B:F,5,FALSE)="",VLOOKUP(E445,'04_PRODUCTOS'!B:E,4,FALSE),VLOOKUP(E445,'04_PRODUCTOS'!B:F,5,FALSE)),IF(D445="Especial",IF(VLOOKUP(E445,'04_PRODUCTOS'!B:G,6,FALSE)="",VLOOKUP(E445,'04_PRODUCTOS'!B:E,4,FALSE),VLOOKUP(E445,'04_PRODUCTOS'!B:G,6,FALSE)),VLOOKUP(E445,'04_PRODUCTOS'!B:E,4,FALSE))),"")</f>
        <v/>
      </c>
      <c r="H445" t="str">
        <f t="shared" si="22"/>
        <v/>
      </c>
      <c r="I445" t="str">
        <f>IFERROR(H445-(F445*VLOOKUP(E445,'04_PRODUCTOS'!B:D,3,FALSE)),"")</f>
        <v/>
      </c>
      <c r="J445" t="str">
        <f t="shared" si="23"/>
        <v/>
      </c>
    </row>
    <row r="446" spans="7:10" x14ac:dyDescent="0.25">
      <c r="G446" t="str">
        <f>IFERROR(IF(D446="Mayorista",IF(VLOOKUP(E446,'04_PRODUCTOS'!B:F,5,FALSE)="",VLOOKUP(E446,'04_PRODUCTOS'!B:E,4,FALSE),VLOOKUP(E446,'04_PRODUCTOS'!B:F,5,FALSE)),IF(D446="Especial",IF(VLOOKUP(E446,'04_PRODUCTOS'!B:G,6,FALSE)="",VLOOKUP(E446,'04_PRODUCTOS'!B:E,4,FALSE),VLOOKUP(E446,'04_PRODUCTOS'!B:G,6,FALSE)),VLOOKUP(E446,'04_PRODUCTOS'!B:E,4,FALSE))),"")</f>
        <v/>
      </c>
      <c r="H446" t="str">
        <f t="shared" si="22"/>
        <v/>
      </c>
      <c r="I446" t="str">
        <f>IFERROR(H446-(F446*VLOOKUP(E446,'04_PRODUCTOS'!B:D,3,FALSE)),"")</f>
        <v/>
      </c>
      <c r="J446" t="str">
        <f t="shared" si="23"/>
        <v/>
      </c>
    </row>
    <row r="447" spans="7:10" x14ac:dyDescent="0.25">
      <c r="G447" t="str">
        <f>IFERROR(IF(D447="Mayorista",IF(VLOOKUP(E447,'04_PRODUCTOS'!B:F,5,FALSE)="",VLOOKUP(E447,'04_PRODUCTOS'!B:E,4,FALSE),VLOOKUP(E447,'04_PRODUCTOS'!B:F,5,FALSE)),IF(D447="Especial",IF(VLOOKUP(E447,'04_PRODUCTOS'!B:G,6,FALSE)="",VLOOKUP(E447,'04_PRODUCTOS'!B:E,4,FALSE),VLOOKUP(E447,'04_PRODUCTOS'!B:G,6,FALSE)),VLOOKUP(E447,'04_PRODUCTOS'!B:E,4,FALSE))),"")</f>
        <v/>
      </c>
      <c r="H447" t="str">
        <f t="shared" si="22"/>
        <v/>
      </c>
      <c r="I447" t="str">
        <f>IFERROR(H447-(F447*VLOOKUP(E447,'04_PRODUCTOS'!B:D,3,FALSE)),"")</f>
        <v/>
      </c>
      <c r="J447" t="str">
        <f t="shared" si="23"/>
        <v/>
      </c>
    </row>
    <row r="448" spans="7:10" x14ac:dyDescent="0.25">
      <c r="G448" t="str">
        <f>IFERROR(IF(D448="Mayorista",IF(VLOOKUP(E448,'04_PRODUCTOS'!B:F,5,FALSE)="",VLOOKUP(E448,'04_PRODUCTOS'!B:E,4,FALSE),VLOOKUP(E448,'04_PRODUCTOS'!B:F,5,FALSE)),IF(D448="Especial",IF(VLOOKUP(E448,'04_PRODUCTOS'!B:G,6,FALSE)="",VLOOKUP(E448,'04_PRODUCTOS'!B:E,4,FALSE),VLOOKUP(E448,'04_PRODUCTOS'!B:G,6,FALSE)),VLOOKUP(E448,'04_PRODUCTOS'!B:E,4,FALSE))),"")</f>
        <v/>
      </c>
      <c r="H448" t="str">
        <f t="shared" si="22"/>
        <v/>
      </c>
      <c r="I448" t="str">
        <f>IFERROR(H448-(F448*VLOOKUP(E448,'04_PRODUCTOS'!B:D,3,FALSE)),"")</f>
        <v/>
      </c>
      <c r="J448" t="str">
        <f t="shared" si="23"/>
        <v/>
      </c>
    </row>
    <row r="449" spans="7:10" x14ac:dyDescent="0.25">
      <c r="G449" t="str">
        <f>IFERROR(IF(D449="Mayorista",IF(VLOOKUP(E449,'04_PRODUCTOS'!B:F,5,FALSE)="",VLOOKUP(E449,'04_PRODUCTOS'!B:E,4,FALSE),VLOOKUP(E449,'04_PRODUCTOS'!B:F,5,FALSE)),IF(D449="Especial",IF(VLOOKUP(E449,'04_PRODUCTOS'!B:G,6,FALSE)="",VLOOKUP(E449,'04_PRODUCTOS'!B:E,4,FALSE),VLOOKUP(E449,'04_PRODUCTOS'!B:G,6,FALSE)),VLOOKUP(E449,'04_PRODUCTOS'!B:E,4,FALSE))),"")</f>
        <v/>
      </c>
      <c r="H449" t="str">
        <f t="shared" si="22"/>
        <v/>
      </c>
      <c r="I449" t="str">
        <f>IFERROR(H449-(F449*VLOOKUP(E449,'04_PRODUCTOS'!B:D,3,FALSE)),"")</f>
        <v/>
      </c>
      <c r="J449" t="str">
        <f t="shared" si="23"/>
        <v/>
      </c>
    </row>
    <row r="450" spans="7:10" x14ac:dyDescent="0.25">
      <c r="G450" t="str">
        <f>IFERROR(IF(D450="Mayorista",IF(VLOOKUP(E450,'04_PRODUCTOS'!B:F,5,FALSE)="",VLOOKUP(E450,'04_PRODUCTOS'!B:E,4,FALSE),VLOOKUP(E450,'04_PRODUCTOS'!B:F,5,FALSE)),IF(D450="Especial",IF(VLOOKUP(E450,'04_PRODUCTOS'!B:G,6,FALSE)="",VLOOKUP(E450,'04_PRODUCTOS'!B:E,4,FALSE),VLOOKUP(E450,'04_PRODUCTOS'!B:G,6,FALSE)),VLOOKUP(E450,'04_PRODUCTOS'!B:E,4,FALSE))),"")</f>
        <v/>
      </c>
      <c r="H450" t="str">
        <f t="shared" ref="H450:H501" si="24">IF(AND(F450&lt;&gt;"",G450&lt;&gt;""),F450*G450,"")</f>
        <v/>
      </c>
      <c r="I450" t="str">
        <f>IFERROR(H450-(F450*VLOOKUP(E450,'04_PRODUCTOS'!B:D,3,FALSE)),"")</f>
        <v/>
      </c>
      <c r="J450" t="str">
        <f t="shared" ref="J450:J501" si="25">IFERROR(I450/H450,"")</f>
        <v/>
      </c>
    </row>
    <row r="451" spans="7:10" x14ac:dyDescent="0.25">
      <c r="G451" t="str">
        <f>IFERROR(IF(D451="Mayorista",IF(VLOOKUP(E451,'04_PRODUCTOS'!B:F,5,FALSE)="",VLOOKUP(E451,'04_PRODUCTOS'!B:E,4,FALSE),VLOOKUP(E451,'04_PRODUCTOS'!B:F,5,FALSE)),IF(D451="Especial",IF(VLOOKUP(E451,'04_PRODUCTOS'!B:G,6,FALSE)="",VLOOKUP(E451,'04_PRODUCTOS'!B:E,4,FALSE),VLOOKUP(E451,'04_PRODUCTOS'!B:G,6,FALSE)),VLOOKUP(E451,'04_PRODUCTOS'!B:E,4,FALSE))),"")</f>
        <v/>
      </c>
      <c r="H451" t="str">
        <f t="shared" si="24"/>
        <v/>
      </c>
      <c r="I451" t="str">
        <f>IFERROR(H451-(F451*VLOOKUP(E451,'04_PRODUCTOS'!B:D,3,FALSE)),"")</f>
        <v/>
      </c>
      <c r="J451" t="str">
        <f t="shared" si="25"/>
        <v/>
      </c>
    </row>
    <row r="452" spans="7:10" x14ac:dyDescent="0.25">
      <c r="G452" t="str">
        <f>IFERROR(IF(D452="Mayorista",IF(VLOOKUP(E452,'04_PRODUCTOS'!B:F,5,FALSE)="",VLOOKUP(E452,'04_PRODUCTOS'!B:E,4,FALSE),VLOOKUP(E452,'04_PRODUCTOS'!B:F,5,FALSE)),IF(D452="Especial",IF(VLOOKUP(E452,'04_PRODUCTOS'!B:G,6,FALSE)="",VLOOKUP(E452,'04_PRODUCTOS'!B:E,4,FALSE),VLOOKUP(E452,'04_PRODUCTOS'!B:G,6,FALSE)),VLOOKUP(E452,'04_PRODUCTOS'!B:E,4,FALSE))),"")</f>
        <v/>
      </c>
      <c r="H452" t="str">
        <f t="shared" si="24"/>
        <v/>
      </c>
      <c r="I452" t="str">
        <f>IFERROR(H452-(F452*VLOOKUP(E452,'04_PRODUCTOS'!B:D,3,FALSE)),"")</f>
        <v/>
      </c>
      <c r="J452" t="str">
        <f t="shared" si="25"/>
        <v/>
      </c>
    </row>
    <row r="453" spans="7:10" x14ac:dyDescent="0.25">
      <c r="G453" t="str">
        <f>IFERROR(IF(D453="Mayorista",IF(VLOOKUP(E453,'04_PRODUCTOS'!B:F,5,FALSE)="",VLOOKUP(E453,'04_PRODUCTOS'!B:E,4,FALSE),VLOOKUP(E453,'04_PRODUCTOS'!B:F,5,FALSE)),IF(D453="Especial",IF(VLOOKUP(E453,'04_PRODUCTOS'!B:G,6,FALSE)="",VLOOKUP(E453,'04_PRODUCTOS'!B:E,4,FALSE),VLOOKUP(E453,'04_PRODUCTOS'!B:G,6,FALSE)),VLOOKUP(E453,'04_PRODUCTOS'!B:E,4,FALSE))),"")</f>
        <v/>
      </c>
      <c r="H453" t="str">
        <f t="shared" si="24"/>
        <v/>
      </c>
      <c r="I453" t="str">
        <f>IFERROR(H453-(F453*VLOOKUP(E453,'04_PRODUCTOS'!B:D,3,FALSE)),"")</f>
        <v/>
      </c>
      <c r="J453" t="str">
        <f t="shared" si="25"/>
        <v/>
      </c>
    </row>
    <row r="454" spans="7:10" x14ac:dyDescent="0.25">
      <c r="G454" t="str">
        <f>IFERROR(IF(D454="Mayorista",IF(VLOOKUP(E454,'04_PRODUCTOS'!B:F,5,FALSE)="",VLOOKUP(E454,'04_PRODUCTOS'!B:E,4,FALSE),VLOOKUP(E454,'04_PRODUCTOS'!B:F,5,FALSE)),IF(D454="Especial",IF(VLOOKUP(E454,'04_PRODUCTOS'!B:G,6,FALSE)="",VLOOKUP(E454,'04_PRODUCTOS'!B:E,4,FALSE),VLOOKUP(E454,'04_PRODUCTOS'!B:G,6,FALSE)),VLOOKUP(E454,'04_PRODUCTOS'!B:E,4,FALSE))),"")</f>
        <v/>
      </c>
      <c r="H454" t="str">
        <f t="shared" si="24"/>
        <v/>
      </c>
      <c r="I454" t="str">
        <f>IFERROR(H454-(F454*VLOOKUP(E454,'04_PRODUCTOS'!B:D,3,FALSE)),"")</f>
        <v/>
      </c>
      <c r="J454" t="str">
        <f t="shared" si="25"/>
        <v/>
      </c>
    </row>
    <row r="455" spans="7:10" x14ac:dyDescent="0.25">
      <c r="G455" t="str">
        <f>IFERROR(IF(D455="Mayorista",IF(VLOOKUP(E455,'04_PRODUCTOS'!B:F,5,FALSE)="",VLOOKUP(E455,'04_PRODUCTOS'!B:E,4,FALSE),VLOOKUP(E455,'04_PRODUCTOS'!B:F,5,FALSE)),IF(D455="Especial",IF(VLOOKUP(E455,'04_PRODUCTOS'!B:G,6,FALSE)="",VLOOKUP(E455,'04_PRODUCTOS'!B:E,4,FALSE),VLOOKUP(E455,'04_PRODUCTOS'!B:G,6,FALSE)),VLOOKUP(E455,'04_PRODUCTOS'!B:E,4,FALSE))),"")</f>
        <v/>
      </c>
      <c r="H455" t="str">
        <f t="shared" si="24"/>
        <v/>
      </c>
      <c r="I455" t="str">
        <f>IFERROR(H455-(F455*VLOOKUP(E455,'04_PRODUCTOS'!B:D,3,FALSE)),"")</f>
        <v/>
      </c>
      <c r="J455" t="str">
        <f t="shared" si="25"/>
        <v/>
      </c>
    </row>
    <row r="456" spans="7:10" x14ac:dyDescent="0.25">
      <c r="G456" t="str">
        <f>IFERROR(IF(D456="Mayorista",IF(VLOOKUP(E456,'04_PRODUCTOS'!B:F,5,FALSE)="",VLOOKUP(E456,'04_PRODUCTOS'!B:E,4,FALSE),VLOOKUP(E456,'04_PRODUCTOS'!B:F,5,FALSE)),IF(D456="Especial",IF(VLOOKUP(E456,'04_PRODUCTOS'!B:G,6,FALSE)="",VLOOKUP(E456,'04_PRODUCTOS'!B:E,4,FALSE),VLOOKUP(E456,'04_PRODUCTOS'!B:G,6,FALSE)),VLOOKUP(E456,'04_PRODUCTOS'!B:E,4,FALSE))),"")</f>
        <v/>
      </c>
      <c r="H456" t="str">
        <f t="shared" si="24"/>
        <v/>
      </c>
      <c r="I456" t="str">
        <f>IFERROR(H456-(F456*VLOOKUP(E456,'04_PRODUCTOS'!B:D,3,FALSE)),"")</f>
        <v/>
      </c>
      <c r="J456" t="str">
        <f t="shared" si="25"/>
        <v/>
      </c>
    </row>
    <row r="457" spans="7:10" x14ac:dyDescent="0.25">
      <c r="G457" t="str">
        <f>IFERROR(IF(D457="Mayorista",IF(VLOOKUP(E457,'04_PRODUCTOS'!B:F,5,FALSE)="",VLOOKUP(E457,'04_PRODUCTOS'!B:E,4,FALSE),VLOOKUP(E457,'04_PRODUCTOS'!B:F,5,FALSE)),IF(D457="Especial",IF(VLOOKUP(E457,'04_PRODUCTOS'!B:G,6,FALSE)="",VLOOKUP(E457,'04_PRODUCTOS'!B:E,4,FALSE),VLOOKUP(E457,'04_PRODUCTOS'!B:G,6,FALSE)),VLOOKUP(E457,'04_PRODUCTOS'!B:E,4,FALSE))),"")</f>
        <v/>
      </c>
      <c r="H457" t="str">
        <f t="shared" si="24"/>
        <v/>
      </c>
      <c r="I457" t="str">
        <f>IFERROR(H457-(F457*VLOOKUP(E457,'04_PRODUCTOS'!B:D,3,FALSE)),"")</f>
        <v/>
      </c>
      <c r="J457" t="str">
        <f t="shared" si="25"/>
        <v/>
      </c>
    </row>
    <row r="458" spans="7:10" x14ac:dyDescent="0.25">
      <c r="G458" t="str">
        <f>IFERROR(IF(D458="Mayorista",IF(VLOOKUP(E458,'04_PRODUCTOS'!B:F,5,FALSE)="",VLOOKUP(E458,'04_PRODUCTOS'!B:E,4,FALSE),VLOOKUP(E458,'04_PRODUCTOS'!B:F,5,FALSE)),IF(D458="Especial",IF(VLOOKUP(E458,'04_PRODUCTOS'!B:G,6,FALSE)="",VLOOKUP(E458,'04_PRODUCTOS'!B:E,4,FALSE),VLOOKUP(E458,'04_PRODUCTOS'!B:G,6,FALSE)),VLOOKUP(E458,'04_PRODUCTOS'!B:E,4,FALSE))),"")</f>
        <v/>
      </c>
      <c r="H458" t="str">
        <f t="shared" si="24"/>
        <v/>
      </c>
      <c r="I458" t="str">
        <f>IFERROR(H458-(F458*VLOOKUP(E458,'04_PRODUCTOS'!B:D,3,FALSE)),"")</f>
        <v/>
      </c>
      <c r="J458" t="str">
        <f t="shared" si="25"/>
        <v/>
      </c>
    </row>
    <row r="459" spans="7:10" x14ac:dyDescent="0.25">
      <c r="G459" t="str">
        <f>IFERROR(IF(D459="Mayorista",IF(VLOOKUP(E459,'04_PRODUCTOS'!B:F,5,FALSE)="",VLOOKUP(E459,'04_PRODUCTOS'!B:E,4,FALSE),VLOOKUP(E459,'04_PRODUCTOS'!B:F,5,FALSE)),IF(D459="Especial",IF(VLOOKUP(E459,'04_PRODUCTOS'!B:G,6,FALSE)="",VLOOKUP(E459,'04_PRODUCTOS'!B:E,4,FALSE),VLOOKUP(E459,'04_PRODUCTOS'!B:G,6,FALSE)),VLOOKUP(E459,'04_PRODUCTOS'!B:E,4,FALSE))),"")</f>
        <v/>
      </c>
      <c r="H459" t="str">
        <f t="shared" si="24"/>
        <v/>
      </c>
      <c r="I459" t="str">
        <f>IFERROR(H459-(F459*VLOOKUP(E459,'04_PRODUCTOS'!B:D,3,FALSE)),"")</f>
        <v/>
      </c>
      <c r="J459" t="str">
        <f t="shared" si="25"/>
        <v/>
      </c>
    </row>
    <row r="460" spans="7:10" x14ac:dyDescent="0.25">
      <c r="G460" t="str">
        <f>IFERROR(IF(D460="Mayorista",IF(VLOOKUP(E460,'04_PRODUCTOS'!B:F,5,FALSE)="",VLOOKUP(E460,'04_PRODUCTOS'!B:E,4,FALSE),VLOOKUP(E460,'04_PRODUCTOS'!B:F,5,FALSE)),IF(D460="Especial",IF(VLOOKUP(E460,'04_PRODUCTOS'!B:G,6,FALSE)="",VLOOKUP(E460,'04_PRODUCTOS'!B:E,4,FALSE),VLOOKUP(E460,'04_PRODUCTOS'!B:G,6,FALSE)),VLOOKUP(E460,'04_PRODUCTOS'!B:E,4,FALSE))),"")</f>
        <v/>
      </c>
      <c r="H460" t="str">
        <f t="shared" si="24"/>
        <v/>
      </c>
      <c r="I460" t="str">
        <f>IFERROR(H460-(F460*VLOOKUP(E460,'04_PRODUCTOS'!B:D,3,FALSE)),"")</f>
        <v/>
      </c>
      <c r="J460" t="str">
        <f t="shared" si="25"/>
        <v/>
      </c>
    </row>
    <row r="461" spans="7:10" x14ac:dyDescent="0.25">
      <c r="G461" t="str">
        <f>IFERROR(IF(D461="Mayorista",IF(VLOOKUP(E461,'04_PRODUCTOS'!B:F,5,FALSE)="",VLOOKUP(E461,'04_PRODUCTOS'!B:E,4,FALSE),VLOOKUP(E461,'04_PRODUCTOS'!B:F,5,FALSE)),IF(D461="Especial",IF(VLOOKUP(E461,'04_PRODUCTOS'!B:G,6,FALSE)="",VLOOKUP(E461,'04_PRODUCTOS'!B:E,4,FALSE),VLOOKUP(E461,'04_PRODUCTOS'!B:G,6,FALSE)),VLOOKUP(E461,'04_PRODUCTOS'!B:E,4,FALSE))),"")</f>
        <v/>
      </c>
      <c r="H461" t="str">
        <f t="shared" si="24"/>
        <v/>
      </c>
      <c r="I461" t="str">
        <f>IFERROR(H461-(F461*VLOOKUP(E461,'04_PRODUCTOS'!B:D,3,FALSE)),"")</f>
        <v/>
      </c>
      <c r="J461" t="str">
        <f t="shared" si="25"/>
        <v/>
      </c>
    </row>
    <row r="462" spans="7:10" x14ac:dyDescent="0.25">
      <c r="G462" t="str">
        <f>IFERROR(IF(D462="Mayorista",IF(VLOOKUP(E462,'04_PRODUCTOS'!B:F,5,FALSE)="",VLOOKUP(E462,'04_PRODUCTOS'!B:E,4,FALSE),VLOOKUP(E462,'04_PRODUCTOS'!B:F,5,FALSE)),IF(D462="Especial",IF(VLOOKUP(E462,'04_PRODUCTOS'!B:G,6,FALSE)="",VLOOKUP(E462,'04_PRODUCTOS'!B:E,4,FALSE),VLOOKUP(E462,'04_PRODUCTOS'!B:G,6,FALSE)),VLOOKUP(E462,'04_PRODUCTOS'!B:E,4,FALSE))),"")</f>
        <v/>
      </c>
      <c r="H462" t="str">
        <f t="shared" si="24"/>
        <v/>
      </c>
      <c r="I462" t="str">
        <f>IFERROR(H462-(F462*VLOOKUP(E462,'04_PRODUCTOS'!B:D,3,FALSE)),"")</f>
        <v/>
      </c>
      <c r="J462" t="str">
        <f t="shared" si="25"/>
        <v/>
      </c>
    </row>
    <row r="463" spans="7:10" x14ac:dyDescent="0.25">
      <c r="G463" t="str">
        <f>IFERROR(IF(D463="Mayorista",IF(VLOOKUP(E463,'04_PRODUCTOS'!B:F,5,FALSE)="",VLOOKUP(E463,'04_PRODUCTOS'!B:E,4,FALSE),VLOOKUP(E463,'04_PRODUCTOS'!B:F,5,FALSE)),IF(D463="Especial",IF(VLOOKUP(E463,'04_PRODUCTOS'!B:G,6,FALSE)="",VLOOKUP(E463,'04_PRODUCTOS'!B:E,4,FALSE),VLOOKUP(E463,'04_PRODUCTOS'!B:G,6,FALSE)),VLOOKUP(E463,'04_PRODUCTOS'!B:E,4,FALSE))),"")</f>
        <v/>
      </c>
      <c r="H463" t="str">
        <f t="shared" si="24"/>
        <v/>
      </c>
      <c r="I463" t="str">
        <f>IFERROR(H463-(F463*VLOOKUP(E463,'04_PRODUCTOS'!B:D,3,FALSE)),"")</f>
        <v/>
      </c>
      <c r="J463" t="str">
        <f t="shared" si="25"/>
        <v/>
      </c>
    </row>
    <row r="464" spans="7:10" x14ac:dyDescent="0.25">
      <c r="G464" t="str">
        <f>IFERROR(IF(D464="Mayorista",IF(VLOOKUP(E464,'04_PRODUCTOS'!B:F,5,FALSE)="",VLOOKUP(E464,'04_PRODUCTOS'!B:E,4,FALSE),VLOOKUP(E464,'04_PRODUCTOS'!B:F,5,FALSE)),IF(D464="Especial",IF(VLOOKUP(E464,'04_PRODUCTOS'!B:G,6,FALSE)="",VLOOKUP(E464,'04_PRODUCTOS'!B:E,4,FALSE),VLOOKUP(E464,'04_PRODUCTOS'!B:G,6,FALSE)),VLOOKUP(E464,'04_PRODUCTOS'!B:E,4,FALSE))),"")</f>
        <v/>
      </c>
      <c r="H464" t="str">
        <f t="shared" si="24"/>
        <v/>
      </c>
      <c r="I464" t="str">
        <f>IFERROR(H464-(F464*VLOOKUP(E464,'04_PRODUCTOS'!B:D,3,FALSE)),"")</f>
        <v/>
      </c>
      <c r="J464" t="str">
        <f t="shared" si="25"/>
        <v/>
      </c>
    </row>
    <row r="465" spans="7:10" x14ac:dyDescent="0.25">
      <c r="G465" t="str">
        <f>IFERROR(IF(D465="Mayorista",IF(VLOOKUP(E465,'04_PRODUCTOS'!B:F,5,FALSE)="",VLOOKUP(E465,'04_PRODUCTOS'!B:E,4,FALSE),VLOOKUP(E465,'04_PRODUCTOS'!B:F,5,FALSE)),IF(D465="Especial",IF(VLOOKUP(E465,'04_PRODUCTOS'!B:G,6,FALSE)="",VLOOKUP(E465,'04_PRODUCTOS'!B:E,4,FALSE),VLOOKUP(E465,'04_PRODUCTOS'!B:G,6,FALSE)),VLOOKUP(E465,'04_PRODUCTOS'!B:E,4,FALSE))),"")</f>
        <v/>
      </c>
      <c r="H465" t="str">
        <f t="shared" si="24"/>
        <v/>
      </c>
      <c r="I465" t="str">
        <f>IFERROR(H465-(F465*VLOOKUP(E465,'04_PRODUCTOS'!B:D,3,FALSE)),"")</f>
        <v/>
      </c>
      <c r="J465" t="str">
        <f t="shared" si="25"/>
        <v/>
      </c>
    </row>
    <row r="466" spans="7:10" x14ac:dyDescent="0.25">
      <c r="G466" t="str">
        <f>IFERROR(IF(D466="Mayorista",IF(VLOOKUP(E466,'04_PRODUCTOS'!B:F,5,FALSE)="",VLOOKUP(E466,'04_PRODUCTOS'!B:E,4,FALSE),VLOOKUP(E466,'04_PRODUCTOS'!B:F,5,FALSE)),IF(D466="Especial",IF(VLOOKUP(E466,'04_PRODUCTOS'!B:G,6,FALSE)="",VLOOKUP(E466,'04_PRODUCTOS'!B:E,4,FALSE),VLOOKUP(E466,'04_PRODUCTOS'!B:G,6,FALSE)),VLOOKUP(E466,'04_PRODUCTOS'!B:E,4,FALSE))),"")</f>
        <v/>
      </c>
      <c r="H466" t="str">
        <f t="shared" si="24"/>
        <v/>
      </c>
      <c r="I466" t="str">
        <f>IFERROR(H466-(F466*VLOOKUP(E466,'04_PRODUCTOS'!B:D,3,FALSE)),"")</f>
        <v/>
      </c>
      <c r="J466" t="str">
        <f t="shared" si="25"/>
        <v/>
      </c>
    </row>
    <row r="467" spans="7:10" x14ac:dyDescent="0.25">
      <c r="G467" t="str">
        <f>IFERROR(IF(D467="Mayorista",IF(VLOOKUP(E467,'04_PRODUCTOS'!B:F,5,FALSE)="",VLOOKUP(E467,'04_PRODUCTOS'!B:E,4,FALSE),VLOOKUP(E467,'04_PRODUCTOS'!B:F,5,FALSE)),IF(D467="Especial",IF(VLOOKUP(E467,'04_PRODUCTOS'!B:G,6,FALSE)="",VLOOKUP(E467,'04_PRODUCTOS'!B:E,4,FALSE),VLOOKUP(E467,'04_PRODUCTOS'!B:G,6,FALSE)),VLOOKUP(E467,'04_PRODUCTOS'!B:E,4,FALSE))),"")</f>
        <v/>
      </c>
      <c r="H467" t="str">
        <f t="shared" si="24"/>
        <v/>
      </c>
      <c r="I467" t="str">
        <f>IFERROR(H467-(F467*VLOOKUP(E467,'04_PRODUCTOS'!B:D,3,FALSE)),"")</f>
        <v/>
      </c>
      <c r="J467" t="str">
        <f t="shared" si="25"/>
        <v/>
      </c>
    </row>
    <row r="468" spans="7:10" x14ac:dyDescent="0.25">
      <c r="G468" t="str">
        <f>IFERROR(IF(D468="Mayorista",IF(VLOOKUP(E468,'04_PRODUCTOS'!B:F,5,FALSE)="",VLOOKUP(E468,'04_PRODUCTOS'!B:E,4,FALSE),VLOOKUP(E468,'04_PRODUCTOS'!B:F,5,FALSE)),IF(D468="Especial",IF(VLOOKUP(E468,'04_PRODUCTOS'!B:G,6,FALSE)="",VLOOKUP(E468,'04_PRODUCTOS'!B:E,4,FALSE),VLOOKUP(E468,'04_PRODUCTOS'!B:G,6,FALSE)),VLOOKUP(E468,'04_PRODUCTOS'!B:E,4,FALSE))),"")</f>
        <v/>
      </c>
      <c r="H468" t="str">
        <f t="shared" si="24"/>
        <v/>
      </c>
      <c r="I468" t="str">
        <f>IFERROR(H468-(F468*VLOOKUP(E468,'04_PRODUCTOS'!B:D,3,FALSE)),"")</f>
        <v/>
      </c>
      <c r="J468" t="str">
        <f t="shared" si="25"/>
        <v/>
      </c>
    </row>
    <row r="469" spans="7:10" x14ac:dyDescent="0.25">
      <c r="G469" t="str">
        <f>IFERROR(IF(D469="Mayorista",IF(VLOOKUP(E469,'04_PRODUCTOS'!B:F,5,FALSE)="",VLOOKUP(E469,'04_PRODUCTOS'!B:E,4,FALSE),VLOOKUP(E469,'04_PRODUCTOS'!B:F,5,FALSE)),IF(D469="Especial",IF(VLOOKUP(E469,'04_PRODUCTOS'!B:G,6,FALSE)="",VLOOKUP(E469,'04_PRODUCTOS'!B:E,4,FALSE),VLOOKUP(E469,'04_PRODUCTOS'!B:G,6,FALSE)),VLOOKUP(E469,'04_PRODUCTOS'!B:E,4,FALSE))),"")</f>
        <v/>
      </c>
      <c r="H469" t="str">
        <f t="shared" si="24"/>
        <v/>
      </c>
      <c r="I469" t="str">
        <f>IFERROR(H469-(F469*VLOOKUP(E469,'04_PRODUCTOS'!B:D,3,FALSE)),"")</f>
        <v/>
      </c>
      <c r="J469" t="str">
        <f t="shared" si="25"/>
        <v/>
      </c>
    </row>
    <row r="470" spans="7:10" x14ac:dyDescent="0.25">
      <c r="G470" t="str">
        <f>IFERROR(IF(D470="Mayorista",IF(VLOOKUP(E470,'04_PRODUCTOS'!B:F,5,FALSE)="",VLOOKUP(E470,'04_PRODUCTOS'!B:E,4,FALSE),VLOOKUP(E470,'04_PRODUCTOS'!B:F,5,FALSE)),IF(D470="Especial",IF(VLOOKUP(E470,'04_PRODUCTOS'!B:G,6,FALSE)="",VLOOKUP(E470,'04_PRODUCTOS'!B:E,4,FALSE),VLOOKUP(E470,'04_PRODUCTOS'!B:G,6,FALSE)),VLOOKUP(E470,'04_PRODUCTOS'!B:E,4,FALSE))),"")</f>
        <v/>
      </c>
      <c r="H470" t="str">
        <f t="shared" si="24"/>
        <v/>
      </c>
      <c r="I470" t="str">
        <f>IFERROR(H470-(F470*VLOOKUP(E470,'04_PRODUCTOS'!B:D,3,FALSE)),"")</f>
        <v/>
      </c>
      <c r="J470" t="str">
        <f t="shared" si="25"/>
        <v/>
      </c>
    </row>
    <row r="471" spans="7:10" x14ac:dyDescent="0.25">
      <c r="G471" t="str">
        <f>IFERROR(IF(D471="Mayorista",IF(VLOOKUP(E471,'04_PRODUCTOS'!B:F,5,FALSE)="",VLOOKUP(E471,'04_PRODUCTOS'!B:E,4,FALSE),VLOOKUP(E471,'04_PRODUCTOS'!B:F,5,FALSE)),IF(D471="Especial",IF(VLOOKUP(E471,'04_PRODUCTOS'!B:G,6,FALSE)="",VLOOKUP(E471,'04_PRODUCTOS'!B:E,4,FALSE),VLOOKUP(E471,'04_PRODUCTOS'!B:G,6,FALSE)),VLOOKUP(E471,'04_PRODUCTOS'!B:E,4,FALSE))),"")</f>
        <v/>
      </c>
      <c r="H471" t="str">
        <f t="shared" si="24"/>
        <v/>
      </c>
      <c r="I471" t="str">
        <f>IFERROR(H471-(F471*VLOOKUP(E471,'04_PRODUCTOS'!B:D,3,FALSE)),"")</f>
        <v/>
      </c>
      <c r="J471" t="str">
        <f t="shared" si="25"/>
        <v/>
      </c>
    </row>
    <row r="472" spans="7:10" x14ac:dyDescent="0.25">
      <c r="G472" t="str">
        <f>IFERROR(IF(D472="Mayorista",IF(VLOOKUP(E472,'04_PRODUCTOS'!B:F,5,FALSE)="",VLOOKUP(E472,'04_PRODUCTOS'!B:E,4,FALSE),VLOOKUP(E472,'04_PRODUCTOS'!B:F,5,FALSE)),IF(D472="Especial",IF(VLOOKUP(E472,'04_PRODUCTOS'!B:G,6,FALSE)="",VLOOKUP(E472,'04_PRODUCTOS'!B:E,4,FALSE),VLOOKUP(E472,'04_PRODUCTOS'!B:G,6,FALSE)),VLOOKUP(E472,'04_PRODUCTOS'!B:E,4,FALSE))),"")</f>
        <v/>
      </c>
      <c r="H472" t="str">
        <f t="shared" si="24"/>
        <v/>
      </c>
      <c r="I472" t="str">
        <f>IFERROR(H472-(F472*VLOOKUP(E472,'04_PRODUCTOS'!B:D,3,FALSE)),"")</f>
        <v/>
      </c>
      <c r="J472" t="str">
        <f t="shared" si="25"/>
        <v/>
      </c>
    </row>
    <row r="473" spans="7:10" x14ac:dyDescent="0.25">
      <c r="G473" t="str">
        <f>IFERROR(IF(D473="Mayorista",IF(VLOOKUP(E473,'04_PRODUCTOS'!B:F,5,FALSE)="",VLOOKUP(E473,'04_PRODUCTOS'!B:E,4,FALSE),VLOOKUP(E473,'04_PRODUCTOS'!B:F,5,FALSE)),IF(D473="Especial",IF(VLOOKUP(E473,'04_PRODUCTOS'!B:G,6,FALSE)="",VLOOKUP(E473,'04_PRODUCTOS'!B:E,4,FALSE),VLOOKUP(E473,'04_PRODUCTOS'!B:G,6,FALSE)),VLOOKUP(E473,'04_PRODUCTOS'!B:E,4,FALSE))),"")</f>
        <v/>
      </c>
      <c r="H473" t="str">
        <f t="shared" si="24"/>
        <v/>
      </c>
      <c r="I473" t="str">
        <f>IFERROR(H473-(F473*VLOOKUP(E473,'04_PRODUCTOS'!B:D,3,FALSE)),"")</f>
        <v/>
      </c>
      <c r="J473" t="str">
        <f t="shared" si="25"/>
        <v/>
      </c>
    </row>
    <row r="474" spans="7:10" x14ac:dyDescent="0.25">
      <c r="G474" t="str">
        <f>IFERROR(IF(D474="Mayorista",IF(VLOOKUP(E474,'04_PRODUCTOS'!B:F,5,FALSE)="",VLOOKUP(E474,'04_PRODUCTOS'!B:E,4,FALSE),VLOOKUP(E474,'04_PRODUCTOS'!B:F,5,FALSE)),IF(D474="Especial",IF(VLOOKUP(E474,'04_PRODUCTOS'!B:G,6,FALSE)="",VLOOKUP(E474,'04_PRODUCTOS'!B:E,4,FALSE),VLOOKUP(E474,'04_PRODUCTOS'!B:G,6,FALSE)),VLOOKUP(E474,'04_PRODUCTOS'!B:E,4,FALSE))),"")</f>
        <v/>
      </c>
      <c r="H474" t="str">
        <f t="shared" si="24"/>
        <v/>
      </c>
      <c r="I474" t="str">
        <f>IFERROR(H474-(F474*VLOOKUP(E474,'04_PRODUCTOS'!B:D,3,FALSE)),"")</f>
        <v/>
      </c>
      <c r="J474" t="str">
        <f t="shared" si="25"/>
        <v/>
      </c>
    </row>
    <row r="475" spans="7:10" x14ac:dyDescent="0.25">
      <c r="G475" t="str">
        <f>IFERROR(IF(D475="Mayorista",IF(VLOOKUP(E475,'04_PRODUCTOS'!B:F,5,FALSE)="",VLOOKUP(E475,'04_PRODUCTOS'!B:E,4,FALSE),VLOOKUP(E475,'04_PRODUCTOS'!B:F,5,FALSE)),IF(D475="Especial",IF(VLOOKUP(E475,'04_PRODUCTOS'!B:G,6,FALSE)="",VLOOKUP(E475,'04_PRODUCTOS'!B:E,4,FALSE),VLOOKUP(E475,'04_PRODUCTOS'!B:G,6,FALSE)),VLOOKUP(E475,'04_PRODUCTOS'!B:E,4,FALSE))),"")</f>
        <v/>
      </c>
      <c r="H475" t="str">
        <f t="shared" si="24"/>
        <v/>
      </c>
      <c r="I475" t="str">
        <f>IFERROR(H475-(F475*VLOOKUP(E475,'04_PRODUCTOS'!B:D,3,FALSE)),"")</f>
        <v/>
      </c>
      <c r="J475" t="str">
        <f t="shared" si="25"/>
        <v/>
      </c>
    </row>
    <row r="476" spans="7:10" x14ac:dyDescent="0.25">
      <c r="G476" t="str">
        <f>IFERROR(IF(D476="Mayorista",IF(VLOOKUP(E476,'04_PRODUCTOS'!B:F,5,FALSE)="",VLOOKUP(E476,'04_PRODUCTOS'!B:E,4,FALSE),VLOOKUP(E476,'04_PRODUCTOS'!B:F,5,FALSE)),IF(D476="Especial",IF(VLOOKUP(E476,'04_PRODUCTOS'!B:G,6,FALSE)="",VLOOKUP(E476,'04_PRODUCTOS'!B:E,4,FALSE),VLOOKUP(E476,'04_PRODUCTOS'!B:G,6,FALSE)),VLOOKUP(E476,'04_PRODUCTOS'!B:E,4,FALSE))),"")</f>
        <v/>
      </c>
      <c r="H476" t="str">
        <f t="shared" si="24"/>
        <v/>
      </c>
      <c r="I476" t="str">
        <f>IFERROR(H476-(F476*VLOOKUP(E476,'04_PRODUCTOS'!B:D,3,FALSE)),"")</f>
        <v/>
      </c>
      <c r="J476" t="str">
        <f t="shared" si="25"/>
        <v/>
      </c>
    </row>
    <row r="477" spans="7:10" x14ac:dyDescent="0.25">
      <c r="G477" t="str">
        <f>IFERROR(IF(D477="Mayorista",IF(VLOOKUP(E477,'04_PRODUCTOS'!B:F,5,FALSE)="",VLOOKUP(E477,'04_PRODUCTOS'!B:E,4,FALSE),VLOOKUP(E477,'04_PRODUCTOS'!B:F,5,FALSE)),IF(D477="Especial",IF(VLOOKUP(E477,'04_PRODUCTOS'!B:G,6,FALSE)="",VLOOKUP(E477,'04_PRODUCTOS'!B:E,4,FALSE),VLOOKUP(E477,'04_PRODUCTOS'!B:G,6,FALSE)),VLOOKUP(E477,'04_PRODUCTOS'!B:E,4,FALSE))),"")</f>
        <v/>
      </c>
      <c r="H477" t="str">
        <f t="shared" si="24"/>
        <v/>
      </c>
      <c r="I477" t="str">
        <f>IFERROR(H477-(F477*VLOOKUP(E477,'04_PRODUCTOS'!B:D,3,FALSE)),"")</f>
        <v/>
      </c>
      <c r="J477" t="str">
        <f t="shared" si="25"/>
        <v/>
      </c>
    </row>
    <row r="478" spans="7:10" x14ac:dyDescent="0.25">
      <c r="G478" t="str">
        <f>IFERROR(IF(D478="Mayorista",IF(VLOOKUP(E478,'04_PRODUCTOS'!B:F,5,FALSE)="",VLOOKUP(E478,'04_PRODUCTOS'!B:E,4,FALSE),VLOOKUP(E478,'04_PRODUCTOS'!B:F,5,FALSE)),IF(D478="Especial",IF(VLOOKUP(E478,'04_PRODUCTOS'!B:G,6,FALSE)="",VLOOKUP(E478,'04_PRODUCTOS'!B:E,4,FALSE),VLOOKUP(E478,'04_PRODUCTOS'!B:G,6,FALSE)),VLOOKUP(E478,'04_PRODUCTOS'!B:E,4,FALSE))),"")</f>
        <v/>
      </c>
      <c r="H478" t="str">
        <f t="shared" si="24"/>
        <v/>
      </c>
      <c r="I478" t="str">
        <f>IFERROR(H478-(F478*VLOOKUP(E478,'04_PRODUCTOS'!B:D,3,FALSE)),"")</f>
        <v/>
      </c>
      <c r="J478" t="str">
        <f t="shared" si="25"/>
        <v/>
      </c>
    </row>
    <row r="479" spans="7:10" x14ac:dyDescent="0.25">
      <c r="G479" t="str">
        <f>IFERROR(IF(D479="Mayorista",IF(VLOOKUP(E479,'04_PRODUCTOS'!B:F,5,FALSE)="",VLOOKUP(E479,'04_PRODUCTOS'!B:E,4,FALSE),VLOOKUP(E479,'04_PRODUCTOS'!B:F,5,FALSE)),IF(D479="Especial",IF(VLOOKUP(E479,'04_PRODUCTOS'!B:G,6,FALSE)="",VLOOKUP(E479,'04_PRODUCTOS'!B:E,4,FALSE),VLOOKUP(E479,'04_PRODUCTOS'!B:G,6,FALSE)),VLOOKUP(E479,'04_PRODUCTOS'!B:E,4,FALSE))),"")</f>
        <v/>
      </c>
      <c r="H479" t="str">
        <f t="shared" si="24"/>
        <v/>
      </c>
      <c r="I479" t="str">
        <f>IFERROR(H479-(F479*VLOOKUP(E479,'04_PRODUCTOS'!B:D,3,FALSE)),"")</f>
        <v/>
      </c>
      <c r="J479" t="str">
        <f t="shared" si="25"/>
        <v/>
      </c>
    </row>
    <row r="480" spans="7:10" x14ac:dyDescent="0.25">
      <c r="G480" t="str">
        <f>IFERROR(IF(D480="Mayorista",IF(VLOOKUP(E480,'04_PRODUCTOS'!B:F,5,FALSE)="",VLOOKUP(E480,'04_PRODUCTOS'!B:E,4,FALSE),VLOOKUP(E480,'04_PRODUCTOS'!B:F,5,FALSE)),IF(D480="Especial",IF(VLOOKUP(E480,'04_PRODUCTOS'!B:G,6,FALSE)="",VLOOKUP(E480,'04_PRODUCTOS'!B:E,4,FALSE),VLOOKUP(E480,'04_PRODUCTOS'!B:G,6,FALSE)),VLOOKUP(E480,'04_PRODUCTOS'!B:E,4,FALSE))),"")</f>
        <v/>
      </c>
      <c r="H480" t="str">
        <f t="shared" si="24"/>
        <v/>
      </c>
      <c r="I480" t="str">
        <f>IFERROR(H480-(F480*VLOOKUP(E480,'04_PRODUCTOS'!B:D,3,FALSE)),"")</f>
        <v/>
      </c>
      <c r="J480" t="str">
        <f t="shared" si="25"/>
        <v/>
      </c>
    </row>
    <row r="481" spans="7:10" x14ac:dyDescent="0.25">
      <c r="G481" t="str">
        <f>IFERROR(IF(D481="Mayorista",IF(VLOOKUP(E481,'04_PRODUCTOS'!B:F,5,FALSE)="",VLOOKUP(E481,'04_PRODUCTOS'!B:E,4,FALSE),VLOOKUP(E481,'04_PRODUCTOS'!B:F,5,FALSE)),IF(D481="Especial",IF(VLOOKUP(E481,'04_PRODUCTOS'!B:G,6,FALSE)="",VLOOKUP(E481,'04_PRODUCTOS'!B:E,4,FALSE),VLOOKUP(E481,'04_PRODUCTOS'!B:G,6,FALSE)),VLOOKUP(E481,'04_PRODUCTOS'!B:E,4,FALSE))),"")</f>
        <v/>
      </c>
      <c r="H481" t="str">
        <f t="shared" si="24"/>
        <v/>
      </c>
      <c r="I481" t="str">
        <f>IFERROR(H481-(F481*VLOOKUP(E481,'04_PRODUCTOS'!B:D,3,FALSE)),"")</f>
        <v/>
      </c>
      <c r="J481" t="str">
        <f t="shared" si="25"/>
        <v/>
      </c>
    </row>
    <row r="482" spans="7:10" x14ac:dyDescent="0.25">
      <c r="G482" t="str">
        <f>IFERROR(IF(D482="Mayorista",IF(VLOOKUP(E482,'04_PRODUCTOS'!B:F,5,FALSE)="",VLOOKUP(E482,'04_PRODUCTOS'!B:E,4,FALSE),VLOOKUP(E482,'04_PRODUCTOS'!B:F,5,FALSE)),IF(D482="Especial",IF(VLOOKUP(E482,'04_PRODUCTOS'!B:G,6,FALSE)="",VLOOKUP(E482,'04_PRODUCTOS'!B:E,4,FALSE),VLOOKUP(E482,'04_PRODUCTOS'!B:G,6,FALSE)),VLOOKUP(E482,'04_PRODUCTOS'!B:E,4,FALSE))),"")</f>
        <v/>
      </c>
      <c r="H482" t="str">
        <f t="shared" si="24"/>
        <v/>
      </c>
      <c r="I482" t="str">
        <f>IFERROR(H482-(F482*VLOOKUP(E482,'04_PRODUCTOS'!B:D,3,FALSE)),"")</f>
        <v/>
      </c>
      <c r="J482" t="str">
        <f t="shared" si="25"/>
        <v/>
      </c>
    </row>
    <row r="483" spans="7:10" x14ac:dyDescent="0.25">
      <c r="G483" t="str">
        <f>IFERROR(IF(D483="Mayorista",IF(VLOOKUP(E483,'04_PRODUCTOS'!B:F,5,FALSE)="",VLOOKUP(E483,'04_PRODUCTOS'!B:E,4,FALSE),VLOOKUP(E483,'04_PRODUCTOS'!B:F,5,FALSE)),IF(D483="Especial",IF(VLOOKUP(E483,'04_PRODUCTOS'!B:G,6,FALSE)="",VLOOKUP(E483,'04_PRODUCTOS'!B:E,4,FALSE),VLOOKUP(E483,'04_PRODUCTOS'!B:G,6,FALSE)),VLOOKUP(E483,'04_PRODUCTOS'!B:E,4,FALSE))),"")</f>
        <v/>
      </c>
      <c r="H483" t="str">
        <f t="shared" si="24"/>
        <v/>
      </c>
      <c r="I483" t="str">
        <f>IFERROR(H483-(F483*VLOOKUP(E483,'04_PRODUCTOS'!B:D,3,FALSE)),"")</f>
        <v/>
      </c>
      <c r="J483" t="str">
        <f t="shared" si="25"/>
        <v/>
      </c>
    </row>
    <row r="484" spans="7:10" x14ac:dyDescent="0.25">
      <c r="G484" t="str">
        <f>IFERROR(IF(D484="Mayorista",IF(VLOOKUP(E484,'04_PRODUCTOS'!B:F,5,FALSE)="",VLOOKUP(E484,'04_PRODUCTOS'!B:E,4,FALSE),VLOOKUP(E484,'04_PRODUCTOS'!B:F,5,FALSE)),IF(D484="Especial",IF(VLOOKUP(E484,'04_PRODUCTOS'!B:G,6,FALSE)="",VLOOKUP(E484,'04_PRODUCTOS'!B:E,4,FALSE),VLOOKUP(E484,'04_PRODUCTOS'!B:G,6,FALSE)),VLOOKUP(E484,'04_PRODUCTOS'!B:E,4,FALSE))),"")</f>
        <v/>
      </c>
      <c r="H484" t="str">
        <f t="shared" si="24"/>
        <v/>
      </c>
      <c r="I484" t="str">
        <f>IFERROR(H484-(F484*VLOOKUP(E484,'04_PRODUCTOS'!B:D,3,FALSE)),"")</f>
        <v/>
      </c>
      <c r="J484" t="str">
        <f t="shared" si="25"/>
        <v/>
      </c>
    </row>
    <row r="485" spans="7:10" x14ac:dyDescent="0.25">
      <c r="G485" t="str">
        <f>IFERROR(IF(D485="Mayorista",IF(VLOOKUP(E485,'04_PRODUCTOS'!B:F,5,FALSE)="",VLOOKUP(E485,'04_PRODUCTOS'!B:E,4,FALSE),VLOOKUP(E485,'04_PRODUCTOS'!B:F,5,FALSE)),IF(D485="Especial",IF(VLOOKUP(E485,'04_PRODUCTOS'!B:G,6,FALSE)="",VLOOKUP(E485,'04_PRODUCTOS'!B:E,4,FALSE),VLOOKUP(E485,'04_PRODUCTOS'!B:G,6,FALSE)),VLOOKUP(E485,'04_PRODUCTOS'!B:E,4,FALSE))),"")</f>
        <v/>
      </c>
      <c r="H485" t="str">
        <f t="shared" si="24"/>
        <v/>
      </c>
      <c r="I485" t="str">
        <f>IFERROR(H485-(F485*VLOOKUP(E485,'04_PRODUCTOS'!B:D,3,FALSE)),"")</f>
        <v/>
      </c>
      <c r="J485" t="str">
        <f t="shared" si="25"/>
        <v/>
      </c>
    </row>
    <row r="486" spans="7:10" x14ac:dyDescent="0.25">
      <c r="G486" t="str">
        <f>IFERROR(IF(D486="Mayorista",IF(VLOOKUP(E486,'04_PRODUCTOS'!B:F,5,FALSE)="",VLOOKUP(E486,'04_PRODUCTOS'!B:E,4,FALSE),VLOOKUP(E486,'04_PRODUCTOS'!B:F,5,FALSE)),IF(D486="Especial",IF(VLOOKUP(E486,'04_PRODUCTOS'!B:G,6,FALSE)="",VLOOKUP(E486,'04_PRODUCTOS'!B:E,4,FALSE),VLOOKUP(E486,'04_PRODUCTOS'!B:G,6,FALSE)),VLOOKUP(E486,'04_PRODUCTOS'!B:E,4,FALSE))),"")</f>
        <v/>
      </c>
      <c r="H486" t="str">
        <f t="shared" si="24"/>
        <v/>
      </c>
      <c r="I486" t="str">
        <f>IFERROR(H486-(F486*VLOOKUP(E486,'04_PRODUCTOS'!B:D,3,FALSE)),"")</f>
        <v/>
      </c>
      <c r="J486" t="str">
        <f t="shared" si="25"/>
        <v/>
      </c>
    </row>
    <row r="487" spans="7:10" x14ac:dyDescent="0.25">
      <c r="G487" t="str">
        <f>IFERROR(IF(D487="Mayorista",IF(VLOOKUP(E487,'04_PRODUCTOS'!B:F,5,FALSE)="",VLOOKUP(E487,'04_PRODUCTOS'!B:E,4,FALSE),VLOOKUP(E487,'04_PRODUCTOS'!B:F,5,FALSE)),IF(D487="Especial",IF(VLOOKUP(E487,'04_PRODUCTOS'!B:G,6,FALSE)="",VLOOKUP(E487,'04_PRODUCTOS'!B:E,4,FALSE),VLOOKUP(E487,'04_PRODUCTOS'!B:G,6,FALSE)),VLOOKUP(E487,'04_PRODUCTOS'!B:E,4,FALSE))),"")</f>
        <v/>
      </c>
      <c r="H487" t="str">
        <f t="shared" si="24"/>
        <v/>
      </c>
      <c r="I487" t="str">
        <f>IFERROR(H487-(F487*VLOOKUP(E487,'04_PRODUCTOS'!B:D,3,FALSE)),"")</f>
        <v/>
      </c>
      <c r="J487" t="str">
        <f t="shared" si="25"/>
        <v/>
      </c>
    </row>
    <row r="488" spans="7:10" x14ac:dyDescent="0.25">
      <c r="G488" t="str">
        <f>IFERROR(IF(D488="Mayorista",IF(VLOOKUP(E488,'04_PRODUCTOS'!B:F,5,FALSE)="",VLOOKUP(E488,'04_PRODUCTOS'!B:E,4,FALSE),VLOOKUP(E488,'04_PRODUCTOS'!B:F,5,FALSE)),IF(D488="Especial",IF(VLOOKUP(E488,'04_PRODUCTOS'!B:G,6,FALSE)="",VLOOKUP(E488,'04_PRODUCTOS'!B:E,4,FALSE),VLOOKUP(E488,'04_PRODUCTOS'!B:G,6,FALSE)),VLOOKUP(E488,'04_PRODUCTOS'!B:E,4,FALSE))),"")</f>
        <v/>
      </c>
      <c r="H488" t="str">
        <f t="shared" si="24"/>
        <v/>
      </c>
      <c r="I488" t="str">
        <f>IFERROR(H488-(F488*VLOOKUP(E488,'04_PRODUCTOS'!B:D,3,FALSE)),"")</f>
        <v/>
      </c>
      <c r="J488" t="str">
        <f t="shared" si="25"/>
        <v/>
      </c>
    </row>
    <row r="489" spans="7:10" x14ac:dyDescent="0.25">
      <c r="G489" t="str">
        <f>IFERROR(IF(D489="Mayorista",IF(VLOOKUP(E489,'04_PRODUCTOS'!B:F,5,FALSE)="",VLOOKUP(E489,'04_PRODUCTOS'!B:E,4,FALSE),VLOOKUP(E489,'04_PRODUCTOS'!B:F,5,FALSE)),IF(D489="Especial",IF(VLOOKUP(E489,'04_PRODUCTOS'!B:G,6,FALSE)="",VLOOKUP(E489,'04_PRODUCTOS'!B:E,4,FALSE),VLOOKUP(E489,'04_PRODUCTOS'!B:G,6,FALSE)),VLOOKUP(E489,'04_PRODUCTOS'!B:E,4,FALSE))),"")</f>
        <v/>
      </c>
      <c r="H489" t="str">
        <f t="shared" si="24"/>
        <v/>
      </c>
      <c r="I489" t="str">
        <f>IFERROR(H489-(F489*VLOOKUP(E489,'04_PRODUCTOS'!B:D,3,FALSE)),"")</f>
        <v/>
      </c>
      <c r="J489" t="str">
        <f t="shared" si="25"/>
        <v/>
      </c>
    </row>
    <row r="490" spans="7:10" x14ac:dyDescent="0.25">
      <c r="G490" t="str">
        <f>IFERROR(IF(D490="Mayorista",IF(VLOOKUP(E490,'04_PRODUCTOS'!B:F,5,FALSE)="",VLOOKUP(E490,'04_PRODUCTOS'!B:E,4,FALSE),VLOOKUP(E490,'04_PRODUCTOS'!B:F,5,FALSE)),IF(D490="Especial",IF(VLOOKUP(E490,'04_PRODUCTOS'!B:G,6,FALSE)="",VLOOKUP(E490,'04_PRODUCTOS'!B:E,4,FALSE),VLOOKUP(E490,'04_PRODUCTOS'!B:G,6,FALSE)),VLOOKUP(E490,'04_PRODUCTOS'!B:E,4,FALSE))),"")</f>
        <v/>
      </c>
      <c r="H490" t="str">
        <f t="shared" si="24"/>
        <v/>
      </c>
      <c r="I490" t="str">
        <f>IFERROR(H490-(F490*VLOOKUP(E490,'04_PRODUCTOS'!B:D,3,FALSE)),"")</f>
        <v/>
      </c>
      <c r="J490" t="str">
        <f t="shared" si="25"/>
        <v/>
      </c>
    </row>
    <row r="491" spans="7:10" x14ac:dyDescent="0.25">
      <c r="G491" t="str">
        <f>IFERROR(IF(D491="Mayorista",IF(VLOOKUP(E491,'04_PRODUCTOS'!B:F,5,FALSE)="",VLOOKUP(E491,'04_PRODUCTOS'!B:E,4,FALSE),VLOOKUP(E491,'04_PRODUCTOS'!B:F,5,FALSE)),IF(D491="Especial",IF(VLOOKUP(E491,'04_PRODUCTOS'!B:G,6,FALSE)="",VLOOKUP(E491,'04_PRODUCTOS'!B:E,4,FALSE),VLOOKUP(E491,'04_PRODUCTOS'!B:G,6,FALSE)),VLOOKUP(E491,'04_PRODUCTOS'!B:E,4,FALSE))),"")</f>
        <v/>
      </c>
      <c r="H491" t="str">
        <f t="shared" si="24"/>
        <v/>
      </c>
      <c r="I491" t="str">
        <f>IFERROR(H491-(F491*VLOOKUP(E491,'04_PRODUCTOS'!B:D,3,FALSE)),"")</f>
        <v/>
      </c>
      <c r="J491" t="str">
        <f t="shared" si="25"/>
        <v/>
      </c>
    </row>
    <row r="492" spans="7:10" x14ac:dyDescent="0.25">
      <c r="G492" t="str">
        <f>IFERROR(IF(D492="Mayorista",IF(VLOOKUP(E492,'04_PRODUCTOS'!B:F,5,FALSE)="",VLOOKUP(E492,'04_PRODUCTOS'!B:E,4,FALSE),VLOOKUP(E492,'04_PRODUCTOS'!B:F,5,FALSE)),IF(D492="Especial",IF(VLOOKUP(E492,'04_PRODUCTOS'!B:G,6,FALSE)="",VLOOKUP(E492,'04_PRODUCTOS'!B:E,4,FALSE),VLOOKUP(E492,'04_PRODUCTOS'!B:G,6,FALSE)),VLOOKUP(E492,'04_PRODUCTOS'!B:E,4,FALSE))),"")</f>
        <v/>
      </c>
      <c r="H492" t="str">
        <f t="shared" si="24"/>
        <v/>
      </c>
      <c r="I492" t="str">
        <f>IFERROR(H492-(F492*VLOOKUP(E492,'04_PRODUCTOS'!B:D,3,FALSE)),"")</f>
        <v/>
      </c>
      <c r="J492" t="str">
        <f t="shared" si="25"/>
        <v/>
      </c>
    </row>
    <row r="493" spans="7:10" x14ac:dyDescent="0.25">
      <c r="G493" t="str">
        <f>IFERROR(IF(D493="Mayorista",IF(VLOOKUP(E493,'04_PRODUCTOS'!B:F,5,FALSE)="",VLOOKUP(E493,'04_PRODUCTOS'!B:E,4,FALSE),VLOOKUP(E493,'04_PRODUCTOS'!B:F,5,FALSE)),IF(D493="Especial",IF(VLOOKUP(E493,'04_PRODUCTOS'!B:G,6,FALSE)="",VLOOKUP(E493,'04_PRODUCTOS'!B:E,4,FALSE),VLOOKUP(E493,'04_PRODUCTOS'!B:G,6,FALSE)),VLOOKUP(E493,'04_PRODUCTOS'!B:E,4,FALSE))),"")</f>
        <v/>
      </c>
      <c r="H493" t="str">
        <f t="shared" si="24"/>
        <v/>
      </c>
      <c r="I493" t="str">
        <f>IFERROR(H493-(F493*VLOOKUP(E493,'04_PRODUCTOS'!B:D,3,FALSE)),"")</f>
        <v/>
      </c>
      <c r="J493" t="str">
        <f t="shared" si="25"/>
        <v/>
      </c>
    </row>
    <row r="494" spans="7:10" x14ac:dyDescent="0.25">
      <c r="G494" t="str">
        <f>IFERROR(IF(D494="Mayorista",IF(VLOOKUP(E494,'04_PRODUCTOS'!B:F,5,FALSE)="",VLOOKUP(E494,'04_PRODUCTOS'!B:E,4,FALSE),VLOOKUP(E494,'04_PRODUCTOS'!B:F,5,FALSE)),IF(D494="Especial",IF(VLOOKUP(E494,'04_PRODUCTOS'!B:G,6,FALSE)="",VLOOKUP(E494,'04_PRODUCTOS'!B:E,4,FALSE),VLOOKUP(E494,'04_PRODUCTOS'!B:G,6,FALSE)),VLOOKUP(E494,'04_PRODUCTOS'!B:E,4,FALSE))),"")</f>
        <v/>
      </c>
      <c r="H494" t="str">
        <f t="shared" si="24"/>
        <v/>
      </c>
      <c r="I494" t="str">
        <f>IFERROR(H494-(F494*VLOOKUP(E494,'04_PRODUCTOS'!B:D,3,FALSE)),"")</f>
        <v/>
      </c>
      <c r="J494" t="str">
        <f t="shared" si="25"/>
        <v/>
      </c>
    </row>
    <row r="495" spans="7:10" x14ac:dyDescent="0.25">
      <c r="G495" t="str">
        <f>IFERROR(IF(D495="Mayorista",IF(VLOOKUP(E495,'04_PRODUCTOS'!B:F,5,FALSE)="",VLOOKUP(E495,'04_PRODUCTOS'!B:E,4,FALSE),VLOOKUP(E495,'04_PRODUCTOS'!B:F,5,FALSE)),IF(D495="Especial",IF(VLOOKUP(E495,'04_PRODUCTOS'!B:G,6,FALSE)="",VLOOKUP(E495,'04_PRODUCTOS'!B:E,4,FALSE),VLOOKUP(E495,'04_PRODUCTOS'!B:G,6,FALSE)),VLOOKUP(E495,'04_PRODUCTOS'!B:E,4,FALSE))),"")</f>
        <v/>
      </c>
      <c r="H495" t="str">
        <f t="shared" si="24"/>
        <v/>
      </c>
      <c r="I495" t="str">
        <f>IFERROR(H495-(F495*VLOOKUP(E495,'04_PRODUCTOS'!B:D,3,FALSE)),"")</f>
        <v/>
      </c>
      <c r="J495" t="str">
        <f t="shared" si="25"/>
        <v/>
      </c>
    </row>
    <row r="496" spans="7:10" x14ac:dyDescent="0.25">
      <c r="G496" t="str">
        <f>IFERROR(IF(D496="Mayorista",IF(VLOOKUP(E496,'04_PRODUCTOS'!B:F,5,FALSE)="",VLOOKUP(E496,'04_PRODUCTOS'!B:E,4,FALSE),VLOOKUP(E496,'04_PRODUCTOS'!B:F,5,FALSE)),IF(D496="Especial",IF(VLOOKUP(E496,'04_PRODUCTOS'!B:G,6,FALSE)="",VLOOKUP(E496,'04_PRODUCTOS'!B:E,4,FALSE),VLOOKUP(E496,'04_PRODUCTOS'!B:G,6,FALSE)),VLOOKUP(E496,'04_PRODUCTOS'!B:E,4,FALSE))),"")</f>
        <v/>
      </c>
      <c r="H496" t="str">
        <f t="shared" si="24"/>
        <v/>
      </c>
      <c r="I496" t="str">
        <f>IFERROR(H496-(F496*VLOOKUP(E496,'04_PRODUCTOS'!B:D,3,FALSE)),"")</f>
        <v/>
      </c>
      <c r="J496" t="str">
        <f t="shared" si="25"/>
        <v/>
      </c>
    </row>
    <row r="497" spans="7:10" x14ac:dyDescent="0.25">
      <c r="G497" t="str">
        <f>IFERROR(IF(D497="Mayorista",IF(VLOOKUP(E497,'04_PRODUCTOS'!B:F,5,FALSE)="",VLOOKUP(E497,'04_PRODUCTOS'!B:E,4,FALSE),VLOOKUP(E497,'04_PRODUCTOS'!B:F,5,FALSE)),IF(D497="Especial",IF(VLOOKUP(E497,'04_PRODUCTOS'!B:G,6,FALSE)="",VLOOKUP(E497,'04_PRODUCTOS'!B:E,4,FALSE),VLOOKUP(E497,'04_PRODUCTOS'!B:G,6,FALSE)),VLOOKUP(E497,'04_PRODUCTOS'!B:E,4,FALSE))),"")</f>
        <v/>
      </c>
      <c r="H497" t="str">
        <f t="shared" si="24"/>
        <v/>
      </c>
      <c r="I497" t="str">
        <f>IFERROR(H497-(F497*VLOOKUP(E497,'04_PRODUCTOS'!B:D,3,FALSE)),"")</f>
        <v/>
      </c>
      <c r="J497" t="str">
        <f t="shared" si="25"/>
        <v/>
      </c>
    </row>
    <row r="498" spans="7:10" x14ac:dyDescent="0.25">
      <c r="G498" t="str">
        <f>IFERROR(IF(D498="Mayorista",IF(VLOOKUP(E498,'04_PRODUCTOS'!B:F,5,FALSE)="",VLOOKUP(E498,'04_PRODUCTOS'!B:E,4,FALSE),VLOOKUP(E498,'04_PRODUCTOS'!B:F,5,FALSE)),IF(D498="Especial",IF(VLOOKUP(E498,'04_PRODUCTOS'!B:G,6,FALSE)="",VLOOKUP(E498,'04_PRODUCTOS'!B:E,4,FALSE),VLOOKUP(E498,'04_PRODUCTOS'!B:G,6,FALSE)),VLOOKUP(E498,'04_PRODUCTOS'!B:E,4,FALSE))),"")</f>
        <v/>
      </c>
      <c r="H498" t="str">
        <f t="shared" si="24"/>
        <v/>
      </c>
      <c r="I498" t="str">
        <f>IFERROR(H498-(F498*VLOOKUP(E498,'04_PRODUCTOS'!B:D,3,FALSE)),"")</f>
        <v/>
      </c>
      <c r="J498" t="str">
        <f t="shared" si="25"/>
        <v/>
      </c>
    </row>
    <row r="499" spans="7:10" x14ac:dyDescent="0.25">
      <c r="G499" t="str">
        <f>IFERROR(IF(D499="Mayorista",IF(VLOOKUP(E499,'04_PRODUCTOS'!B:F,5,FALSE)="",VLOOKUP(E499,'04_PRODUCTOS'!B:E,4,FALSE),VLOOKUP(E499,'04_PRODUCTOS'!B:F,5,FALSE)),IF(D499="Especial",IF(VLOOKUP(E499,'04_PRODUCTOS'!B:G,6,FALSE)="",VLOOKUP(E499,'04_PRODUCTOS'!B:E,4,FALSE),VLOOKUP(E499,'04_PRODUCTOS'!B:G,6,FALSE)),VLOOKUP(E499,'04_PRODUCTOS'!B:E,4,FALSE))),"")</f>
        <v/>
      </c>
      <c r="H499" t="str">
        <f t="shared" si="24"/>
        <v/>
      </c>
      <c r="I499" t="str">
        <f>IFERROR(H499-(F499*VLOOKUP(E499,'04_PRODUCTOS'!B:D,3,FALSE)),"")</f>
        <v/>
      </c>
      <c r="J499" t="str">
        <f t="shared" si="25"/>
        <v/>
      </c>
    </row>
    <row r="500" spans="7:10" x14ac:dyDescent="0.25">
      <c r="G500" t="str">
        <f>IFERROR(IF(D500="Mayorista",IF(VLOOKUP(E500,'04_PRODUCTOS'!B:F,5,FALSE)="",VLOOKUP(E500,'04_PRODUCTOS'!B:E,4,FALSE),VLOOKUP(E500,'04_PRODUCTOS'!B:F,5,FALSE)),IF(D500="Especial",IF(VLOOKUP(E500,'04_PRODUCTOS'!B:G,6,FALSE)="",VLOOKUP(E500,'04_PRODUCTOS'!B:E,4,FALSE),VLOOKUP(E500,'04_PRODUCTOS'!B:G,6,FALSE)),VLOOKUP(E500,'04_PRODUCTOS'!B:E,4,FALSE))),"")</f>
        <v/>
      </c>
      <c r="H500" t="str">
        <f t="shared" si="24"/>
        <v/>
      </c>
      <c r="I500" t="str">
        <f>IFERROR(H500-(F500*VLOOKUP(E500,'04_PRODUCTOS'!B:D,3,FALSE)),"")</f>
        <v/>
      </c>
      <c r="J500" t="str">
        <f t="shared" si="25"/>
        <v/>
      </c>
    </row>
    <row r="501" spans="7:10" x14ac:dyDescent="0.25">
      <c r="G501" t="str">
        <f>IFERROR(IF(D501="Mayorista",IF(VLOOKUP(E501,'04_PRODUCTOS'!B:F,5,FALSE)="",VLOOKUP(E501,'04_PRODUCTOS'!B:E,4,FALSE),VLOOKUP(E501,'04_PRODUCTOS'!B:F,5,FALSE)),IF(D501="Especial",IF(VLOOKUP(E501,'04_PRODUCTOS'!B:G,6,FALSE)="",VLOOKUP(E501,'04_PRODUCTOS'!B:E,4,FALSE),VLOOKUP(E501,'04_PRODUCTOS'!B:G,6,FALSE)),VLOOKUP(E501,'04_PRODUCTOS'!B:E,4,FALSE))),"")</f>
        <v/>
      </c>
      <c r="H501" t="str">
        <f t="shared" si="24"/>
        <v/>
      </c>
      <c r="I501" t="str">
        <f>IFERROR(H501-(F501*VLOOKUP(E501,'04_PRODUCTOS'!B:D,3,FALSE)),"")</f>
        <v/>
      </c>
      <c r="J501" t="str">
        <f t="shared" si="25"/>
        <v/>
      </c>
    </row>
  </sheetData>
  <dataValidations count="1">
    <dataValidation type="list" allowBlank="1" sqref="D2:D500" xr:uid="{00000000-0002-0000-0500-000000000000}">
      <formula1>"Minorista,Mayorista,Especial"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168</v>
      </c>
      <c r="B1" t="s">
        <v>169</v>
      </c>
    </row>
    <row r="2" spans="1:2" x14ac:dyDescent="0.25">
      <c r="A2" t="s">
        <v>170</v>
      </c>
      <c r="B2" t="s">
        <v>171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workbookViewId="0"/>
  </sheetViews>
  <sheetFormatPr baseColWidth="10" defaultColWidth="9.140625" defaultRowHeight="15" x14ac:dyDescent="0.25"/>
  <cols>
    <col min="1" max="1" width="13.42578125" bestFit="1" customWidth="1"/>
    <col min="2" max="2" width="7" bestFit="1" customWidth="1"/>
    <col min="5" max="5" width="11.140625" bestFit="1" customWidth="1"/>
    <col min="6" max="6" width="9.42578125" bestFit="1" customWidth="1"/>
  </cols>
  <sheetData>
    <row r="1" spans="1:6" x14ac:dyDescent="0.25">
      <c r="A1" t="s">
        <v>172</v>
      </c>
    </row>
    <row r="2" spans="1:6" x14ac:dyDescent="0.25">
      <c r="D2" t="s">
        <v>173</v>
      </c>
      <c r="E2" t="s">
        <v>174</v>
      </c>
      <c r="F2" t="s">
        <v>175</v>
      </c>
    </row>
    <row r="3" spans="1:6" x14ac:dyDescent="0.25">
      <c r="A3" t="s">
        <v>176</v>
      </c>
      <c r="B3">
        <f>COUNTA('05_VENTAS'!A2:A501)</f>
        <v>200</v>
      </c>
      <c r="D3">
        <v>1</v>
      </c>
      <c r="E3" t="e">
        <f ca="1">SUMPRODUCT((MONTH('05_VENTAS'!$B$2:$B$501)=D3)*('05_VENTAS'!$H$2:$H$501))</f>
        <v>#VALUE!</v>
      </c>
      <c r="F3" t="e">
        <f ca="1">SUMPRODUCT((MONTH('05_VENTAS'!$B$2:$B$501)=D3)*('05_VENTAS'!$I$2:$I$501))</f>
        <v>#VALUE!</v>
      </c>
    </row>
    <row r="4" spans="1:6" x14ac:dyDescent="0.25">
      <c r="A4" t="s">
        <v>174</v>
      </c>
      <c r="B4">
        <f>SUM('05_VENTAS'!H2:H501)</f>
        <v>612600</v>
      </c>
      <c r="D4">
        <v>2</v>
      </c>
      <c r="E4" t="e">
        <f ca="1">SUMPRODUCT((MONTH('05_VENTAS'!$B$2:$B$501)=D4)*('05_VENTAS'!$H$2:$H$501))</f>
        <v>#VALUE!</v>
      </c>
      <c r="F4" t="e">
        <f ca="1">SUMPRODUCT((MONTH('05_VENTAS'!$B$2:$B$501)=D4)*('05_VENTAS'!$I$2:$I$501))</f>
        <v>#VALUE!</v>
      </c>
    </row>
    <row r="5" spans="1:6" x14ac:dyDescent="0.25">
      <c r="A5" t="s">
        <v>175</v>
      </c>
      <c r="B5">
        <f>SUM('05_VENTAS'!I2:I501)</f>
        <v>67000.000000000015</v>
      </c>
      <c r="D5">
        <v>3</v>
      </c>
      <c r="E5" t="e">
        <f ca="1">SUMPRODUCT((MONTH('05_VENTAS'!$B$2:$B$501)=D5)*('05_VENTAS'!$H$2:$H$501))</f>
        <v>#VALUE!</v>
      </c>
      <c r="F5" t="e">
        <f ca="1">SUMPRODUCT((MONTH('05_VENTAS'!$B$2:$B$501)=D5)*('05_VENTAS'!$I$2:$I$501))</f>
        <v>#VALUE!</v>
      </c>
    </row>
    <row r="6" spans="1:6" x14ac:dyDescent="0.25">
      <c r="A6" t="s">
        <v>177</v>
      </c>
      <c r="B6">
        <f>IFERROR(B5/B4,"")</f>
        <v>0.10936989879203397</v>
      </c>
      <c r="D6">
        <v>4</v>
      </c>
      <c r="E6" t="e">
        <f ca="1">SUMPRODUCT((MONTH('05_VENTAS'!$B$2:$B$501)=D6)*('05_VENTAS'!$H$2:$H$501))</f>
        <v>#VALUE!</v>
      </c>
      <c r="F6" t="e">
        <f ca="1">SUMPRODUCT((MONTH('05_VENTAS'!$B$2:$B$501)=D6)*('05_VENTAS'!$I$2:$I$501))</f>
        <v>#VALUE!</v>
      </c>
    </row>
    <row r="7" spans="1:6" x14ac:dyDescent="0.25">
      <c r="A7" t="s">
        <v>178</v>
      </c>
      <c r="B7">
        <f>SUM('05_VENTAS'!F2:F501)</f>
        <v>26.800000000000004</v>
      </c>
      <c r="D7">
        <v>5</v>
      </c>
      <c r="E7" t="e">
        <f ca="1">SUMPRODUCT((MONTH('05_VENTAS'!$B$2:$B$501)=D7)*('05_VENTAS'!$H$2:$H$501))</f>
        <v>#VALUE!</v>
      </c>
      <c r="F7" t="e">
        <f ca="1">SUMPRODUCT((MONTH('05_VENTAS'!$B$2:$B$501)=D7)*('05_VENTAS'!$I$2:$I$501))</f>
        <v>#VALUE!</v>
      </c>
    </row>
    <row r="8" spans="1:6" x14ac:dyDescent="0.25">
      <c r="A8" t="s">
        <v>179</v>
      </c>
      <c r="B8">
        <f>IFERROR(B4/B3,"")</f>
        <v>3063</v>
      </c>
      <c r="D8">
        <v>6</v>
      </c>
      <c r="E8" t="e">
        <f ca="1">SUMPRODUCT((MONTH('05_VENTAS'!$B$2:$B$501)=D8)*('05_VENTAS'!$H$2:$H$501))</f>
        <v>#VALUE!</v>
      </c>
      <c r="F8" t="e">
        <f ca="1">SUMPRODUCT((MONTH('05_VENTAS'!$B$2:$B$501)=D8)*('05_VENTAS'!$I$2:$I$501))</f>
        <v>#VALUE!</v>
      </c>
    </row>
    <row r="9" spans="1:6" x14ac:dyDescent="0.25">
      <c r="D9">
        <v>7</v>
      </c>
      <c r="E9" t="e">
        <f ca="1">SUMPRODUCT((MONTH('05_VENTAS'!$B$2:$B$501)=D9)*('05_VENTAS'!$H$2:$H$501))</f>
        <v>#VALUE!</v>
      </c>
      <c r="F9" t="e">
        <f ca="1">SUMPRODUCT((MONTH('05_VENTAS'!$B$2:$B$501)=D9)*('05_VENTAS'!$I$2:$I$501))</f>
        <v>#VALUE!</v>
      </c>
    </row>
    <row r="10" spans="1:6" x14ac:dyDescent="0.25">
      <c r="D10">
        <v>8</v>
      </c>
      <c r="E10" t="e">
        <f ca="1">SUMPRODUCT((MONTH('05_VENTAS'!$B$2:$B$501)=D10)*('05_VENTAS'!$H$2:$H$501))</f>
        <v>#VALUE!</v>
      </c>
      <c r="F10" t="e">
        <f ca="1">SUMPRODUCT((MONTH('05_VENTAS'!$B$2:$B$501)=D10)*('05_VENTAS'!$I$2:$I$501))</f>
        <v>#VALUE!</v>
      </c>
    </row>
    <row r="11" spans="1:6" x14ac:dyDescent="0.25">
      <c r="D11">
        <v>9</v>
      </c>
      <c r="E11" t="e">
        <f ca="1">SUMPRODUCT((MONTH('05_VENTAS'!$B$2:$B$501)=D11)*('05_VENTAS'!$H$2:$H$501))</f>
        <v>#VALUE!</v>
      </c>
      <c r="F11" t="e">
        <f ca="1">SUMPRODUCT((MONTH('05_VENTAS'!$B$2:$B$501)=D11)*('05_VENTAS'!$I$2:$I$501))</f>
        <v>#VALUE!</v>
      </c>
    </row>
    <row r="12" spans="1:6" x14ac:dyDescent="0.25">
      <c r="D12">
        <v>10</v>
      </c>
      <c r="E12" t="e">
        <f ca="1">SUMPRODUCT((MONTH('05_VENTAS'!$B$2:$B$501)=D12)*('05_VENTAS'!$H$2:$H$501))</f>
        <v>#VALUE!</v>
      </c>
      <c r="F12" t="e">
        <f ca="1">SUMPRODUCT((MONTH('05_VENTAS'!$B$2:$B$501)=D12)*('05_VENTAS'!$I$2:$I$501))</f>
        <v>#VALUE!</v>
      </c>
    </row>
    <row r="13" spans="1:6" x14ac:dyDescent="0.25">
      <c r="D13">
        <v>11</v>
      </c>
      <c r="E13" t="e">
        <f ca="1">SUMPRODUCT((MONTH('05_VENTAS'!$B$2:$B$501)=D13)*('05_VENTAS'!$H$2:$H$501))</f>
        <v>#VALUE!</v>
      </c>
      <c r="F13" t="e">
        <f ca="1">SUMPRODUCT((MONTH('05_VENTAS'!$B$2:$B$501)=D13)*('05_VENTAS'!$I$2:$I$501))</f>
        <v>#VALUE!</v>
      </c>
    </row>
    <row r="14" spans="1:6" x14ac:dyDescent="0.25">
      <c r="D14">
        <v>12</v>
      </c>
      <c r="E14" t="e">
        <f ca="1">SUMPRODUCT((MONTH('05_VENTAS'!$B$2:$B$501)=D14)*('05_VENTAS'!$H$2:$H$501))</f>
        <v>#VALUE!</v>
      </c>
      <c r="F14" t="e">
        <f ca="1">SUMPRODUCT((MONTH('05_VENTAS'!$B$2:$B$501)=D14)*('05_VENTAS'!$I$2:$I$501))</f>
        <v>#VALUE!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"/>
  <sheetViews>
    <sheetView tabSelected="1" workbookViewId="0">
      <selection activeCell="F7" sqref="F7"/>
    </sheetView>
  </sheetViews>
  <sheetFormatPr baseColWidth="10" defaultColWidth="9.140625" defaultRowHeight="15" x14ac:dyDescent="0.25"/>
  <cols>
    <col min="2" max="2" width="14.28515625" bestFit="1" customWidth="1"/>
  </cols>
  <sheetData>
    <row r="1" spans="1:2" x14ac:dyDescent="0.25">
      <c r="A1" t="s">
        <v>180</v>
      </c>
    </row>
    <row r="3" spans="1:2" x14ac:dyDescent="0.25">
      <c r="A3" t="s">
        <v>163</v>
      </c>
      <c r="B3" t="str">
        <f>'05_VENTAS'!A2</f>
        <v>VEN000001</v>
      </c>
    </row>
    <row r="4" spans="1:2" x14ac:dyDescent="0.25">
      <c r="A4" t="s">
        <v>164</v>
      </c>
      <c r="B4" s="4">
        <f>'05_VENTAS'!B2</f>
        <v>46204</v>
      </c>
    </row>
    <row r="5" spans="1:2" x14ac:dyDescent="0.25">
      <c r="A5" t="s">
        <v>165</v>
      </c>
      <c r="B5" t="str">
        <f>'05_VENTAS'!C2</f>
        <v>Pato O'Reilly</v>
      </c>
    </row>
    <row r="7" spans="1:2" x14ac:dyDescent="0.25">
      <c r="A7" t="s">
        <v>181</v>
      </c>
      <c r="B7" t="str">
        <f>'05_VENTAS'!E2</f>
        <v>Picada Especial</v>
      </c>
    </row>
    <row r="8" spans="1:2" x14ac:dyDescent="0.25">
      <c r="A8" t="s">
        <v>166</v>
      </c>
      <c r="B8">
        <f>'05_VENTAS'!F2</f>
        <v>3.4</v>
      </c>
    </row>
    <row r="9" spans="1:2" x14ac:dyDescent="0.25">
      <c r="A9" t="s">
        <v>182</v>
      </c>
      <c r="B9">
        <f>'05_VENTAS'!G2</f>
        <v>16000</v>
      </c>
    </row>
    <row r="10" spans="1:2" x14ac:dyDescent="0.25">
      <c r="A10" t="s">
        <v>183</v>
      </c>
      <c r="B10">
        <f>'05_VENTAS'!H2</f>
        <v>54400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01"/>
  <sheetViews>
    <sheetView workbookViewId="0">
      <selection activeCell="K4" sqref="K4"/>
    </sheetView>
  </sheetViews>
  <sheetFormatPr baseColWidth="10" defaultColWidth="9.140625" defaultRowHeight="15" x14ac:dyDescent="0.25"/>
  <cols>
    <col min="1" max="1" width="8.42578125" bestFit="1" customWidth="1"/>
    <col min="2" max="2" width="14.42578125" bestFit="1" customWidth="1"/>
    <col min="3" max="3" width="9.28515625" bestFit="1" customWidth="1"/>
    <col min="4" max="4" width="10.42578125" bestFit="1" customWidth="1"/>
    <col min="5" max="5" width="8.7109375" bestFit="1" customWidth="1"/>
    <col min="6" max="6" width="11" bestFit="1" customWidth="1"/>
    <col min="7" max="7" width="8.85546875" bestFit="1" customWidth="1"/>
    <col min="10" max="10" width="7.42578125" bestFit="1" customWidth="1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25">
      <c r="H2">
        <f t="shared" ref="H2:H65" si="0">IF(D2="Especial",1,IF(D2="Mayorista",2,3))</f>
        <v>3</v>
      </c>
    </row>
    <row r="3" spans="1:10" x14ac:dyDescent="0.25">
      <c r="H3">
        <f t="shared" si="0"/>
        <v>3</v>
      </c>
    </row>
    <row r="4" spans="1:10" x14ac:dyDescent="0.25">
      <c r="H4">
        <f t="shared" si="0"/>
        <v>3</v>
      </c>
    </row>
    <row r="5" spans="1:10" x14ac:dyDescent="0.25">
      <c r="H5">
        <f t="shared" si="0"/>
        <v>3</v>
      </c>
    </row>
    <row r="6" spans="1:10" x14ac:dyDescent="0.25">
      <c r="H6">
        <f t="shared" si="0"/>
        <v>3</v>
      </c>
    </row>
    <row r="7" spans="1:10" x14ac:dyDescent="0.25">
      <c r="H7">
        <f t="shared" si="0"/>
        <v>3</v>
      </c>
    </row>
    <row r="8" spans="1:10" x14ac:dyDescent="0.25">
      <c r="H8">
        <f t="shared" si="0"/>
        <v>3</v>
      </c>
    </row>
    <row r="9" spans="1:10" x14ac:dyDescent="0.25">
      <c r="H9">
        <f t="shared" si="0"/>
        <v>3</v>
      </c>
    </row>
    <row r="10" spans="1:10" x14ac:dyDescent="0.25">
      <c r="H10">
        <f t="shared" si="0"/>
        <v>3</v>
      </c>
    </row>
    <row r="11" spans="1:10" x14ac:dyDescent="0.25">
      <c r="H11">
        <f t="shared" si="0"/>
        <v>3</v>
      </c>
    </row>
    <row r="12" spans="1:10" x14ac:dyDescent="0.25">
      <c r="H12">
        <f t="shared" si="0"/>
        <v>3</v>
      </c>
    </row>
    <row r="13" spans="1:10" x14ac:dyDescent="0.25">
      <c r="H13">
        <f t="shared" si="0"/>
        <v>3</v>
      </c>
    </row>
    <row r="14" spans="1:10" x14ac:dyDescent="0.25">
      <c r="H14">
        <f t="shared" si="0"/>
        <v>3</v>
      </c>
    </row>
    <row r="15" spans="1:10" x14ac:dyDescent="0.25">
      <c r="H15">
        <f t="shared" si="0"/>
        <v>3</v>
      </c>
    </row>
    <row r="16" spans="1:10" x14ac:dyDescent="0.25">
      <c r="H16">
        <f t="shared" si="0"/>
        <v>3</v>
      </c>
    </row>
    <row r="17" spans="8:8" x14ac:dyDescent="0.25">
      <c r="H17">
        <f t="shared" si="0"/>
        <v>3</v>
      </c>
    </row>
    <row r="18" spans="8:8" x14ac:dyDescent="0.25">
      <c r="H18">
        <f t="shared" si="0"/>
        <v>3</v>
      </c>
    </row>
    <row r="19" spans="8:8" x14ac:dyDescent="0.25">
      <c r="H19">
        <f t="shared" si="0"/>
        <v>3</v>
      </c>
    </row>
    <row r="20" spans="8:8" x14ac:dyDescent="0.25">
      <c r="H20">
        <f t="shared" si="0"/>
        <v>3</v>
      </c>
    </row>
    <row r="21" spans="8:8" x14ac:dyDescent="0.25">
      <c r="H21">
        <f t="shared" si="0"/>
        <v>3</v>
      </c>
    </row>
    <row r="22" spans="8:8" x14ac:dyDescent="0.25">
      <c r="H22">
        <f t="shared" si="0"/>
        <v>3</v>
      </c>
    </row>
    <row r="23" spans="8:8" x14ac:dyDescent="0.25">
      <c r="H23">
        <f t="shared" si="0"/>
        <v>3</v>
      </c>
    </row>
    <row r="24" spans="8:8" x14ac:dyDescent="0.25">
      <c r="H24">
        <f t="shared" si="0"/>
        <v>3</v>
      </c>
    </row>
    <row r="25" spans="8:8" x14ac:dyDescent="0.25">
      <c r="H25">
        <f t="shared" si="0"/>
        <v>3</v>
      </c>
    </row>
    <row r="26" spans="8:8" x14ac:dyDescent="0.25">
      <c r="H26">
        <f t="shared" si="0"/>
        <v>3</v>
      </c>
    </row>
    <row r="27" spans="8:8" x14ac:dyDescent="0.25">
      <c r="H27">
        <f t="shared" si="0"/>
        <v>3</v>
      </c>
    </row>
    <row r="28" spans="8:8" x14ac:dyDescent="0.25">
      <c r="H28">
        <f t="shared" si="0"/>
        <v>3</v>
      </c>
    </row>
    <row r="29" spans="8:8" x14ac:dyDescent="0.25">
      <c r="H29">
        <f t="shared" si="0"/>
        <v>3</v>
      </c>
    </row>
    <row r="30" spans="8:8" x14ac:dyDescent="0.25">
      <c r="H30">
        <f t="shared" si="0"/>
        <v>3</v>
      </c>
    </row>
    <row r="31" spans="8:8" x14ac:dyDescent="0.25">
      <c r="H31">
        <f t="shared" si="0"/>
        <v>3</v>
      </c>
    </row>
    <row r="32" spans="8:8" x14ac:dyDescent="0.25">
      <c r="H32">
        <f t="shared" si="0"/>
        <v>3</v>
      </c>
    </row>
    <row r="33" spans="8:8" x14ac:dyDescent="0.25">
      <c r="H33">
        <f t="shared" si="0"/>
        <v>3</v>
      </c>
    </row>
    <row r="34" spans="8:8" x14ac:dyDescent="0.25">
      <c r="H34">
        <f t="shared" si="0"/>
        <v>3</v>
      </c>
    </row>
    <row r="35" spans="8:8" x14ac:dyDescent="0.25">
      <c r="H35">
        <f t="shared" si="0"/>
        <v>3</v>
      </c>
    </row>
    <row r="36" spans="8:8" x14ac:dyDescent="0.25">
      <c r="H36">
        <f t="shared" si="0"/>
        <v>3</v>
      </c>
    </row>
    <row r="37" spans="8:8" x14ac:dyDescent="0.25">
      <c r="H37">
        <f t="shared" si="0"/>
        <v>3</v>
      </c>
    </row>
    <row r="38" spans="8:8" x14ac:dyDescent="0.25">
      <c r="H38">
        <f t="shared" si="0"/>
        <v>3</v>
      </c>
    </row>
    <row r="39" spans="8:8" x14ac:dyDescent="0.25">
      <c r="H39">
        <f t="shared" si="0"/>
        <v>3</v>
      </c>
    </row>
    <row r="40" spans="8:8" x14ac:dyDescent="0.25">
      <c r="H40">
        <f t="shared" si="0"/>
        <v>3</v>
      </c>
    </row>
    <row r="41" spans="8:8" x14ac:dyDescent="0.25">
      <c r="H41">
        <f t="shared" si="0"/>
        <v>3</v>
      </c>
    </row>
    <row r="42" spans="8:8" x14ac:dyDescent="0.25">
      <c r="H42">
        <f t="shared" si="0"/>
        <v>3</v>
      </c>
    </row>
    <row r="43" spans="8:8" x14ac:dyDescent="0.25">
      <c r="H43">
        <f t="shared" si="0"/>
        <v>3</v>
      </c>
    </row>
    <row r="44" spans="8:8" x14ac:dyDescent="0.25">
      <c r="H44">
        <f t="shared" si="0"/>
        <v>3</v>
      </c>
    </row>
    <row r="45" spans="8:8" x14ac:dyDescent="0.25">
      <c r="H45">
        <f t="shared" si="0"/>
        <v>3</v>
      </c>
    </row>
    <row r="46" spans="8:8" x14ac:dyDescent="0.25">
      <c r="H46">
        <f t="shared" si="0"/>
        <v>3</v>
      </c>
    </row>
    <row r="47" spans="8:8" x14ac:dyDescent="0.25">
      <c r="H47">
        <f t="shared" si="0"/>
        <v>3</v>
      </c>
    </row>
    <row r="48" spans="8:8" x14ac:dyDescent="0.25">
      <c r="H48">
        <f t="shared" si="0"/>
        <v>3</v>
      </c>
    </row>
    <row r="49" spans="8:8" x14ac:dyDescent="0.25">
      <c r="H49">
        <f t="shared" si="0"/>
        <v>3</v>
      </c>
    </row>
    <row r="50" spans="8:8" x14ac:dyDescent="0.25">
      <c r="H50">
        <f t="shared" si="0"/>
        <v>3</v>
      </c>
    </row>
    <row r="51" spans="8:8" x14ac:dyDescent="0.25">
      <c r="H51">
        <f t="shared" si="0"/>
        <v>3</v>
      </c>
    </row>
    <row r="52" spans="8:8" x14ac:dyDescent="0.25">
      <c r="H52">
        <f t="shared" si="0"/>
        <v>3</v>
      </c>
    </row>
    <row r="53" spans="8:8" x14ac:dyDescent="0.25">
      <c r="H53">
        <f t="shared" si="0"/>
        <v>3</v>
      </c>
    </row>
    <row r="54" spans="8:8" x14ac:dyDescent="0.25">
      <c r="H54">
        <f t="shared" si="0"/>
        <v>3</v>
      </c>
    </row>
    <row r="55" spans="8:8" x14ac:dyDescent="0.25">
      <c r="H55">
        <f t="shared" si="0"/>
        <v>3</v>
      </c>
    </row>
    <row r="56" spans="8:8" x14ac:dyDescent="0.25">
      <c r="H56">
        <f t="shared" si="0"/>
        <v>3</v>
      </c>
    </row>
    <row r="57" spans="8:8" x14ac:dyDescent="0.25">
      <c r="H57">
        <f t="shared" si="0"/>
        <v>3</v>
      </c>
    </row>
    <row r="58" spans="8:8" x14ac:dyDescent="0.25">
      <c r="H58">
        <f t="shared" si="0"/>
        <v>3</v>
      </c>
    </row>
    <row r="59" spans="8:8" x14ac:dyDescent="0.25">
      <c r="H59">
        <f t="shared" si="0"/>
        <v>3</v>
      </c>
    </row>
    <row r="60" spans="8:8" x14ac:dyDescent="0.25">
      <c r="H60">
        <f t="shared" si="0"/>
        <v>3</v>
      </c>
    </row>
    <row r="61" spans="8:8" x14ac:dyDescent="0.25">
      <c r="H61">
        <f t="shared" si="0"/>
        <v>3</v>
      </c>
    </row>
    <row r="62" spans="8:8" x14ac:dyDescent="0.25">
      <c r="H62">
        <f t="shared" si="0"/>
        <v>3</v>
      </c>
    </row>
    <row r="63" spans="8:8" x14ac:dyDescent="0.25">
      <c r="H63">
        <f t="shared" si="0"/>
        <v>3</v>
      </c>
    </row>
    <row r="64" spans="8:8" x14ac:dyDescent="0.25">
      <c r="H64">
        <f t="shared" si="0"/>
        <v>3</v>
      </c>
    </row>
    <row r="65" spans="8:8" x14ac:dyDescent="0.25">
      <c r="H65">
        <f t="shared" si="0"/>
        <v>3</v>
      </c>
    </row>
    <row r="66" spans="8:8" x14ac:dyDescent="0.25">
      <c r="H66">
        <f t="shared" ref="H66:H129" si="1">IF(D66="Especial",1,IF(D66="Mayorista",2,3))</f>
        <v>3</v>
      </c>
    </row>
    <row r="67" spans="8:8" x14ac:dyDescent="0.25">
      <c r="H67">
        <f t="shared" si="1"/>
        <v>3</v>
      </c>
    </row>
    <row r="68" spans="8:8" x14ac:dyDescent="0.25">
      <c r="H68">
        <f t="shared" si="1"/>
        <v>3</v>
      </c>
    </row>
    <row r="69" spans="8:8" x14ac:dyDescent="0.25">
      <c r="H69">
        <f t="shared" si="1"/>
        <v>3</v>
      </c>
    </row>
    <row r="70" spans="8:8" x14ac:dyDescent="0.25">
      <c r="H70">
        <f t="shared" si="1"/>
        <v>3</v>
      </c>
    </row>
    <row r="71" spans="8:8" x14ac:dyDescent="0.25">
      <c r="H71">
        <f t="shared" si="1"/>
        <v>3</v>
      </c>
    </row>
    <row r="72" spans="8:8" x14ac:dyDescent="0.25">
      <c r="H72">
        <f t="shared" si="1"/>
        <v>3</v>
      </c>
    </row>
    <row r="73" spans="8:8" x14ac:dyDescent="0.25">
      <c r="H73">
        <f t="shared" si="1"/>
        <v>3</v>
      </c>
    </row>
    <row r="74" spans="8:8" x14ac:dyDescent="0.25">
      <c r="H74">
        <f t="shared" si="1"/>
        <v>3</v>
      </c>
    </row>
    <row r="75" spans="8:8" x14ac:dyDescent="0.25">
      <c r="H75">
        <f t="shared" si="1"/>
        <v>3</v>
      </c>
    </row>
    <row r="76" spans="8:8" x14ac:dyDescent="0.25">
      <c r="H76">
        <f t="shared" si="1"/>
        <v>3</v>
      </c>
    </row>
    <row r="77" spans="8:8" x14ac:dyDescent="0.25">
      <c r="H77">
        <f t="shared" si="1"/>
        <v>3</v>
      </c>
    </row>
    <row r="78" spans="8:8" x14ac:dyDescent="0.25">
      <c r="H78">
        <f t="shared" si="1"/>
        <v>3</v>
      </c>
    </row>
    <row r="79" spans="8:8" x14ac:dyDescent="0.25">
      <c r="H79">
        <f t="shared" si="1"/>
        <v>3</v>
      </c>
    </row>
    <row r="80" spans="8:8" x14ac:dyDescent="0.25">
      <c r="H80">
        <f t="shared" si="1"/>
        <v>3</v>
      </c>
    </row>
    <row r="81" spans="8:8" x14ac:dyDescent="0.25">
      <c r="H81">
        <f t="shared" si="1"/>
        <v>3</v>
      </c>
    </row>
    <row r="82" spans="8:8" x14ac:dyDescent="0.25">
      <c r="H82">
        <f t="shared" si="1"/>
        <v>3</v>
      </c>
    </row>
    <row r="83" spans="8:8" x14ac:dyDescent="0.25">
      <c r="H83">
        <f t="shared" si="1"/>
        <v>3</v>
      </c>
    </row>
    <row r="84" spans="8:8" x14ac:dyDescent="0.25">
      <c r="H84">
        <f t="shared" si="1"/>
        <v>3</v>
      </c>
    </row>
    <row r="85" spans="8:8" x14ac:dyDescent="0.25">
      <c r="H85">
        <f t="shared" si="1"/>
        <v>3</v>
      </c>
    </row>
    <row r="86" spans="8:8" x14ac:dyDescent="0.25">
      <c r="H86">
        <f t="shared" si="1"/>
        <v>3</v>
      </c>
    </row>
    <row r="87" spans="8:8" x14ac:dyDescent="0.25">
      <c r="H87">
        <f t="shared" si="1"/>
        <v>3</v>
      </c>
    </row>
    <row r="88" spans="8:8" x14ac:dyDescent="0.25">
      <c r="H88">
        <f t="shared" si="1"/>
        <v>3</v>
      </c>
    </row>
    <row r="89" spans="8:8" x14ac:dyDescent="0.25">
      <c r="H89">
        <f t="shared" si="1"/>
        <v>3</v>
      </c>
    </row>
    <row r="90" spans="8:8" x14ac:dyDescent="0.25">
      <c r="H90">
        <f t="shared" si="1"/>
        <v>3</v>
      </c>
    </row>
    <row r="91" spans="8:8" x14ac:dyDescent="0.25">
      <c r="H91">
        <f t="shared" si="1"/>
        <v>3</v>
      </c>
    </row>
    <row r="92" spans="8:8" x14ac:dyDescent="0.25">
      <c r="H92">
        <f t="shared" si="1"/>
        <v>3</v>
      </c>
    </row>
    <row r="93" spans="8:8" x14ac:dyDescent="0.25">
      <c r="H93">
        <f t="shared" si="1"/>
        <v>3</v>
      </c>
    </row>
    <row r="94" spans="8:8" x14ac:dyDescent="0.25">
      <c r="H94">
        <f t="shared" si="1"/>
        <v>3</v>
      </c>
    </row>
    <row r="95" spans="8:8" x14ac:dyDescent="0.25">
      <c r="H95">
        <f t="shared" si="1"/>
        <v>3</v>
      </c>
    </row>
    <row r="96" spans="8:8" x14ac:dyDescent="0.25">
      <c r="H96">
        <f t="shared" si="1"/>
        <v>3</v>
      </c>
    </row>
    <row r="97" spans="8:8" x14ac:dyDescent="0.25">
      <c r="H97">
        <f t="shared" si="1"/>
        <v>3</v>
      </c>
    </row>
    <row r="98" spans="8:8" x14ac:dyDescent="0.25">
      <c r="H98">
        <f t="shared" si="1"/>
        <v>3</v>
      </c>
    </row>
    <row r="99" spans="8:8" x14ac:dyDescent="0.25">
      <c r="H99">
        <f t="shared" si="1"/>
        <v>3</v>
      </c>
    </row>
    <row r="100" spans="8:8" x14ac:dyDescent="0.25">
      <c r="H100">
        <f t="shared" si="1"/>
        <v>3</v>
      </c>
    </row>
    <row r="101" spans="8:8" x14ac:dyDescent="0.25">
      <c r="H101">
        <f t="shared" si="1"/>
        <v>3</v>
      </c>
    </row>
    <row r="102" spans="8:8" x14ac:dyDescent="0.25">
      <c r="H102">
        <f t="shared" si="1"/>
        <v>3</v>
      </c>
    </row>
    <row r="103" spans="8:8" x14ac:dyDescent="0.25">
      <c r="H103">
        <f t="shared" si="1"/>
        <v>3</v>
      </c>
    </row>
    <row r="104" spans="8:8" x14ac:dyDescent="0.25">
      <c r="H104">
        <f t="shared" si="1"/>
        <v>3</v>
      </c>
    </row>
    <row r="105" spans="8:8" x14ac:dyDescent="0.25">
      <c r="H105">
        <f t="shared" si="1"/>
        <v>3</v>
      </c>
    </row>
    <row r="106" spans="8:8" x14ac:dyDescent="0.25">
      <c r="H106">
        <f t="shared" si="1"/>
        <v>3</v>
      </c>
    </row>
    <row r="107" spans="8:8" x14ac:dyDescent="0.25">
      <c r="H107">
        <f t="shared" si="1"/>
        <v>3</v>
      </c>
    </row>
    <row r="108" spans="8:8" x14ac:dyDescent="0.25">
      <c r="H108">
        <f t="shared" si="1"/>
        <v>3</v>
      </c>
    </row>
    <row r="109" spans="8:8" x14ac:dyDescent="0.25">
      <c r="H109">
        <f t="shared" si="1"/>
        <v>3</v>
      </c>
    </row>
    <row r="110" spans="8:8" x14ac:dyDescent="0.25">
      <c r="H110">
        <f t="shared" si="1"/>
        <v>3</v>
      </c>
    </row>
    <row r="111" spans="8:8" x14ac:dyDescent="0.25">
      <c r="H111">
        <f t="shared" si="1"/>
        <v>3</v>
      </c>
    </row>
    <row r="112" spans="8:8" x14ac:dyDescent="0.25">
      <c r="H112">
        <f t="shared" si="1"/>
        <v>3</v>
      </c>
    </row>
    <row r="113" spans="8:8" x14ac:dyDescent="0.25">
      <c r="H113">
        <f t="shared" si="1"/>
        <v>3</v>
      </c>
    </row>
    <row r="114" spans="8:8" x14ac:dyDescent="0.25">
      <c r="H114">
        <f t="shared" si="1"/>
        <v>3</v>
      </c>
    </row>
    <row r="115" spans="8:8" x14ac:dyDescent="0.25">
      <c r="H115">
        <f t="shared" si="1"/>
        <v>3</v>
      </c>
    </row>
    <row r="116" spans="8:8" x14ac:dyDescent="0.25">
      <c r="H116">
        <f t="shared" si="1"/>
        <v>3</v>
      </c>
    </row>
    <row r="117" spans="8:8" x14ac:dyDescent="0.25">
      <c r="H117">
        <f t="shared" si="1"/>
        <v>3</v>
      </c>
    </row>
    <row r="118" spans="8:8" x14ac:dyDescent="0.25">
      <c r="H118">
        <f t="shared" si="1"/>
        <v>3</v>
      </c>
    </row>
    <row r="119" spans="8:8" x14ac:dyDescent="0.25">
      <c r="H119">
        <f t="shared" si="1"/>
        <v>3</v>
      </c>
    </row>
    <row r="120" spans="8:8" x14ac:dyDescent="0.25">
      <c r="H120">
        <f t="shared" si="1"/>
        <v>3</v>
      </c>
    </row>
    <row r="121" spans="8:8" x14ac:dyDescent="0.25">
      <c r="H121">
        <f t="shared" si="1"/>
        <v>3</v>
      </c>
    </row>
    <row r="122" spans="8:8" x14ac:dyDescent="0.25">
      <c r="H122">
        <f t="shared" si="1"/>
        <v>3</v>
      </c>
    </row>
    <row r="123" spans="8:8" x14ac:dyDescent="0.25">
      <c r="H123">
        <f t="shared" si="1"/>
        <v>3</v>
      </c>
    </row>
    <row r="124" spans="8:8" x14ac:dyDescent="0.25">
      <c r="H124">
        <f t="shared" si="1"/>
        <v>3</v>
      </c>
    </row>
    <row r="125" spans="8:8" x14ac:dyDescent="0.25">
      <c r="H125">
        <f t="shared" si="1"/>
        <v>3</v>
      </c>
    </row>
    <row r="126" spans="8:8" x14ac:dyDescent="0.25">
      <c r="H126">
        <f t="shared" si="1"/>
        <v>3</v>
      </c>
    </row>
    <row r="127" spans="8:8" x14ac:dyDescent="0.25">
      <c r="H127">
        <f t="shared" si="1"/>
        <v>3</v>
      </c>
    </row>
    <row r="128" spans="8:8" x14ac:dyDescent="0.25">
      <c r="H128">
        <f t="shared" si="1"/>
        <v>3</v>
      </c>
    </row>
    <row r="129" spans="8:8" x14ac:dyDescent="0.25">
      <c r="H129">
        <f t="shared" si="1"/>
        <v>3</v>
      </c>
    </row>
    <row r="130" spans="8:8" x14ac:dyDescent="0.25">
      <c r="H130">
        <f t="shared" ref="H130:H193" si="2">IF(D130="Especial",1,IF(D130="Mayorista",2,3))</f>
        <v>3</v>
      </c>
    </row>
    <row r="131" spans="8:8" x14ac:dyDescent="0.25">
      <c r="H131">
        <f t="shared" si="2"/>
        <v>3</v>
      </c>
    </row>
    <row r="132" spans="8:8" x14ac:dyDescent="0.25">
      <c r="H132">
        <f t="shared" si="2"/>
        <v>3</v>
      </c>
    </row>
    <row r="133" spans="8:8" x14ac:dyDescent="0.25">
      <c r="H133">
        <f t="shared" si="2"/>
        <v>3</v>
      </c>
    </row>
    <row r="134" spans="8:8" x14ac:dyDescent="0.25">
      <c r="H134">
        <f t="shared" si="2"/>
        <v>3</v>
      </c>
    </row>
    <row r="135" spans="8:8" x14ac:dyDescent="0.25">
      <c r="H135">
        <f t="shared" si="2"/>
        <v>3</v>
      </c>
    </row>
    <row r="136" spans="8:8" x14ac:dyDescent="0.25">
      <c r="H136">
        <f t="shared" si="2"/>
        <v>3</v>
      </c>
    </row>
    <row r="137" spans="8:8" x14ac:dyDescent="0.25">
      <c r="H137">
        <f t="shared" si="2"/>
        <v>3</v>
      </c>
    </row>
    <row r="138" spans="8:8" x14ac:dyDescent="0.25">
      <c r="H138">
        <f t="shared" si="2"/>
        <v>3</v>
      </c>
    </row>
    <row r="139" spans="8:8" x14ac:dyDescent="0.25">
      <c r="H139">
        <f t="shared" si="2"/>
        <v>3</v>
      </c>
    </row>
    <row r="140" spans="8:8" x14ac:dyDescent="0.25">
      <c r="H140">
        <f t="shared" si="2"/>
        <v>3</v>
      </c>
    </row>
    <row r="141" spans="8:8" x14ac:dyDescent="0.25">
      <c r="H141">
        <f t="shared" si="2"/>
        <v>3</v>
      </c>
    </row>
    <row r="142" spans="8:8" x14ac:dyDescent="0.25">
      <c r="H142">
        <f t="shared" si="2"/>
        <v>3</v>
      </c>
    </row>
    <row r="143" spans="8:8" x14ac:dyDescent="0.25">
      <c r="H143">
        <f t="shared" si="2"/>
        <v>3</v>
      </c>
    </row>
    <row r="144" spans="8:8" x14ac:dyDescent="0.25">
      <c r="H144">
        <f t="shared" si="2"/>
        <v>3</v>
      </c>
    </row>
    <row r="145" spans="8:8" x14ac:dyDescent="0.25">
      <c r="H145">
        <f t="shared" si="2"/>
        <v>3</v>
      </c>
    </row>
    <row r="146" spans="8:8" x14ac:dyDescent="0.25">
      <c r="H146">
        <f t="shared" si="2"/>
        <v>3</v>
      </c>
    </row>
    <row r="147" spans="8:8" x14ac:dyDescent="0.25">
      <c r="H147">
        <f t="shared" si="2"/>
        <v>3</v>
      </c>
    </row>
    <row r="148" spans="8:8" x14ac:dyDescent="0.25">
      <c r="H148">
        <f t="shared" si="2"/>
        <v>3</v>
      </c>
    </row>
    <row r="149" spans="8:8" x14ac:dyDescent="0.25">
      <c r="H149">
        <f t="shared" si="2"/>
        <v>3</v>
      </c>
    </row>
    <row r="150" spans="8:8" x14ac:dyDescent="0.25">
      <c r="H150">
        <f t="shared" si="2"/>
        <v>3</v>
      </c>
    </row>
    <row r="151" spans="8:8" x14ac:dyDescent="0.25">
      <c r="H151">
        <f t="shared" si="2"/>
        <v>3</v>
      </c>
    </row>
    <row r="152" spans="8:8" x14ac:dyDescent="0.25">
      <c r="H152">
        <f t="shared" si="2"/>
        <v>3</v>
      </c>
    </row>
    <row r="153" spans="8:8" x14ac:dyDescent="0.25">
      <c r="H153">
        <f t="shared" si="2"/>
        <v>3</v>
      </c>
    </row>
    <row r="154" spans="8:8" x14ac:dyDescent="0.25">
      <c r="H154">
        <f t="shared" si="2"/>
        <v>3</v>
      </c>
    </row>
    <row r="155" spans="8:8" x14ac:dyDescent="0.25">
      <c r="H155">
        <f t="shared" si="2"/>
        <v>3</v>
      </c>
    </row>
    <row r="156" spans="8:8" x14ac:dyDescent="0.25">
      <c r="H156">
        <f t="shared" si="2"/>
        <v>3</v>
      </c>
    </row>
    <row r="157" spans="8:8" x14ac:dyDescent="0.25">
      <c r="H157">
        <f t="shared" si="2"/>
        <v>3</v>
      </c>
    </row>
    <row r="158" spans="8:8" x14ac:dyDescent="0.25">
      <c r="H158">
        <f t="shared" si="2"/>
        <v>3</v>
      </c>
    </row>
    <row r="159" spans="8:8" x14ac:dyDescent="0.25">
      <c r="H159">
        <f t="shared" si="2"/>
        <v>3</v>
      </c>
    </row>
    <row r="160" spans="8:8" x14ac:dyDescent="0.25">
      <c r="H160">
        <f t="shared" si="2"/>
        <v>3</v>
      </c>
    </row>
    <row r="161" spans="8:8" x14ac:dyDescent="0.25">
      <c r="H161">
        <f t="shared" si="2"/>
        <v>3</v>
      </c>
    </row>
    <row r="162" spans="8:8" x14ac:dyDescent="0.25">
      <c r="H162">
        <f t="shared" si="2"/>
        <v>3</v>
      </c>
    </row>
    <row r="163" spans="8:8" x14ac:dyDescent="0.25">
      <c r="H163">
        <f t="shared" si="2"/>
        <v>3</v>
      </c>
    </row>
    <row r="164" spans="8:8" x14ac:dyDescent="0.25">
      <c r="H164">
        <f t="shared" si="2"/>
        <v>3</v>
      </c>
    </row>
    <row r="165" spans="8:8" x14ac:dyDescent="0.25">
      <c r="H165">
        <f t="shared" si="2"/>
        <v>3</v>
      </c>
    </row>
    <row r="166" spans="8:8" x14ac:dyDescent="0.25">
      <c r="H166">
        <f t="shared" si="2"/>
        <v>3</v>
      </c>
    </row>
    <row r="167" spans="8:8" x14ac:dyDescent="0.25">
      <c r="H167">
        <f t="shared" si="2"/>
        <v>3</v>
      </c>
    </row>
    <row r="168" spans="8:8" x14ac:dyDescent="0.25">
      <c r="H168">
        <f t="shared" si="2"/>
        <v>3</v>
      </c>
    </row>
    <row r="169" spans="8:8" x14ac:dyDescent="0.25">
      <c r="H169">
        <f t="shared" si="2"/>
        <v>3</v>
      </c>
    </row>
    <row r="170" spans="8:8" x14ac:dyDescent="0.25">
      <c r="H170">
        <f t="shared" si="2"/>
        <v>3</v>
      </c>
    </row>
    <row r="171" spans="8:8" x14ac:dyDescent="0.25">
      <c r="H171">
        <f t="shared" si="2"/>
        <v>3</v>
      </c>
    </row>
    <row r="172" spans="8:8" x14ac:dyDescent="0.25">
      <c r="H172">
        <f t="shared" si="2"/>
        <v>3</v>
      </c>
    </row>
    <row r="173" spans="8:8" x14ac:dyDescent="0.25">
      <c r="H173">
        <f t="shared" si="2"/>
        <v>3</v>
      </c>
    </row>
    <row r="174" spans="8:8" x14ac:dyDescent="0.25">
      <c r="H174">
        <f t="shared" si="2"/>
        <v>3</v>
      </c>
    </row>
    <row r="175" spans="8:8" x14ac:dyDescent="0.25">
      <c r="H175">
        <f t="shared" si="2"/>
        <v>3</v>
      </c>
    </row>
    <row r="176" spans="8:8" x14ac:dyDescent="0.25">
      <c r="H176">
        <f t="shared" si="2"/>
        <v>3</v>
      </c>
    </row>
    <row r="177" spans="8:8" x14ac:dyDescent="0.25">
      <c r="H177">
        <f t="shared" si="2"/>
        <v>3</v>
      </c>
    </row>
    <row r="178" spans="8:8" x14ac:dyDescent="0.25">
      <c r="H178">
        <f t="shared" si="2"/>
        <v>3</v>
      </c>
    </row>
    <row r="179" spans="8:8" x14ac:dyDescent="0.25">
      <c r="H179">
        <f t="shared" si="2"/>
        <v>3</v>
      </c>
    </row>
    <row r="180" spans="8:8" x14ac:dyDescent="0.25">
      <c r="H180">
        <f t="shared" si="2"/>
        <v>3</v>
      </c>
    </row>
    <row r="181" spans="8:8" x14ac:dyDescent="0.25">
      <c r="H181">
        <f t="shared" si="2"/>
        <v>3</v>
      </c>
    </row>
    <row r="182" spans="8:8" x14ac:dyDescent="0.25">
      <c r="H182">
        <f t="shared" si="2"/>
        <v>3</v>
      </c>
    </row>
    <row r="183" spans="8:8" x14ac:dyDescent="0.25">
      <c r="H183">
        <f t="shared" si="2"/>
        <v>3</v>
      </c>
    </row>
    <row r="184" spans="8:8" x14ac:dyDescent="0.25">
      <c r="H184">
        <f t="shared" si="2"/>
        <v>3</v>
      </c>
    </row>
    <row r="185" spans="8:8" x14ac:dyDescent="0.25">
      <c r="H185">
        <f t="shared" si="2"/>
        <v>3</v>
      </c>
    </row>
    <row r="186" spans="8:8" x14ac:dyDescent="0.25">
      <c r="H186">
        <f t="shared" si="2"/>
        <v>3</v>
      </c>
    </row>
    <row r="187" spans="8:8" x14ac:dyDescent="0.25">
      <c r="H187">
        <f t="shared" si="2"/>
        <v>3</v>
      </c>
    </row>
    <row r="188" spans="8:8" x14ac:dyDescent="0.25">
      <c r="H188">
        <f t="shared" si="2"/>
        <v>3</v>
      </c>
    </row>
    <row r="189" spans="8:8" x14ac:dyDescent="0.25">
      <c r="H189">
        <f t="shared" si="2"/>
        <v>3</v>
      </c>
    </row>
    <row r="190" spans="8:8" x14ac:dyDescent="0.25">
      <c r="H190">
        <f t="shared" si="2"/>
        <v>3</v>
      </c>
    </row>
    <row r="191" spans="8:8" x14ac:dyDescent="0.25">
      <c r="H191">
        <f t="shared" si="2"/>
        <v>3</v>
      </c>
    </row>
    <row r="192" spans="8:8" x14ac:dyDescent="0.25">
      <c r="H192">
        <f t="shared" si="2"/>
        <v>3</v>
      </c>
    </row>
    <row r="193" spans="8:8" x14ac:dyDescent="0.25">
      <c r="H193">
        <f t="shared" si="2"/>
        <v>3</v>
      </c>
    </row>
    <row r="194" spans="8:8" x14ac:dyDescent="0.25">
      <c r="H194">
        <f t="shared" ref="H194:H257" si="3">IF(D194="Especial",1,IF(D194="Mayorista",2,3))</f>
        <v>3</v>
      </c>
    </row>
    <row r="195" spans="8:8" x14ac:dyDescent="0.25">
      <c r="H195">
        <f t="shared" si="3"/>
        <v>3</v>
      </c>
    </row>
    <row r="196" spans="8:8" x14ac:dyDescent="0.25">
      <c r="H196">
        <f t="shared" si="3"/>
        <v>3</v>
      </c>
    </row>
    <row r="197" spans="8:8" x14ac:dyDescent="0.25">
      <c r="H197">
        <f t="shared" si="3"/>
        <v>3</v>
      </c>
    </row>
    <row r="198" spans="8:8" x14ac:dyDescent="0.25">
      <c r="H198">
        <f t="shared" si="3"/>
        <v>3</v>
      </c>
    </row>
    <row r="199" spans="8:8" x14ac:dyDescent="0.25">
      <c r="H199">
        <f t="shared" si="3"/>
        <v>3</v>
      </c>
    </row>
    <row r="200" spans="8:8" x14ac:dyDescent="0.25">
      <c r="H200">
        <f t="shared" si="3"/>
        <v>3</v>
      </c>
    </row>
    <row r="201" spans="8:8" x14ac:dyDescent="0.25">
      <c r="H201">
        <f t="shared" si="3"/>
        <v>3</v>
      </c>
    </row>
    <row r="202" spans="8:8" x14ac:dyDescent="0.25">
      <c r="H202">
        <f t="shared" si="3"/>
        <v>3</v>
      </c>
    </row>
    <row r="203" spans="8:8" x14ac:dyDescent="0.25">
      <c r="H203">
        <f t="shared" si="3"/>
        <v>3</v>
      </c>
    </row>
    <row r="204" spans="8:8" x14ac:dyDescent="0.25">
      <c r="H204">
        <f t="shared" si="3"/>
        <v>3</v>
      </c>
    </row>
    <row r="205" spans="8:8" x14ac:dyDescent="0.25">
      <c r="H205">
        <f t="shared" si="3"/>
        <v>3</v>
      </c>
    </row>
    <row r="206" spans="8:8" x14ac:dyDescent="0.25">
      <c r="H206">
        <f t="shared" si="3"/>
        <v>3</v>
      </c>
    </row>
    <row r="207" spans="8:8" x14ac:dyDescent="0.25">
      <c r="H207">
        <f t="shared" si="3"/>
        <v>3</v>
      </c>
    </row>
    <row r="208" spans="8:8" x14ac:dyDescent="0.25">
      <c r="H208">
        <f t="shared" si="3"/>
        <v>3</v>
      </c>
    </row>
    <row r="209" spans="8:8" x14ac:dyDescent="0.25">
      <c r="H209">
        <f t="shared" si="3"/>
        <v>3</v>
      </c>
    </row>
    <row r="210" spans="8:8" x14ac:dyDescent="0.25">
      <c r="H210">
        <f t="shared" si="3"/>
        <v>3</v>
      </c>
    </row>
    <row r="211" spans="8:8" x14ac:dyDescent="0.25">
      <c r="H211">
        <f t="shared" si="3"/>
        <v>3</v>
      </c>
    </row>
    <row r="212" spans="8:8" x14ac:dyDescent="0.25">
      <c r="H212">
        <f t="shared" si="3"/>
        <v>3</v>
      </c>
    </row>
    <row r="213" spans="8:8" x14ac:dyDescent="0.25">
      <c r="H213">
        <f t="shared" si="3"/>
        <v>3</v>
      </c>
    </row>
    <row r="214" spans="8:8" x14ac:dyDescent="0.25">
      <c r="H214">
        <f t="shared" si="3"/>
        <v>3</v>
      </c>
    </row>
    <row r="215" spans="8:8" x14ac:dyDescent="0.25">
      <c r="H215">
        <f t="shared" si="3"/>
        <v>3</v>
      </c>
    </row>
    <row r="216" spans="8:8" x14ac:dyDescent="0.25">
      <c r="H216">
        <f t="shared" si="3"/>
        <v>3</v>
      </c>
    </row>
    <row r="217" spans="8:8" x14ac:dyDescent="0.25">
      <c r="H217">
        <f t="shared" si="3"/>
        <v>3</v>
      </c>
    </row>
    <row r="218" spans="8:8" x14ac:dyDescent="0.25">
      <c r="H218">
        <f t="shared" si="3"/>
        <v>3</v>
      </c>
    </row>
    <row r="219" spans="8:8" x14ac:dyDescent="0.25">
      <c r="H219">
        <f t="shared" si="3"/>
        <v>3</v>
      </c>
    </row>
    <row r="220" spans="8:8" x14ac:dyDescent="0.25">
      <c r="H220">
        <f t="shared" si="3"/>
        <v>3</v>
      </c>
    </row>
    <row r="221" spans="8:8" x14ac:dyDescent="0.25">
      <c r="H221">
        <f t="shared" si="3"/>
        <v>3</v>
      </c>
    </row>
    <row r="222" spans="8:8" x14ac:dyDescent="0.25">
      <c r="H222">
        <f t="shared" si="3"/>
        <v>3</v>
      </c>
    </row>
    <row r="223" spans="8:8" x14ac:dyDescent="0.25">
      <c r="H223">
        <f t="shared" si="3"/>
        <v>3</v>
      </c>
    </row>
    <row r="224" spans="8:8" x14ac:dyDescent="0.25">
      <c r="H224">
        <f t="shared" si="3"/>
        <v>3</v>
      </c>
    </row>
    <row r="225" spans="8:8" x14ac:dyDescent="0.25">
      <c r="H225">
        <f t="shared" si="3"/>
        <v>3</v>
      </c>
    </row>
    <row r="226" spans="8:8" x14ac:dyDescent="0.25">
      <c r="H226">
        <f t="shared" si="3"/>
        <v>3</v>
      </c>
    </row>
    <row r="227" spans="8:8" x14ac:dyDescent="0.25">
      <c r="H227">
        <f t="shared" si="3"/>
        <v>3</v>
      </c>
    </row>
    <row r="228" spans="8:8" x14ac:dyDescent="0.25">
      <c r="H228">
        <f t="shared" si="3"/>
        <v>3</v>
      </c>
    </row>
    <row r="229" spans="8:8" x14ac:dyDescent="0.25">
      <c r="H229">
        <f t="shared" si="3"/>
        <v>3</v>
      </c>
    </row>
    <row r="230" spans="8:8" x14ac:dyDescent="0.25">
      <c r="H230">
        <f t="shared" si="3"/>
        <v>3</v>
      </c>
    </row>
    <row r="231" spans="8:8" x14ac:dyDescent="0.25">
      <c r="H231">
        <f t="shared" si="3"/>
        <v>3</v>
      </c>
    </row>
    <row r="232" spans="8:8" x14ac:dyDescent="0.25">
      <c r="H232">
        <f t="shared" si="3"/>
        <v>3</v>
      </c>
    </row>
    <row r="233" spans="8:8" x14ac:dyDescent="0.25">
      <c r="H233">
        <f t="shared" si="3"/>
        <v>3</v>
      </c>
    </row>
    <row r="234" spans="8:8" x14ac:dyDescent="0.25">
      <c r="H234">
        <f t="shared" si="3"/>
        <v>3</v>
      </c>
    </row>
    <row r="235" spans="8:8" x14ac:dyDescent="0.25">
      <c r="H235">
        <f t="shared" si="3"/>
        <v>3</v>
      </c>
    </row>
    <row r="236" spans="8:8" x14ac:dyDescent="0.25">
      <c r="H236">
        <f t="shared" si="3"/>
        <v>3</v>
      </c>
    </row>
    <row r="237" spans="8:8" x14ac:dyDescent="0.25">
      <c r="H237">
        <f t="shared" si="3"/>
        <v>3</v>
      </c>
    </row>
    <row r="238" spans="8:8" x14ac:dyDescent="0.25">
      <c r="H238">
        <f t="shared" si="3"/>
        <v>3</v>
      </c>
    </row>
    <row r="239" spans="8:8" x14ac:dyDescent="0.25">
      <c r="H239">
        <f t="shared" si="3"/>
        <v>3</v>
      </c>
    </row>
    <row r="240" spans="8:8" x14ac:dyDescent="0.25">
      <c r="H240">
        <f t="shared" si="3"/>
        <v>3</v>
      </c>
    </row>
    <row r="241" spans="8:8" x14ac:dyDescent="0.25">
      <c r="H241">
        <f t="shared" si="3"/>
        <v>3</v>
      </c>
    </row>
    <row r="242" spans="8:8" x14ac:dyDescent="0.25">
      <c r="H242">
        <f t="shared" si="3"/>
        <v>3</v>
      </c>
    </row>
    <row r="243" spans="8:8" x14ac:dyDescent="0.25">
      <c r="H243">
        <f t="shared" si="3"/>
        <v>3</v>
      </c>
    </row>
    <row r="244" spans="8:8" x14ac:dyDescent="0.25">
      <c r="H244">
        <f t="shared" si="3"/>
        <v>3</v>
      </c>
    </row>
    <row r="245" spans="8:8" x14ac:dyDescent="0.25">
      <c r="H245">
        <f t="shared" si="3"/>
        <v>3</v>
      </c>
    </row>
    <row r="246" spans="8:8" x14ac:dyDescent="0.25">
      <c r="H246">
        <f t="shared" si="3"/>
        <v>3</v>
      </c>
    </row>
    <row r="247" spans="8:8" x14ac:dyDescent="0.25">
      <c r="H247">
        <f t="shared" si="3"/>
        <v>3</v>
      </c>
    </row>
    <row r="248" spans="8:8" x14ac:dyDescent="0.25">
      <c r="H248">
        <f t="shared" si="3"/>
        <v>3</v>
      </c>
    </row>
    <row r="249" spans="8:8" x14ac:dyDescent="0.25">
      <c r="H249">
        <f t="shared" si="3"/>
        <v>3</v>
      </c>
    </row>
    <row r="250" spans="8:8" x14ac:dyDescent="0.25">
      <c r="H250">
        <f t="shared" si="3"/>
        <v>3</v>
      </c>
    </row>
    <row r="251" spans="8:8" x14ac:dyDescent="0.25">
      <c r="H251">
        <f t="shared" si="3"/>
        <v>3</v>
      </c>
    </row>
    <row r="252" spans="8:8" x14ac:dyDescent="0.25">
      <c r="H252">
        <f t="shared" si="3"/>
        <v>3</v>
      </c>
    </row>
    <row r="253" spans="8:8" x14ac:dyDescent="0.25">
      <c r="H253">
        <f t="shared" si="3"/>
        <v>3</v>
      </c>
    </row>
    <row r="254" spans="8:8" x14ac:dyDescent="0.25">
      <c r="H254">
        <f t="shared" si="3"/>
        <v>3</v>
      </c>
    </row>
    <row r="255" spans="8:8" x14ac:dyDescent="0.25">
      <c r="H255">
        <f t="shared" si="3"/>
        <v>3</v>
      </c>
    </row>
    <row r="256" spans="8:8" x14ac:dyDescent="0.25">
      <c r="H256">
        <f t="shared" si="3"/>
        <v>3</v>
      </c>
    </row>
    <row r="257" spans="8:8" x14ac:dyDescent="0.25">
      <c r="H257">
        <f t="shared" si="3"/>
        <v>3</v>
      </c>
    </row>
    <row r="258" spans="8:8" x14ac:dyDescent="0.25">
      <c r="H258">
        <f t="shared" ref="H258:H321" si="4">IF(D258="Especial",1,IF(D258="Mayorista",2,3))</f>
        <v>3</v>
      </c>
    </row>
    <row r="259" spans="8:8" x14ac:dyDescent="0.25">
      <c r="H259">
        <f t="shared" si="4"/>
        <v>3</v>
      </c>
    </row>
    <row r="260" spans="8:8" x14ac:dyDescent="0.25">
      <c r="H260">
        <f t="shared" si="4"/>
        <v>3</v>
      </c>
    </row>
    <row r="261" spans="8:8" x14ac:dyDescent="0.25">
      <c r="H261">
        <f t="shared" si="4"/>
        <v>3</v>
      </c>
    </row>
    <row r="262" spans="8:8" x14ac:dyDescent="0.25">
      <c r="H262">
        <f t="shared" si="4"/>
        <v>3</v>
      </c>
    </row>
    <row r="263" spans="8:8" x14ac:dyDescent="0.25">
      <c r="H263">
        <f t="shared" si="4"/>
        <v>3</v>
      </c>
    </row>
    <row r="264" spans="8:8" x14ac:dyDescent="0.25">
      <c r="H264">
        <f t="shared" si="4"/>
        <v>3</v>
      </c>
    </row>
    <row r="265" spans="8:8" x14ac:dyDescent="0.25">
      <c r="H265">
        <f t="shared" si="4"/>
        <v>3</v>
      </c>
    </row>
    <row r="266" spans="8:8" x14ac:dyDescent="0.25">
      <c r="H266">
        <f t="shared" si="4"/>
        <v>3</v>
      </c>
    </row>
    <row r="267" spans="8:8" x14ac:dyDescent="0.25">
      <c r="H267">
        <f t="shared" si="4"/>
        <v>3</v>
      </c>
    </row>
    <row r="268" spans="8:8" x14ac:dyDescent="0.25">
      <c r="H268">
        <f t="shared" si="4"/>
        <v>3</v>
      </c>
    </row>
    <row r="269" spans="8:8" x14ac:dyDescent="0.25">
      <c r="H269">
        <f t="shared" si="4"/>
        <v>3</v>
      </c>
    </row>
    <row r="270" spans="8:8" x14ac:dyDescent="0.25">
      <c r="H270">
        <f t="shared" si="4"/>
        <v>3</v>
      </c>
    </row>
    <row r="271" spans="8:8" x14ac:dyDescent="0.25">
      <c r="H271">
        <f t="shared" si="4"/>
        <v>3</v>
      </c>
    </row>
    <row r="272" spans="8:8" x14ac:dyDescent="0.25">
      <c r="H272">
        <f t="shared" si="4"/>
        <v>3</v>
      </c>
    </row>
    <row r="273" spans="8:8" x14ac:dyDescent="0.25">
      <c r="H273">
        <f t="shared" si="4"/>
        <v>3</v>
      </c>
    </row>
    <row r="274" spans="8:8" x14ac:dyDescent="0.25">
      <c r="H274">
        <f t="shared" si="4"/>
        <v>3</v>
      </c>
    </row>
    <row r="275" spans="8:8" x14ac:dyDescent="0.25">
      <c r="H275">
        <f t="shared" si="4"/>
        <v>3</v>
      </c>
    </row>
    <row r="276" spans="8:8" x14ac:dyDescent="0.25">
      <c r="H276">
        <f t="shared" si="4"/>
        <v>3</v>
      </c>
    </row>
    <row r="277" spans="8:8" x14ac:dyDescent="0.25">
      <c r="H277">
        <f t="shared" si="4"/>
        <v>3</v>
      </c>
    </row>
    <row r="278" spans="8:8" x14ac:dyDescent="0.25">
      <c r="H278">
        <f t="shared" si="4"/>
        <v>3</v>
      </c>
    </row>
    <row r="279" spans="8:8" x14ac:dyDescent="0.25">
      <c r="H279">
        <f t="shared" si="4"/>
        <v>3</v>
      </c>
    </row>
    <row r="280" spans="8:8" x14ac:dyDescent="0.25">
      <c r="H280">
        <f t="shared" si="4"/>
        <v>3</v>
      </c>
    </row>
    <row r="281" spans="8:8" x14ac:dyDescent="0.25">
      <c r="H281">
        <f t="shared" si="4"/>
        <v>3</v>
      </c>
    </row>
    <row r="282" spans="8:8" x14ac:dyDescent="0.25">
      <c r="H282">
        <f t="shared" si="4"/>
        <v>3</v>
      </c>
    </row>
    <row r="283" spans="8:8" x14ac:dyDescent="0.25">
      <c r="H283">
        <f t="shared" si="4"/>
        <v>3</v>
      </c>
    </row>
    <row r="284" spans="8:8" x14ac:dyDescent="0.25">
      <c r="H284">
        <f t="shared" si="4"/>
        <v>3</v>
      </c>
    </row>
    <row r="285" spans="8:8" x14ac:dyDescent="0.25">
      <c r="H285">
        <f t="shared" si="4"/>
        <v>3</v>
      </c>
    </row>
    <row r="286" spans="8:8" x14ac:dyDescent="0.25">
      <c r="H286">
        <f t="shared" si="4"/>
        <v>3</v>
      </c>
    </row>
    <row r="287" spans="8:8" x14ac:dyDescent="0.25">
      <c r="H287">
        <f t="shared" si="4"/>
        <v>3</v>
      </c>
    </row>
    <row r="288" spans="8:8" x14ac:dyDescent="0.25">
      <c r="H288">
        <f t="shared" si="4"/>
        <v>3</v>
      </c>
    </row>
    <row r="289" spans="8:8" x14ac:dyDescent="0.25">
      <c r="H289">
        <f t="shared" si="4"/>
        <v>3</v>
      </c>
    </row>
    <row r="290" spans="8:8" x14ac:dyDescent="0.25">
      <c r="H290">
        <f t="shared" si="4"/>
        <v>3</v>
      </c>
    </row>
    <row r="291" spans="8:8" x14ac:dyDescent="0.25">
      <c r="H291">
        <f t="shared" si="4"/>
        <v>3</v>
      </c>
    </row>
    <row r="292" spans="8:8" x14ac:dyDescent="0.25">
      <c r="H292">
        <f t="shared" si="4"/>
        <v>3</v>
      </c>
    </row>
    <row r="293" spans="8:8" x14ac:dyDescent="0.25">
      <c r="H293">
        <f t="shared" si="4"/>
        <v>3</v>
      </c>
    </row>
    <row r="294" spans="8:8" x14ac:dyDescent="0.25">
      <c r="H294">
        <f t="shared" si="4"/>
        <v>3</v>
      </c>
    </row>
    <row r="295" spans="8:8" x14ac:dyDescent="0.25">
      <c r="H295">
        <f t="shared" si="4"/>
        <v>3</v>
      </c>
    </row>
    <row r="296" spans="8:8" x14ac:dyDescent="0.25">
      <c r="H296">
        <f t="shared" si="4"/>
        <v>3</v>
      </c>
    </row>
    <row r="297" spans="8:8" x14ac:dyDescent="0.25">
      <c r="H297">
        <f t="shared" si="4"/>
        <v>3</v>
      </c>
    </row>
    <row r="298" spans="8:8" x14ac:dyDescent="0.25">
      <c r="H298">
        <f t="shared" si="4"/>
        <v>3</v>
      </c>
    </row>
    <row r="299" spans="8:8" x14ac:dyDescent="0.25">
      <c r="H299">
        <f t="shared" si="4"/>
        <v>3</v>
      </c>
    </row>
    <row r="300" spans="8:8" x14ac:dyDescent="0.25">
      <c r="H300">
        <f t="shared" si="4"/>
        <v>3</v>
      </c>
    </row>
    <row r="301" spans="8:8" x14ac:dyDescent="0.25">
      <c r="H301">
        <f t="shared" si="4"/>
        <v>3</v>
      </c>
    </row>
    <row r="302" spans="8:8" x14ac:dyDescent="0.25">
      <c r="H302">
        <f t="shared" si="4"/>
        <v>3</v>
      </c>
    </row>
    <row r="303" spans="8:8" x14ac:dyDescent="0.25">
      <c r="H303">
        <f t="shared" si="4"/>
        <v>3</v>
      </c>
    </row>
    <row r="304" spans="8:8" x14ac:dyDescent="0.25">
      <c r="H304">
        <f t="shared" si="4"/>
        <v>3</v>
      </c>
    </row>
    <row r="305" spans="8:8" x14ac:dyDescent="0.25">
      <c r="H305">
        <f t="shared" si="4"/>
        <v>3</v>
      </c>
    </row>
    <row r="306" spans="8:8" x14ac:dyDescent="0.25">
      <c r="H306">
        <f t="shared" si="4"/>
        <v>3</v>
      </c>
    </row>
    <row r="307" spans="8:8" x14ac:dyDescent="0.25">
      <c r="H307">
        <f t="shared" si="4"/>
        <v>3</v>
      </c>
    </row>
    <row r="308" spans="8:8" x14ac:dyDescent="0.25">
      <c r="H308">
        <f t="shared" si="4"/>
        <v>3</v>
      </c>
    </row>
    <row r="309" spans="8:8" x14ac:dyDescent="0.25">
      <c r="H309">
        <f t="shared" si="4"/>
        <v>3</v>
      </c>
    </row>
    <row r="310" spans="8:8" x14ac:dyDescent="0.25">
      <c r="H310">
        <f t="shared" si="4"/>
        <v>3</v>
      </c>
    </row>
    <row r="311" spans="8:8" x14ac:dyDescent="0.25">
      <c r="H311">
        <f t="shared" si="4"/>
        <v>3</v>
      </c>
    </row>
    <row r="312" spans="8:8" x14ac:dyDescent="0.25">
      <c r="H312">
        <f t="shared" si="4"/>
        <v>3</v>
      </c>
    </row>
    <row r="313" spans="8:8" x14ac:dyDescent="0.25">
      <c r="H313">
        <f t="shared" si="4"/>
        <v>3</v>
      </c>
    </row>
    <row r="314" spans="8:8" x14ac:dyDescent="0.25">
      <c r="H314">
        <f t="shared" si="4"/>
        <v>3</v>
      </c>
    </row>
    <row r="315" spans="8:8" x14ac:dyDescent="0.25">
      <c r="H315">
        <f t="shared" si="4"/>
        <v>3</v>
      </c>
    </row>
    <row r="316" spans="8:8" x14ac:dyDescent="0.25">
      <c r="H316">
        <f t="shared" si="4"/>
        <v>3</v>
      </c>
    </row>
    <row r="317" spans="8:8" x14ac:dyDescent="0.25">
      <c r="H317">
        <f t="shared" si="4"/>
        <v>3</v>
      </c>
    </row>
    <row r="318" spans="8:8" x14ac:dyDescent="0.25">
      <c r="H318">
        <f t="shared" si="4"/>
        <v>3</v>
      </c>
    </row>
    <row r="319" spans="8:8" x14ac:dyDescent="0.25">
      <c r="H319">
        <f t="shared" si="4"/>
        <v>3</v>
      </c>
    </row>
    <row r="320" spans="8:8" x14ac:dyDescent="0.25">
      <c r="H320">
        <f t="shared" si="4"/>
        <v>3</v>
      </c>
    </row>
    <row r="321" spans="8:8" x14ac:dyDescent="0.25">
      <c r="H321">
        <f t="shared" si="4"/>
        <v>3</v>
      </c>
    </row>
    <row r="322" spans="8:8" x14ac:dyDescent="0.25">
      <c r="H322">
        <f t="shared" ref="H322:H385" si="5">IF(D322="Especial",1,IF(D322="Mayorista",2,3))</f>
        <v>3</v>
      </c>
    </row>
    <row r="323" spans="8:8" x14ac:dyDescent="0.25">
      <c r="H323">
        <f t="shared" si="5"/>
        <v>3</v>
      </c>
    </row>
    <row r="324" spans="8:8" x14ac:dyDescent="0.25">
      <c r="H324">
        <f t="shared" si="5"/>
        <v>3</v>
      </c>
    </row>
    <row r="325" spans="8:8" x14ac:dyDescent="0.25">
      <c r="H325">
        <f t="shared" si="5"/>
        <v>3</v>
      </c>
    </row>
    <row r="326" spans="8:8" x14ac:dyDescent="0.25">
      <c r="H326">
        <f t="shared" si="5"/>
        <v>3</v>
      </c>
    </row>
    <row r="327" spans="8:8" x14ac:dyDescent="0.25">
      <c r="H327">
        <f t="shared" si="5"/>
        <v>3</v>
      </c>
    </row>
    <row r="328" spans="8:8" x14ac:dyDescent="0.25">
      <c r="H328">
        <f t="shared" si="5"/>
        <v>3</v>
      </c>
    </row>
    <row r="329" spans="8:8" x14ac:dyDescent="0.25">
      <c r="H329">
        <f t="shared" si="5"/>
        <v>3</v>
      </c>
    </row>
    <row r="330" spans="8:8" x14ac:dyDescent="0.25">
      <c r="H330">
        <f t="shared" si="5"/>
        <v>3</v>
      </c>
    </row>
    <row r="331" spans="8:8" x14ac:dyDescent="0.25">
      <c r="H331">
        <f t="shared" si="5"/>
        <v>3</v>
      </c>
    </row>
    <row r="332" spans="8:8" x14ac:dyDescent="0.25">
      <c r="H332">
        <f t="shared" si="5"/>
        <v>3</v>
      </c>
    </row>
    <row r="333" spans="8:8" x14ac:dyDescent="0.25">
      <c r="H333">
        <f t="shared" si="5"/>
        <v>3</v>
      </c>
    </row>
    <row r="334" spans="8:8" x14ac:dyDescent="0.25">
      <c r="H334">
        <f t="shared" si="5"/>
        <v>3</v>
      </c>
    </row>
    <row r="335" spans="8:8" x14ac:dyDescent="0.25">
      <c r="H335">
        <f t="shared" si="5"/>
        <v>3</v>
      </c>
    </row>
    <row r="336" spans="8:8" x14ac:dyDescent="0.25">
      <c r="H336">
        <f t="shared" si="5"/>
        <v>3</v>
      </c>
    </row>
    <row r="337" spans="8:8" x14ac:dyDescent="0.25">
      <c r="H337">
        <f t="shared" si="5"/>
        <v>3</v>
      </c>
    </row>
    <row r="338" spans="8:8" x14ac:dyDescent="0.25">
      <c r="H338">
        <f t="shared" si="5"/>
        <v>3</v>
      </c>
    </row>
    <row r="339" spans="8:8" x14ac:dyDescent="0.25">
      <c r="H339">
        <f t="shared" si="5"/>
        <v>3</v>
      </c>
    </row>
    <row r="340" spans="8:8" x14ac:dyDescent="0.25">
      <c r="H340">
        <f t="shared" si="5"/>
        <v>3</v>
      </c>
    </row>
    <row r="341" spans="8:8" x14ac:dyDescent="0.25">
      <c r="H341">
        <f t="shared" si="5"/>
        <v>3</v>
      </c>
    </row>
    <row r="342" spans="8:8" x14ac:dyDescent="0.25">
      <c r="H342">
        <f t="shared" si="5"/>
        <v>3</v>
      </c>
    </row>
    <row r="343" spans="8:8" x14ac:dyDescent="0.25">
      <c r="H343">
        <f t="shared" si="5"/>
        <v>3</v>
      </c>
    </row>
    <row r="344" spans="8:8" x14ac:dyDescent="0.25">
      <c r="H344">
        <f t="shared" si="5"/>
        <v>3</v>
      </c>
    </row>
    <row r="345" spans="8:8" x14ac:dyDescent="0.25">
      <c r="H345">
        <f t="shared" si="5"/>
        <v>3</v>
      </c>
    </row>
    <row r="346" spans="8:8" x14ac:dyDescent="0.25">
      <c r="H346">
        <f t="shared" si="5"/>
        <v>3</v>
      </c>
    </row>
    <row r="347" spans="8:8" x14ac:dyDescent="0.25">
      <c r="H347">
        <f t="shared" si="5"/>
        <v>3</v>
      </c>
    </row>
    <row r="348" spans="8:8" x14ac:dyDescent="0.25">
      <c r="H348">
        <f t="shared" si="5"/>
        <v>3</v>
      </c>
    </row>
    <row r="349" spans="8:8" x14ac:dyDescent="0.25">
      <c r="H349">
        <f t="shared" si="5"/>
        <v>3</v>
      </c>
    </row>
    <row r="350" spans="8:8" x14ac:dyDescent="0.25">
      <c r="H350">
        <f t="shared" si="5"/>
        <v>3</v>
      </c>
    </row>
    <row r="351" spans="8:8" x14ac:dyDescent="0.25">
      <c r="H351">
        <f t="shared" si="5"/>
        <v>3</v>
      </c>
    </row>
    <row r="352" spans="8:8" x14ac:dyDescent="0.25">
      <c r="H352">
        <f t="shared" si="5"/>
        <v>3</v>
      </c>
    </row>
    <row r="353" spans="8:8" x14ac:dyDescent="0.25">
      <c r="H353">
        <f t="shared" si="5"/>
        <v>3</v>
      </c>
    </row>
    <row r="354" spans="8:8" x14ac:dyDescent="0.25">
      <c r="H354">
        <f t="shared" si="5"/>
        <v>3</v>
      </c>
    </row>
    <row r="355" spans="8:8" x14ac:dyDescent="0.25">
      <c r="H355">
        <f t="shared" si="5"/>
        <v>3</v>
      </c>
    </row>
    <row r="356" spans="8:8" x14ac:dyDescent="0.25">
      <c r="H356">
        <f t="shared" si="5"/>
        <v>3</v>
      </c>
    </row>
    <row r="357" spans="8:8" x14ac:dyDescent="0.25">
      <c r="H357">
        <f t="shared" si="5"/>
        <v>3</v>
      </c>
    </row>
    <row r="358" spans="8:8" x14ac:dyDescent="0.25">
      <c r="H358">
        <f t="shared" si="5"/>
        <v>3</v>
      </c>
    </row>
    <row r="359" spans="8:8" x14ac:dyDescent="0.25">
      <c r="H359">
        <f t="shared" si="5"/>
        <v>3</v>
      </c>
    </row>
    <row r="360" spans="8:8" x14ac:dyDescent="0.25">
      <c r="H360">
        <f t="shared" si="5"/>
        <v>3</v>
      </c>
    </row>
    <row r="361" spans="8:8" x14ac:dyDescent="0.25">
      <c r="H361">
        <f t="shared" si="5"/>
        <v>3</v>
      </c>
    </row>
    <row r="362" spans="8:8" x14ac:dyDescent="0.25">
      <c r="H362">
        <f t="shared" si="5"/>
        <v>3</v>
      </c>
    </row>
    <row r="363" spans="8:8" x14ac:dyDescent="0.25">
      <c r="H363">
        <f t="shared" si="5"/>
        <v>3</v>
      </c>
    </row>
    <row r="364" spans="8:8" x14ac:dyDescent="0.25">
      <c r="H364">
        <f t="shared" si="5"/>
        <v>3</v>
      </c>
    </row>
    <row r="365" spans="8:8" x14ac:dyDescent="0.25">
      <c r="H365">
        <f t="shared" si="5"/>
        <v>3</v>
      </c>
    </row>
    <row r="366" spans="8:8" x14ac:dyDescent="0.25">
      <c r="H366">
        <f t="shared" si="5"/>
        <v>3</v>
      </c>
    </row>
    <row r="367" spans="8:8" x14ac:dyDescent="0.25">
      <c r="H367">
        <f t="shared" si="5"/>
        <v>3</v>
      </c>
    </row>
    <row r="368" spans="8:8" x14ac:dyDescent="0.25">
      <c r="H368">
        <f t="shared" si="5"/>
        <v>3</v>
      </c>
    </row>
    <row r="369" spans="8:8" x14ac:dyDescent="0.25">
      <c r="H369">
        <f t="shared" si="5"/>
        <v>3</v>
      </c>
    </row>
    <row r="370" spans="8:8" x14ac:dyDescent="0.25">
      <c r="H370">
        <f t="shared" si="5"/>
        <v>3</v>
      </c>
    </row>
    <row r="371" spans="8:8" x14ac:dyDescent="0.25">
      <c r="H371">
        <f t="shared" si="5"/>
        <v>3</v>
      </c>
    </row>
    <row r="372" spans="8:8" x14ac:dyDescent="0.25">
      <c r="H372">
        <f t="shared" si="5"/>
        <v>3</v>
      </c>
    </row>
    <row r="373" spans="8:8" x14ac:dyDescent="0.25">
      <c r="H373">
        <f t="shared" si="5"/>
        <v>3</v>
      </c>
    </row>
    <row r="374" spans="8:8" x14ac:dyDescent="0.25">
      <c r="H374">
        <f t="shared" si="5"/>
        <v>3</v>
      </c>
    </row>
    <row r="375" spans="8:8" x14ac:dyDescent="0.25">
      <c r="H375">
        <f t="shared" si="5"/>
        <v>3</v>
      </c>
    </row>
    <row r="376" spans="8:8" x14ac:dyDescent="0.25">
      <c r="H376">
        <f t="shared" si="5"/>
        <v>3</v>
      </c>
    </row>
    <row r="377" spans="8:8" x14ac:dyDescent="0.25">
      <c r="H377">
        <f t="shared" si="5"/>
        <v>3</v>
      </c>
    </row>
    <row r="378" spans="8:8" x14ac:dyDescent="0.25">
      <c r="H378">
        <f t="shared" si="5"/>
        <v>3</v>
      </c>
    </row>
    <row r="379" spans="8:8" x14ac:dyDescent="0.25">
      <c r="H379">
        <f t="shared" si="5"/>
        <v>3</v>
      </c>
    </row>
    <row r="380" spans="8:8" x14ac:dyDescent="0.25">
      <c r="H380">
        <f t="shared" si="5"/>
        <v>3</v>
      </c>
    </row>
    <row r="381" spans="8:8" x14ac:dyDescent="0.25">
      <c r="H381">
        <f t="shared" si="5"/>
        <v>3</v>
      </c>
    </row>
    <row r="382" spans="8:8" x14ac:dyDescent="0.25">
      <c r="H382">
        <f t="shared" si="5"/>
        <v>3</v>
      </c>
    </row>
    <row r="383" spans="8:8" x14ac:dyDescent="0.25">
      <c r="H383">
        <f t="shared" si="5"/>
        <v>3</v>
      </c>
    </row>
    <row r="384" spans="8:8" x14ac:dyDescent="0.25">
      <c r="H384">
        <f t="shared" si="5"/>
        <v>3</v>
      </c>
    </row>
    <row r="385" spans="8:8" x14ac:dyDescent="0.25">
      <c r="H385">
        <f t="shared" si="5"/>
        <v>3</v>
      </c>
    </row>
    <row r="386" spans="8:8" x14ac:dyDescent="0.25">
      <c r="H386">
        <f t="shared" ref="H386:H449" si="6">IF(D386="Especial",1,IF(D386="Mayorista",2,3))</f>
        <v>3</v>
      </c>
    </row>
    <row r="387" spans="8:8" x14ac:dyDescent="0.25">
      <c r="H387">
        <f t="shared" si="6"/>
        <v>3</v>
      </c>
    </row>
    <row r="388" spans="8:8" x14ac:dyDescent="0.25">
      <c r="H388">
        <f t="shared" si="6"/>
        <v>3</v>
      </c>
    </row>
    <row r="389" spans="8:8" x14ac:dyDescent="0.25">
      <c r="H389">
        <f t="shared" si="6"/>
        <v>3</v>
      </c>
    </row>
    <row r="390" spans="8:8" x14ac:dyDescent="0.25">
      <c r="H390">
        <f t="shared" si="6"/>
        <v>3</v>
      </c>
    </row>
    <row r="391" spans="8:8" x14ac:dyDescent="0.25">
      <c r="H391">
        <f t="shared" si="6"/>
        <v>3</v>
      </c>
    </row>
    <row r="392" spans="8:8" x14ac:dyDescent="0.25">
      <c r="H392">
        <f t="shared" si="6"/>
        <v>3</v>
      </c>
    </row>
    <row r="393" spans="8:8" x14ac:dyDescent="0.25">
      <c r="H393">
        <f t="shared" si="6"/>
        <v>3</v>
      </c>
    </row>
    <row r="394" spans="8:8" x14ac:dyDescent="0.25">
      <c r="H394">
        <f t="shared" si="6"/>
        <v>3</v>
      </c>
    </row>
    <row r="395" spans="8:8" x14ac:dyDescent="0.25">
      <c r="H395">
        <f t="shared" si="6"/>
        <v>3</v>
      </c>
    </row>
    <row r="396" spans="8:8" x14ac:dyDescent="0.25">
      <c r="H396">
        <f t="shared" si="6"/>
        <v>3</v>
      </c>
    </row>
    <row r="397" spans="8:8" x14ac:dyDescent="0.25">
      <c r="H397">
        <f t="shared" si="6"/>
        <v>3</v>
      </c>
    </row>
    <row r="398" spans="8:8" x14ac:dyDescent="0.25">
      <c r="H398">
        <f t="shared" si="6"/>
        <v>3</v>
      </c>
    </row>
    <row r="399" spans="8:8" x14ac:dyDescent="0.25">
      <c r="H399">
        <f t="shared" si="6"/>
        <v>3</v>
      </c>
    </row>
    <row r="400" spans="8:8" x14ac:dyDescent="0.25">
      <c r="H400">
        <f t="shared" si="6"/>
        <v>3</v>
      </c>
    </row>
    <row r="401" spans="8:8" x14ac:dyDescent="0.25">
      <c r="H401">
        <f t="shared" si="6"/>
        <v>3</v>
      </c>
    </row>
    <row r="402" spans="8:8" x14ac:dyDescent="0.25">
      <c r="H402">
        <f t="shared" si="6"/>
        <v>3</v>
      </c>
    </row>
    <row r="403" spans="8:8" x14ac:dyDescent="0.25">
      <c r="H403">
        <f t="shared" si="6"/>
        <v>3</v>
      </c>
    </row>
    <row r="404" spans="8:8" x14ac:dyDescent="0.25">
      <c r="H404">
        <f t="shared" si="6"/>
        <v>3</v>
      </c>
    </row>
    <row r="405" spans="8:8" x14ac:dyDescent="0.25">
      <c r="H405">
        <f t="shared" si="6"/>
        <v>3</v>
      </c>
    </row>
    <row r="406" spans="8:8" x14ac:dyDescent="0.25">
      <c r="H406">
        <f t="shared" si="6"/>
        <v>3</v>
      </c>
    </row>
    <row r="407" spans="8:8" x14ac:dyDescent="0.25">
      <c r="H407">
        <f t="shared" si="6"/>
        <v>3</v>
      </c>
    </row>
    <row r="408" spans="8:8" x14ac:dyDescent="0.25">
      <c r="H408">
        <f t="shared" si="6"/>
        <v>3</v>
      </c>
    </row>
    <row r="409" spans="8:8" x14ac:dyDescent="0.25">
      <c r="H409">
        <f t="shared" si="6"/>
        <v>3</v>
      </c>
    </row>
    <row r="410" spans="8:8" x14ac:dyDescent="0.25">
      <c r="H410">
        <f t="shared" si="6"/>
        <v>3</v>
      </c>
    </row>
    <row r="411" spans="8:8" x14ac:dyDescent="0.25">
      <c r="H411">
        <f t="shared" si="6"/>
        <v>3</v>
      </c>
    </row>
    <row r="412" spans="8:8" x14ac:dyDescent="0.25">
      <c r="H412">
        <f t="shared" si="6"/>
        <v>3</v>
      </c>
    </row>
    <row r="413" spans="8:8" x14ac:dyDescent="0.25">
      <c r="H413">
        <f t="shared" si="6"/>
        <v>3</v>
      </c>
    </row>
    <row r="414" spans="8:8" x14ac:dyDescent="0.25">
      <c r="H414">
        <f t="shared" si="6"/>
        <v>3</v>
      </c>
    </row>
    <row r="415" spans="8:8" x14ac:dyDescent="0.25">
      <c r="H415">
        <f t="shared" si="6"/>
        <v>3</v>
      </c>
    </row>
    <row r="416" spans="8:8" x14ac:dyDescent="0.25">
      <c r="H416">
        <f t="shared" si="6"/>
        <v>3</v>
      </c>
    </row>
    <row r="417" spans="8:8" x14ac:dyDescent="0.25">
      <c r="H417">
        <f t="shared" si="6"/>
        <v>3</v>
      </c>
    </row>
    <row r="418" spans="8:8" x14ac:dyDescent="0.25">
      <c r="H418">
        <f t="shared" si="6"/>
        <v>3</v>
      </c>
    </row>
    <row r="419" spans="8:8" x14ac:dyDescent="0.25">
      <c r="H419">
        <f t="shared" si="6"/>
        <v>3</v>
      </c>
    </row>
    <row r="420" spans="8:8" x14ac:dyDescent="0.25">
      <c r="H420">
        <f t="shared" si="6"/>
        <v>3</v>
      </c>
    </row>
    <row r="421" spans="8:8" x14ac:dyDescent="0.25">
      <c r="H421">
        <f t="shared" si="6"/>
        <v>3</v>
      </c>
    </row>
    <row r="422" spans="8:8" x14ac:dyDescent="0.25">
      <c r="H422">
        <f t="shared" si="6"/>
        <v>3</v>
      </c>
    </row>
    <row r="423" spans="8:8" x14ac:dyDescent="0.25">
      <c r="H423">
        <f t="shared" si="6"/>
        <v>3</v>
      </c>
    </row>
    <row r="424" spans="8:8" x14ac:dyDescent="0.25">
      <c r="H424">
        <f t="shared" si="6"/>
        <v>3</v>
      </c>
    </row>
    <row r="425" spans="8:8" x14ac:dyDescent="0.25">
      <c r="H425">
        <f t="shared" si="6"/>
        <v>3</v>
      </c>
    </row>
    <row r="426" spans="8:8" x14ac:dyDescent="0.25">
      <c r="H426">
        <f t="shared" si="6"/>
        <v>3</v>
      </c>
    </row>
    <row r="427" spans="8:8" x14ac:dyDescent="0.25">
      <c r="H427">
        <f t="shared" si="6"/>
        <v>3</v>
      </c>
    </row>
    <row r="428" spans="8:8" x14ac:dyDescent="0.25">
      <c r="H428">
        <f t="shared" si="6"/>
        <v>3</v>
      </c>
    </row>
    <row r="429" spans="8:8" x14ac:dyDescent="0.25">
      <c r="H429">
        <f t="shared" si="6"/>
        <v>3</v>
      </c>
    </row>
    <row r="430" spans="8:8" x14ac:dyDescent="0.25">
      <c r="H430">
        <f t="shared" si="6"/>
        <v>3</v>
      </c>
    </row>
    <row r="431" spans="8:8" x14ac:dyDescent="0.25">
      <c r="H431">
        <f t="shared" si="6"/>
        <v>3</v>
      </c>
    </row>
    <row r="432" spans="8:8" x14ac:dyDescent="0.25">
      <c r="H432">
        <f t="shared" si="6"/>
        <v>3</v>
      </c>
    </row>
    <row r="433" spans="8:8" x14ac:dyDescent="0.25">
      <c r="H433">
        <f t="shared" si="6"/>
        <v>3</v>
      </c>
    </row>
    <row r="434" spans="8:8" x14ac:dyDescent="0.25">
      <c r="H434">
        <f t="shared" si="6"/>
        <v>3</v>
      </c>
    </row>
    <row r="435" spans="8:8" x14ac:dyDescent="0.25">
      <c r="H435">
        <f t="shared" si="6"/>
        <v>3</v>
      </c>
    </row>
    <row r="436" spans="8:8" x14ac:dyDescent="0.25">
      <c r="H436">
        <f t="shared" si="6"/>
        <v>3</v>
      </c>
    </row>
    <row r="437" spans="8:8" x14ac:dyDescent="0.25">
      <c r="H437">
        <f t="shared" si="6"/>
        <v>3</v>
      </c>
    </row>
    <row r="438" spans="8:8" x14ac:dyDescent="0.25">
      <c r="H438">
        <f t="shared" si="6"/>
        <v>3</v>
      </c>
    </row>
    <row r="439" spans="8:8" x14ac:dyDescent="0.25">
      <c r="H439">
        <f t="shared" si="6"/>
        <v>3</v>
      </c>
    </row>
    <row r="440" spans="8:8" x14ac:dyDescent="0.25">
      <c r="H440">
        <f t="shared" si="6"/>
        <v>3</v>
      </c>
    </row>
    <row r="441" spans="8:8" x14ac:dyDescent="0.25">
      <c r="H441">
        <f t="shared" si="6"/>
        <v>3</v>
      </c>
    </row>
    <row r="442" spans="8:8" x14ac:dyDescent="0.25">
      <c r="H442">
        <f t="shared" si="6"/>
        <v>3</v>
      </c>
    </row>
    <row r="443" spans="8:8" x14ac:dyDescent="0.25">
      <c r="H443">
        <f t="shared" si="6"/>
        <v>3</v>
      </c>
    </row>
    <row r="444" spans="8:8" x14ac:dyDescent="0.25">
      <c r="H444">
        <f t="shared" si="6"/>
        <v>3</v>
      </c>
    </row>
    <row r="445" spans="8:8" x14ac:dyDescent="0.25">
      <c r="H445">
        <f t="shared" si="6"/>
        <v>3</v>
      </c>
    </row>
    <row r="446" spans="8:8" x14ac:dyDescent="0.25">
      <c r="H446">
        <f t="shared" si="6"/>
        <v>3</v>
      </c>
    </row>
    <row r="447" spans="8:8" x14ac:dyDescent="0.25">
      <c r="H447">
        <f t="shared" si="6"/>
        <v>3</v>
      </c>
    </row>
    <row r="448" spans="8:8" x14ac:dyDescent="0.25">
      <c r="H448">
        <f t="shared" si="6"/>
        <v>3</v>
      </c>
    </row>
    <row r="449" spans="8:8" x14ac:dyDescent="0.25">
      <c r="H449">
        <f t="shared" si="6"/>
        <v>3</v>
      </c>
    </row>
    <row r="450" spans="8:8" x14ac:dyDescent="0.25">
      <c r="H450">
        <f t="shared" ref="H450:H501" si="7">IF(D450="Especial",1,IF(D450="Mayorista",2,3))</f>
        <v>3</v>
      </c>
    </row>
    <row r="451" spans="8:8" x14ac:dyDescent="0.25">
      <c r="H451">
        <f t="shared" si="7"/>
        <v>3</v>
      </c>
    </row>
    <row r="452" spans="8:8" x14ac:dyDescent="0.25">
      <c r="H452">
        <f t="shared" si="7"/>
        <v>3</v>
      </c>
    </row>
    <row r="453" spans="8:8" x14ac:dyDescent="0.25">
      <c r="H453">
        <f t="shared" si="7"/>
        <v>3</v>
      </c>
    </row>
    <row r="454" spans="8:8" x14ac:dyDescent="0.25">
      <c r="H454">
        <f t="shared" si="7"/>
        <v>3</v>
      </c>
    </row>
    <row r="455" spans="8:8" x14ac:dyDescent="0.25">
      <c r="H455">
        <f t="shared" si="7"/>
        <v>3</v>
      </c>
    </row>
    <row r="456" spans="8:8" x14ac:dyDescent="0.25">
      <c r="H456">
        <f t="shared" si="7"/>
        <v>3</v>
      </c>
    </row>
    <row r="457" spans="8:8" x14ac:dyDescent="0.25">
      <c r="H457">
        <f t="shared" si="7"/>
        <v>3</v>
      </c>
    </row>
    <row r="458" spans="8:8" x14ac:dyDescent="0.25">
      <c r="H458">
        <f t="shared" si="7"/>
        <v>3</v>
      </c>
    </row>
    <row r="459" spans="8:8" x14ac:dyDescent="0.25">
      <c r="H459">
        <f t="shared" si="7"/>
        <v>3</v>
      </c>
    </row>
    <row r="460" spans="8:8" x14ac:dyDescent="0.25">
      <c r="H460">
        <f t="shared" si="7"/>
        <v>3</v>
      </c>
    </row>
    <row r="461" spans="8:8" x14ac:dyDescent="0.25">
      <c r="H461">
        <f t="shared" si="7"/>
        <v>3</v>
      </c>
    </row>
    <row r="462" spans="8:8" x14ac:dyDescent="0.25">
      <c r="H462">
        <f t="shared" si="7"/>
        <v>3</v>
      </c>
    </row>
    <row r="463" spans="8:8" x14ac:dyDescent="0.25">
      <c r="H463">
        <f t="shared" si="7"/>
        <v>3</v>
      </c>
    </row>
    <row r="464" spans="8:8" x14ac:dyDescent="0.25">
      <c r="H464">
        <f t="shared" si="7"/>
        <v>3</v>
      </c>
    </row>
    <row r="465" spans="8:8" x14ac:dyDescent="0.25">
      <c r="H465">
        <f t="shared" si="7"/>
        <v>3</v>
      </c>
    </row>
    <row r="466" spans="8:8" x14ac:dyDescent="0.25">
      <c r="H466">
        <f t="shared" si="7"/>
        <v>3</v>
      </c>
    </row>
    <row r="467" spans="8:8" x14ac:dyDescent="0.25">
      <c r="H467">
        <f t="shared" si="7"/>
        <v>3</v>
      </c>
    </row>
    <row r="468" spans="8:8" x14ac:dyDescent="0.25">
      <c r="H468">
        <f t="shared" si="7"/>
        <v>3</v>
      </c>
    </row>
    <row r="469" spans="8:8" x14ac:dyDescent="0.25">
      <c r="H469">
        <f t="shared" si="7"/>
        <v>3</v>
      </c>
    </row>
    <row r="470" spans="8:8" x14ac:dyDescent="0.25">
      <c r="H470">
        <f t="shared" si="7"/>
        <v>3</v>
      </c>
    </row>
    <row r="471" spans="8:8" x14ac:dyDescent="0.25">
      <c r="H471">
        <f t="shared" si="7"/>
        <v>3</v>
      </c>
    </row>
    <row r="472" spans="8:8" x14ac:dyDescent="0.25">
      <c r="H472">
        <f t="shared" si="7"/>
        <v>3</v>
      </c>
    </row>
    <row r="473" spans="8:8" x14ac:dyDescent="0.25">
      <c r="H473">
        <f t="shared" si="7"/>
        <v>3</v>
      </c>
    </row>
    <row r="474" spans="8:8" x14ac:dyDescent="0.25">
      <c r="H474">
        <f t="shared" si="7"/>
        <v>3</v>
      </c>
    </row>
    <row r="475" spans="8:8" x14ac:dyDescent="0.25">
      <c r="H475">
        <f t="shared" si="7"/>
        <v>3</v>
      </c>
    </row>
    <row r="476" spans="8:8" x14ac:dyDescent="0.25">
      <c r="H476">
        <f t="shared" si="7"/>
        <v>3</v>
      </c>
    </row>
    <row r="477" spans="8:8" x14ac:dyDescent="0.25">
      <c r="H477">
        <f t="shared" si="7"/>
        <v>3</v>
      </c>
    </row>
    <row r="478" spans="8:8" x14ac:dyDescent="0.25">
      <c r="H478">
        <f t="shared" si="7"/>
        <v>3</v>
      </c>
    </row>
    <row r="479" spans="8:8" x14ac:dyDescent="0.25">
      <c r="H479">
        <f t="shared" si="7"/>
        <v>3</v>
      </c>
    </row>
    <row r="480" spans="8:8" x14ac:dyDescent="0.25">
      <c r="H480">
        <f t="shared" si="7"/>
        <v>3</v>
      </c>
    </row>
    <row r="481" spans="8:8" x14ac:dyDescent="0.25">
      <c r="H481">
        <f t="shared" si="7"/>
        <v>3</v>
      </c>
    </row>
    <row r="482" spans="8:8" x14ac:dyDescent="0.25">
      <c r="H482">
        <f t="shared" si="7"/>
        <v>3</v>
      </c>
    </row>
    <row r="483" spans="8:8" x14ac:dyDescent="0.25">
      <c r="H483">
        <f t="shared" si="7"/>
        <v>3</v>
      </c>
    </row>
    <row r="484" spans="8:8" x14ac:dyDescent="0.25">
      <c r="H484">
        <f t="shared" si="7"/>
        <v>3</v>
      </c>
    </row>
    <row r="485" spans="8:8" x14ac:dyDescent="0.25">
      <c r="H485">
        <f t="shared" si="7"/>
        <v>3</v>
      </c>
    </row>
    <row r="486" spans="8:8" x14ac:dyDescent="0.25">
      <c r="H486">
        <f t="shared" si="7"/>
        <v>3</v>
      </c>
    </row>
    <row r="487" spans="8:8" x14ac:dyDescent="0.25">
      <c r="H487">
        <f t="shared" si="7"/>
        <v>3</v>
      </c>
    </row>
    <row r="488" spans="8:8" x14ac:dyDescent="0.25">
      <c r="H488">
        <f t="shared" si="7"/>
        <v>3</v>
      </c>
    </row>
    <row r="489" spans="8:8" x14ac:dyDescent="0.25">
      <c r="H489">
        <f t="shared" si="7"/>
        <v>3</v>
      </c>
    </row>
    <row r="490" spans="8:8" x14ac:dyDescent="0.25">
      <c r="H490">
        <f t="shared" si="7"/>
        <v>3</v>
      </c>
    </row>
    <row r="491" spans="8:8" x14ac:dyDescent="0.25">
      <c r="H491">
        <f t="shared" si="7"/>
        <v>3</v>
      </c>
    </row>
    <row r="492" spans="8:8" x14ac:dyDescent="0.25">
      <c r="H492">
        <f t="shared" si="7"/>
        <v>3</v>
      </c>
    </row>
    <row r="493" spans="8:8" x14ac:dyDescent="0.25">
      <c r="H493">
        <f t="shared" si="7"/>
        <v>3</v>
      </c>
    </row>
    <row r="494" spans="8:8" x14ac:dyDescent="0.25">
      <c r="H494">
        <f t="shared" si="7"/>
        <v>3</v>
      </c>
    </row>
    <row r="495" spans="8:8" x14ac:dyDescent="0.25">
      <c r="H495">
        <f t="shared" si="7"/>
        <v>3</v>
      </c>
    </row>
    <row r="496" spans="8:8" x14ac:dyDescent="0.25">
      <c r="H496">
        <f t="shared" si="7"/>
        <v>3</v>
      </c>
    </row>
    <row r="497" spans="8:8" x14ac:dyDescent="0.25">
      <c r="H497">
        <f t="shared" si="7"/>
        <v>3</v>
      </c>
    </row>
    <row r="498" spans="8:8" x14ac:dyDescent="0.25">
      <c r="H498">
        <f t="shared" si="7"/>
        <v>3</v>
      </c>
    </row>
    <row r="499" spans="8:8" x14ac:dyDescent="0.25">
      <c r="H499">
        <f t="shared" si="7"/>
        <v>3</v>
      </c>
    </row>
    <row r="500" spans="8:8" x14ac:dyDescent="0.25">
      <c r="H500">
        <f t="shared" si="7"/>
        <v>3</v>
      </c>
    </row>
    <row r="501" spans="8:8" x14ac:dyDescent="0.25">
      <c r="H501">
        <f t="shared" si="7"/>
        <v>3</v>
      </c>
    </row>
  </sheetData>
  <dataValidations count="1">
    <dataValidation type="list" allowBlank="1" sqref="D2:D500" xr:uid="{00000000-0002-0000-0900-000000000000}">
      <formula1>"Minorista,Mayorista,Especial"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"/>
  <sheetViews>
    <sheetView workbookViewId="0"/>
  </sheetViews>
  <sheetFormatPr baseColWidth="10" defaultColWidth="9.140625" defaultRowHeight="15" x14ac:dyDescent="0.25"/>
  <sheetData>
    <row r="1" spans="1:10" x14ac:dyDescent="0.25">
      <c r="A1" s="7" t="s">
        <v>184</v>
      </c>
      <c r="B1" s="7" t="s">
        <v>1</v>
      </c>
      <c r="C1" s="7" t="s">
        <v>185</v>
      </c>
      <c r="D1" s="7" t="s">
        <v>186</v>
      </c>
      <c r="E1" s="7" t="s">
        <v>187</v>
      </c>
      <c r="F1" s="7" t="s">
        <v>5</v>
      </c>
      <c r="G1" s="7" t="s">
        <v>6</v>
      </c>
      <c r="H1" s="7" t="s">
        <v>188</v>
      </c>
      <c r="I1" s="7" t="s">
        <v>8</v>
      </c>
      <c r="J1" s="7" t="s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"/>
  <sheetViews>
    <sheetView workbookViewId="0"/>
  </sheetViews>
  <sheetFormatPr baseColWidth="10" defaultColWidth="9.140625" defaultRowHeight="15" x14ac:dyDescent="0.25"/>
  <sheetData>
    <row r="1" spans="1:8" x14ac:dyDescent="0.25">
      <c r="A1" s="7" t="s">
        <v>164</v>
      </c>
      <c r="B1" s="7" t="s">
        <v>1</v>
      </c>
      <c r="C1" s="7" t="s">
        <v>2</v>
      </c>
      <c r="D1" s="7" t="s">
        <v>3</v>
      </c>
      <c r="E1" s="7" t="s">
        <v>189</v>
      </c>
      <c r="F1" s="7" t="s">
        <v>190</v>
      </c>
      <c r="G1" s="7" t="s">
        <v>9</v>
      </c>
      <c r="H1" s="7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00_INICIO</vt:lpstr>
      <vt:lpstr>01_PARAMETROS</vt:lpstr>
      <vt:lpstr>02_CATALOGOS</vt:lpstr>
      <vt:lpstr>03_CLIENTES</vt:lpstr>
      <vt:lpstr>04_PRODUCTOS</vt:lpstr>
      <vt:lpstr>05_VENTAS</vt:lpstr>
      <vt:lpstr>12_VERSION</vt:lpstr>
      <vt:lpstr>10_DASHBOARD</vt:lpstr>
      <vt:lpstr>06_TICKET</vt:lpstr>
      <vt:lpstr>22_PRECIOS</vt:lpstr>
      <vt:lpstr>23_OFERTAS</vt:lpstr>
      <vt:lpstr>21_HISTORICO_PRECIOS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</dc:creator>
  <cp:lastModifiedBy>Pite</cp:lastModifiedBy>
  <dcterms:created xsi:type="dcterms:W3CDTF">2026-08-01T03:41:47Z</dcterms:created>
  <dcterms:modified xsi:type="dcterms:W3CDTF">2026-08-13T15:27:18Z</dcterms:modified>
</cp:coreProperties>
</file>